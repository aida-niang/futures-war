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data_num" sheetId="2" r:id="rId6"/>
    <sheet state="visible" name="analyse" sheetId="3" r:id="rId7"/>
    <sheet state="visible" name="analyse_num" sheetId="4" r:id="rId8"/>
    <sheet state="visible" name="analyse_compare" sheetId="5" r:id="rId9"/>
  </sheets>
  <definedNames/>
  <calcPr/>
</workbook>
</file>

<file path=xl/sharedStrings.xml><?xml version="1.0" encoding="utf-8"?>
<sst xmlns="http://schemas.openxmlformats.org/spreadsheetml/2006/main" count="1389" uniqueCount="401">
  <si>
    <t>n°</t>
  </si>
  <si>
    <t>Marseille (x)</t>
  </si>
  <si>
    <t>Futur (y)</t>
  </si>
  <si>
    <t>Table</t>
  </si>
  <si>
    <t>Tour</t>
  </si>
  <si>
    <t>remarque</t>
  </si>
  <si>
    <t>idée</t>
  </si>
  <si>
    <t>prompt original</t>
  </si>
  <si>
    <t>image (URL)</t>
  </si>
  <si>
    <t>model</t>
  </si>
  <si>
    <t>A</t>
  </si>
  <si>
    <t>a copier-coller à chaque atelier</t>
  </si>
  <si>
    <t>École flottante du Vieux-Port : Dans le Vieux-Port de Marseille, une école flottante construite sur des barges solaires accueille élèves et professeurs. Entourés d’eau turquoise et de forêts urbaines sur les quais, les enfants rejoignent la classe en navette amphibie et étudient en oscillant doucement au rythme des vagues, symbole d’une adaptation sereine à la montée des eaux (inspiré par un imaginaire Cli-fi optimiste).</t>
  </si>
  <si>
    <t>Marseille, 2050. A floating classroom barge rocks gently in the Vieux-Port. The science teacher crouches beside students measuring water salinity, reflections of hulls trembling on their faces. Seagulls circle above cranes and masts. The air smells of salt and algae, the sunlight harsh but alive. Photorealistic street-photo look, high contrast, maritime textures, candid composition.</t>
  </si>
  <si>
    <t>https://drive.google.com/file/d/1fhbLgvg0hsz4TNLeXeSF0mFWcvDZddGd/view?usp=drive_link</t>
  </si>
  <si>
    <t>flux dev</t>
  </si>
  <si>
    <t>groupe n'a pas changé entre T1, T2 et T3... probable qu'ils se soient débarrassés de l'exercice</t>
  </si>
  <si>
    <t>Classes mobiles modulaires : Des salles de classe modulaires montées sur des véhicules autonomes se déplacent à travers Marseille. Un matin, une bulle de classe s'installe sur une placette du Panier, l’après-midi au pied des tours de la Joliette : ces pods high-tech offrent un enseignement de proximité, transformant n’importe quel coin de rue en espace d’apprentissage lorsqu’ils se déploient (inspiré par la design fiction futuriste).</t>
  </si>
  <si>
    <t>Marseille, 2050. In a narrow Le Panier square, a mobile classroom pod glows softly between graffiti-covered walls. Students gather around an AR timeline projected on the cobblestones. The teacher stands mid-frame, light bouncing off her tablet onto the stone. Shadows, scooters, and hanging cables frame the scene — raw and real, street-photo realism, golden late afternoon.</t>
  </si>
  <si>
    <t>https://drive.google.com/file/d/1W7Korom927gbc6HmwCbPUpS8vYgldZiY/view?usp=drive_link</t>
  </si>
  <si>
    <t>École en forêt urbaine : En 2050, une pinède des Calanques abrite une école en plein air où les cours se font sous les pins parasols. Les enfants assis en cercle sur des troncs d’arbre étudient la biologie en observant la faune et la flore locales, tandis que des tablettes alimentées au solaire projettent des hologrammes éducatifs entre les branches (inspiré par le courant Solarpunk).</t>
  </si>
  <si>
    <t>Marseille, 2050. Beneath the pines of Sormiou, an ecology class kneels in the dry earth, magnifying wild plants. The teacher’s hands are dusty, a notebook half-filled with sketches. The sea glimmers below the limestone cliffs, the mistral lifting hair and paper. Photorealistic, natural light documentary look, deep textures of stone, sweat, and learning.</t>
  </si>
  <si>
    <t>https://drive.google.com/file/d/1nBi-M5nL6M1oSQo5aEMRJAYjwYr5kWBU/view?usp=drive_link</t>
  </si>
  <si>
    <t>Dômes solaires climatisés : Les cours d'école se dotent de dômes transparents à énergie solaire pour se protéger des aléas climatiques. À Marseille, ces verrières high-tech filtrent la brûlure du soleil d'été et atténuent le Mistral tout en laissant passer la lumière. Sous le dôme d’une école du Prado, les enfants peuvent jardiner ou faire du sport toute l’année dans un microclimat idéal (inspiré par le courant Solarpunk).</t>
  </si>
  <si>
    <t>Marseille, 2050. Midday in the courtyard of a Prado elementary school, where a vast orange solar dome glows softly above hundreds of playing children. Its curved panels, made from translucent photovoltaic glass, filter the fierce Mediterranean sun into a warm amber light that bathes the space in golden tones. Outside, the city swelters under a white, blinding sky — heat shimmering over rooftops and empty streets — but inside the dome, the air moves gently through open vents, fresh and breathable. Children of all backgrounds race across the polished playground, their laughter echoing under the curved canopy. A physics teacher with freckled skin kneels beside a small airflow turbine, showing a curious group how it transforms heat into energy. Nearby, others play football, climb green-framed structures, or water plants in raised garden beds. Light flickers on faces, shoes, and leaves, the color of honey and wind. Photorealistic handheld 28mm, cinematic Solarpunk realism, vibrant contrast between the blinding exterior and the glowing orange interior — Marseille’s schools reborn as luminous shelters of learning and play.</t>
  </si>
  <si>
    <t>https://drive.google.com/file/d/1VLU2LS8Orkv7SZDBn9xJgcUVGmFB9OAH/view?usp=drive_link</t>
  </si>
  <si>
    <t>Connaissances téléchargées : Grâce à un implant neuronal, des élèves peuvent télécharger directement dans leur cerveau certaines connaissances. En quelques heures, un lycéen marseillais acquiert ainsi les bases d’une nouvelle langue ou d’un instrument de musique, simplement en transférant des données depuis une bibliothèque numérique. L’efficacité est prodigieuse, mais ces "étudiants augmentés" suscitent le débat : que reste-t-il de l’expérience et de l’esprit critique acquis par l'effort, si apprendre devient aussi facile que charger un fichier ? (inspiré par la science-fiction transhumaniste).</t>
  </si>
  <si>
    <t>Marseille, 2050. In Parc Longchamp, beneath tall plane trees swaying in the morning breeze, a French class gathers on the grass in a wide open circle. At the center, a student reader holds an open book, her silver audio headset glowing with soft blue light as she begins to read aloud. Around her, classmates of different backgrounds — each wearing the same sleek headset — sit facing one another, forming a luminous ring of connection. From every headset, thin arcs of light extend and intertwine through the air, linking listener to listener in a visible web of shared sound. Some students smile, others exchange glances, following the rhythm of the reader’s voice that flows between them like electricity. The teacher, standing just beyond the circle, observes with quiet satisfaction, her headset gently pulsing in sync with the group. The warm Mediterranean light filters through the leaves, flickering over faces, pages, and the intricate weave of glowing threads. Photorealistic handheld 35mm, cinematic composition, warm golden tones, tactile realism of grass, light, and technology — a living network of voices and connection in Marseille’s park classroom of the future.</t>
  </si>
  <si>
    <t>https://drive.google.com/file/d/1XuZEEiIwpk_lMssqM0GRrA2NgWiRxgkw/view?usp=drive_link</t>
  </si>
  <si>
    <t>Manuels holographiques : Les livres scolaires physiques ont quasiment disparu au profit de manuels holographiques et interactifs. En cours de sciences, un professeur fait apparaître au centre de la classe un cœur humain en 3D qui bat et réagit aux questions posées à voix haute. En littérature, les scènes d’un roman prennent vie en réalité augmentée autour des élèves. Ces supports immersifs transforment les apprentissages en expériences vivantes (inspiré par la science-fiction d’anticipation).</t>
  </si>
  <si>
    <t>Marseille, 2050. In a biology lab with open windows to the sea, a teacher with short locs adjusts a holographic heart model rotating mid-air. Students of mixed origins trace arteries with styluses. Red light pulses through the hologram, reflecting on their eyes and glass benches. Photorealistic cinematic glow, color contrast of blue daylight and red holographic tone.</t>
  </si>
  <si>
    <t>https://drive.google.com/file/d/13UquZY7-PvjzHDgsgE8YZgIgGEjT8mGr/view?usp=drive_link</t>
  </si>
  <si>
    <t>Projets citoyens au programme : Plutôt que de simples devoirs, les lycéens marseillais doivent réaliser chaque trimestre un projet concret pour leur quartier. L’un a coordonné la création d’un jardin partagé dans une friche des quartiers Nord, un autre a développé une appli pour recenser les fontaines d’eau potable de la ville. Ces projets, évalués par les habitants et les profs, remplacent les notes classiques et donnent du sens aux apprentissages théoriques (inspiré par le courant Hopepunk).</t>
  </si>
  <si>
    <t>Marseille, 2050. In a lush community garden in northern Marseille, a woman of Cape Verdean descent kneels beside a patch of rich soil, showing a group of children how to plant a seed. Her hands move slowly and deliberately, pressing the earth around the tiny sprout as the children — boys and girls of mixed backgrounds — watch closely, their faces lit by the low golden sun. Some hold small biodegradable pots, others dig with their fingers, laughing softly as they imitate her gesture. Around them, raised beds overflow with vegetables and flowers, and a solar-powered irrigation system hums gently in the background. The atmosphere is calm, purposeful, and full of warmth — learning through doing, rooted in care for the earth. Photorealistic cinematic realism, handheld 35mm, golden hour light, natural textures of soil, skin, and green life — a Marseille garden classroom where education grows from the ground up.</t>
  </si>
  <si>
    <t>https://drive.google.com/file/d/12Mz9KeJxCPlM2qz67Hmw9IBM49T5QKa3/view?usp=drive_link</t>
  </si>
  <si>
    <t>Plus d’examens, place au portfolio : Le bachotage appartient au passé. En 2050, les élèves marseillais présentent en fin d’année un portfolio de leurs projets et compétences devant un jury composé d’enseignants mais aussi de parents et de membres du quartier. Une élève expose par exemple son court-métrage réalisé en cours de langue, un autre démontre le robot qu’il a fabriqué en atelier. Cette évaluation globale sur travaux concrets remplace les examens traditionnels, jugés trop déconnectés du réel (inspiré par une utopie éducative).</t>
  </si>
  <si>
    <t>Marseille, 2050. In the Vieux-Port, a project expo buzzes: a teacher with silver dreadlocks reviews student prototypes. One team of three — one pale, one veiled, one dark-skinned — presents a floating desalination unit. The teacher smiles, wind tugs at plans. Sunlight flashes off chrome and sea. Cinematic handheld realism, warm Marseille palette.</t>
  </si>
  <si>
    <t>https://drive.google.com/file/d/10EYeHwHh92QJU5CjvJvcN-1CluGq6eok/view?usp=drive_link</t>
  </si>
  <si>
    <t>Service civique intégré : Au lycée, chaque élève doit consacrer une partie de son année à un projet solidaire encadré par l’école. Certains choisissent de participer à la reforestation du massif de la Sainte-Baume après des incendies, d’autres d’organiser des maraudes technologiques où ils réparent des téléphones pour des sans-abris afin de les reconnecter. Cette expérience de terrain compte dans leur formation et développe le sens de l’initiative et de la citoyenneté (inspiré par le courant Hopepunk).</t>
  </si>
  <si>
    <t>Marseille, 2050. On the shore of Les Catalans beach, a group of high school students in bright orange rescue vests kneels around a teacher demonstrating how to save a drowning person. A mannequin lies half in the water, waves lapping gently against it as the teacher shows how to position the head and start chest compressions. One student with braided hair counts aloud, another boy in shorts and a rash guard holds a flotation device, ready to practice. In the background, more students wait their turn beside a rescue drone hovering above the sea, scanning for movement. The sun glows high, the water sparkles, and the air hums with concentration and sea breeze. Photorealistic cinematic realism, handheld 35mm, Mediterranean tones, sharp contrast of orange vests against blue water — Marseille’s civic education grounded in real-life lifesaving.</t>
  </si>
  <si>
    <t>https://drive.google.com/file/d/1N40HKePFubgCfauGPpbQdTBSNu7MDVap/view?usp=drive_link</t>
  </si>
  <si>
    <t>Crèche auto-gérée high-tech : Dans un immeuble du quartier Saint-Barnabé, les jeunes parents ont monté une crèche partagée. Chaque jour, deux parents volontaires gardent l’ensemble des bambins dans une salle commune colorée, pendant que les autres travaillent. Une application IA organise le planning équitablement selon les disponibilités de chacun. Un petit robot nounou aide à chauffer les biberons et à bercer les bébés, tandis qu’un voisin retraité vient faire la sieste contée. Cette solidarité 2.0 allège les frais de garde et crée du lien dans l’immeuble (inspiré par le courant Hopepunk).</t>
  </si>
  <si>
    <t>Marseille, 2050. Inside a bright shared nursery in a renovated apartment building at Saint-Barnabé, the room is filled with the joyful energy of baby boys and girls playing together on colorful foam mats scattered with recycled-wood toys and softly glowing cubes. Warm Mediterranean light pours through tall windows, illuminating pastel murals of trees, clouds, and sea animals. At the center, a young mother of Asian descent and a tall dark-skinned father gently guide a group of toddlers stacking luminous blocks that light up at every touch. In one corner, an elderly man with silver hair and gentle eyes sits in a small chair, reading a story from a digital picture book to a baby girl on his knee, while a nearby boy leans close to watch the moving illustrations. A small round nursery robot rocks a cradle softly, humming as it warms a bottle. On the wall, a holographic schedule panel glows with the parents’ volunteer shifts. The air hums with laughter, color, and sunlight — a Marseille nursery where families, technology, and care blend seamlessly into daily life. Photorealistic cinematic realism, handheld 35mm, warm daylight tones, tactile detail of skin, wood, and fabric, hopeful Mediterranean atmosphere.</t>
  </si>
  <si>
    <t>https://drive.google.com/file/d/18b86xwvvPn3hBm81SeeCNQlWYo-lJonE/view?usp=drive_link</t>
  </si>
  <si>
    <t>Campus à la carte : Les lycéens ne sont plus rattachés à un seul établissement fixe. Une plateforme commune aux écoles de Marseille permet de suivre des cours spécifiques dans l’établissement qui excelle dans la matière. Le matin, un élève passionné d’astronomie va au lycée Saint-Exupéry pour son planétarium, l’après-midi il rejoint Montgrand pour un atelier de haute couture, et termine la journée à la fac de Luminy pour un séminaire d’écologie. Des navettes électriques autonomes relient en permanence ces pôles de spécialité. L’éducation devient un parcours fluide à l’échelle de la métropole (inspiré par la prospective éducative).</t>
  </si>
  <si>
    <t>Marseille, 2050. On a platform at Saint-Charles, a teacher with light brown skin guides students onto an autonomous shuttle labeled “Campus Line.” A boy waves through the glass; the teacher laughs. Afternoon heat shimmers on rails, pigeons scatter at the edge of the frame. Photorealistic handheld realism, crisp focus, Marseille’s kinetic calm.</t>
  </si>
  <si>
    <t>https://drive.google.com/file/d/1rALogf0z4JQyz6qtTe8D_8WK-beWdAeg/view?usp=drive_link</t>
  </si>
  <si>
    <t>École hackée underground : Dans les sous-sols d’une usine abandonnée de la zone de la Joliette, un collectif de jeunes hackers a créé sa propre école officieuse. L’ambiance y est cyberpunk : néons colorés, murs couverts de code binaire en graffiti et écrans recyclés branchés sur le réseau. On y enseigne le code, la cybersécurité et la fabrication d’objets libres en dehors de tout cadre officiel. Les connaissances circulent librement, et les membres du collectif piratent les bases de données académiques pour démocratiser le savoir, dans un esprit rebelle mais solidaire (inspiré par le courant Cyberpunk).</t>
  </si>
  <si>
    <t>Marseille, 2050. In a dimly lit La Joliette basement, the air hums softly with the rhythm of typing. At the front, a young woman wearing a light-colored veil works intently, her face illuminated by the blue glow of her screen as lines of code scroll in reflection. Around her, other students — men and women without veils — sit at scattered desks, focused, their faces half-lit by flickering monitors. At the back of the room, a computer science teacher of Somali heritage observes quietly, arms crossed, the faint neon words “Free School” glowing in pink and blue on the rough brick wall behind him. Cables snake across the floor, and the air feels warm, charged with effort and hope. Photorealistic handheld 28mm, cinematic chiaroscuro contrast, textured realism of brick, light, and human concentration — a Marseille basement where coding becomes both rebellion and redemption.</t>
  </si>
  <si>
    <t>https://drive.google.com/file/d/1GRe-KNTsbZ5ht4cPBUqlWhABMo2cvnyg/view?usp=drive_link</t>
  </si>
  <si>
    <t>Classe sous-marine des Calanques : Dans le parc national des Calanques, une station sous-marine futuriste sert de salle de classe aquatique. Descendus par un ascenseur depuis une plateforme en surface, des lycéens en combinaison souple évoluent dans un habitat sous l’eau où les murs vitrés donnent sur des posidonies et des bancs de poissons multicolores. Ils participent à un projet scientifique réel en surveillant la recolonisation des récifs artificiels posés après la surpêche du 21e siècle. Loin de la surface, ils apprennent l’écologie marine en symbiose avec le milieu (inspiré par le courant Cli-fi).</t>
  </si>
  <si>
    <t>Marseille, 2050. Beneath the clear blue waters of the Calanques, a marine biologist in full professional scuba gear hovers beside a young student, both connected by shimmering streams of bubbles rising toward the surface. They float calmly near a vibrant red gorgonian coral, its fan-like branches swaying in the gentle current. The teacher gestures slowly, a gloved hand tracing the coral’s structure, while the child — wearing a smaller dive tank and digital wrist display — leans closer to observe, eyes wide behind the mask. Around them, other students in scuba suits drift nearby, examining the seabed covered with seagrass and rocks dotted with sensors. Shafts of sunlight ripple through the water, casting gold patterns on their suits and the coral’s surface. Photorealistic cinematic realism, handheld 35mm, immersive underwater lighting, suspended sand particles, vibrant Mediterranean tones — a Marseille classroom of the future where learning happens in the living sea.</t>
  </si>
  <si>
    <t>https://drive.google.com/file/d/1GAnHl-oLUWLT24V_FZxUREu85xO9StH0/view?usp=drive_link</t>
  </si>
  <si>
    <t>École nomade en voilier : Une goélette à énergie solaire fait office d’école itinérante en Méditerranée. À son bord, une classe de Marseille passe six mois à naviguer d’un port à l’autre. Le matin, cours de maths dans la salle de navigation en calculant la trajectoire vers Barcelone ; l’après-midi, les élèves apprennent l’histoire en visitant Carthage ou Athènes lors des escales. La vie en équipage développe leur sens des responsabilités et leur ouverture d’esprit, chaque nouvelle escale devenant une salle de classe à ciel ouvert (inspiré par le courant Hopepunk – aventure éducative).</t>
  </si>
  <si>
    <t>Marseille, 2050. A floating school-ship rests calmly at dock in the Vieux-Port, its sleek white structure moored beside the quays lined with cafés and palm trees. Through the wide glass windows of a classroom on the main deck, we see students seated at curved desks, their faces lit by the shimmer of sunlight reflecting off the harbor water. A teacher stands near a transparent smartboard, tracing lines on a digital map of the Mediterranean while the city skyline — Notre-Dame de la Garde, terracotta rooftops, cranes — glows in the background beyond the window. Inside, the atmosphere feels both nautical and scholarly: charts, model boats, and solar instruments hang along the walls, while the room rocks gently with the tide. Outside, a few passersby pause to watch this unusual school moored in the heart of Marseille. Photorealistic cinematic realism, handheld 35mm, warm coastal light, vivid reflections on glass and water, tactile textures of metal, fabric, and sea spray — a Marseille classroom docked between city and sea, where learning floats on the horizon.</t>
  </si>
  <si>
    <t>https://drive.google.com/file/d/1ZpH6yECACd6-FPK-Wl1Gr5b73R8fZ9ng/view?usp=drive_link</t>
  </si>
  <si>
    <t>Survivalisme</t>
  </si>
  <si>
    <t>Marseille, 2050. On Frioul Island, an environmental ethics class builds a driftwood shelter. The teacher — a North African man with weathered skin — steadies a plank while students hammer. The sea blazes white-blue behind. Photorealistic handheld 35mm, crisp depth, raw Marseille sunlight.</t>
  </si>
  <si>
    <t>https://drive.google.com/file/d/1UNAwMu9jCA9Zxw-Od2r0F9FRCHDph1d9/view?usp=drive_link</t>
  </si>
  <si>
    <t>B</t>
  </si>
  <si>
    <t>Classes dans les grottes des Calanques : Pour échapper aux canicules estivales, certaines classes s’installent dans des grottes naturelles aménagées près de Sormiou. À la lueur de panneaux solaires LED, les élèves profitent de la fraîcheur souterraine pour étudier la géologie directement dans la roche calcaire qui les entoure. L’écho des grottes donne un caractère presque mystique aux leçons (inspiré par le courant Cli-fi d’adaptation climatique).</t>
  </si>
  <si>
    <t>Marseille, 2050. In a limestone cave classroom carved into the Calanques, a geology teacher stands before a group of students seated at makeshift desks of stone and metal, explaining the impact of extreme heat on rock formation. Behind them, a thick glass wall seals the cave from the world outside — a transparent barrier trembling under the glare. Beyond it, the sun burns white, the sky bleached and blinding. The soil outside smokes and ripples with heat distortion, air shimmering in dense waves like a desert mirage. Charred vegetation clings to cracked limestone, and condensation drips down the inner side of the glass. Inside, students watch in silence, their faces lit by both the orange of portable lamps and the blinding light beyond. Photorealistic handheld 28mm, extreme contrast between cool refuge and unbearable brightness, textures of glass, rock, and sweat — a cinematic vision of learning behind the last barrier to Marseille’s burning world.</t>
  </si>
  <si>
    <t>https://drive.google.com/file/d/1N9t-GV2AdjjqC_2IVcQVYeALd2U4LVDY/view?usp=drive_link</t>
  </si>
  <si>
    <t>Bus scolaire amphibie : Dans un quartier côtier partiellement inondé, un vieux bus scolaire a été converti en navette amphibie. Chaque matin, il quitte la terre ferme et navigue sur les nouveaux canaux formés entre les immeubles pour récupérer les élèves. Ces derniers arrivent en classe après un trajet sur l’eau à travers la ville, illustration ingénieuse de la vie qui continue malgré la montée des eaux (inspiré par un imaginaire Cli-fi d’adaptation).</t>
  </si>
  <si>
    <t>Marseille, 2050. In the flooded district of L’Estaque, a yellow amphibious school bus floats gently between half-submerged buildings, its tires just visible beneath the waterline. The vehicle has been refitted with solar panels on the roof and a small rudder at the rear, gliding slowly through the new canals that once were city streets. Inside, a young teacher with dark curls and olive skin stands near the front, taking attendance on a transparent digital board while students of mixed origins peer through the wide open windows. Outside, reflections of balconies, traffic lights, and street signs shimmer beneath the surface, distorted by ripples. A few residents paddle past in small boats, waving as the school bus hums forward. Seagulls perch on flooded lampposts, and vines climb the sides of old buildings. The sunlight flashes across the water, painting dappled patterns onto the children’s faces. Photorealistic handheld 35mm, cinematic maritime tone, fine detail in water reflections, rusted architecture, and vibrant human movement — a serene vision of education afloat in the transformed heart of Marseille.</t>
  </si>
  <si>
    <t>https://drive.google.com/file/d/1ImFHoZv_Iu5PfAqIUClWPlMsAqGdDAd9/view?usp=drive_link</t>
  </si>
  <si>
    <t>École-parc communautaire : Au parc Longchamp, un coin de verdure s’est mué en école en plein air où se retrouvent enfants du quartier et éducateurs. Les jardins botaniques servent de classe de sciences naturelles, le kiosque à musique accueille les cours de lecture à haute voix, et les pelouses font office de cour de récréation. L’environnement du parc, avec sa cascade et ses statues, stimule l’imaginaire des enfants tout en ouvrant l’école sur la cité (inspiré par le courant Solarpunk).</t>
  </si>
  <si>
    <t>Marseille, 2050. At Parc Longchamp, a literature teacher with brown skin and silver hoop earrings reads aloud under plane trees. Students of all shades sit cross-legged, notebooks open, wind flipping pages. Light dapples their faces and marble fountains. Photorealistic natural light, handheld 35mm, vivid textures of fabric, leaf, and laughter.</t>
  </si>
  <si>
    <t>https://drive.google.com/file/d/1IMVAaX0LTOiJ0Zo1Wmf8A1Xa2AM0Dc69/view?usp=drive_link</t>
  </si>
  <si>
    <t>Exosquelette de sport</t>
  </si>
  <si>
    <t>Marseille, 2050. In the courtyard of a seaside high school near Sormiou, a physical education class plays basketball under the blazing Mediterranean sun. Among the players, a student wearing a lightweight exoskeleton leaps toward the hoop — metallic braces gleaming along his legs and spine, amplifying his jump with smooth hydraulic precision. His teammates, diverse in skin tones and energy, cheer and rush forward as the ball arcs through the air. The PE teacher, standing at the court’s edge with a whistle around her neck, watches proudly, clipboard in hand. The exoskeleton hums softly, its carbon frame reflecting the orange court markings and the sea’s blue glimmer beyond the fence. Beads of sweat, laughter, and motion fill the scene — a moment of inclusion powered by technology. Photorealistic handheld 35mm, cinematic Solarpunk realism, vivid midday light, sharp focus on metal, fabric, and skin — Marseille’s schools where every body can move, play, and soar.</t>
  </si>
  <si>
    <t>https://drive.google.com/file/d/1xKjcC3r5RyH-cH66JWb2TjfDBCAXPjps/view?usp=drive_link</t>
  </si>
  <si>
    <t xml:space="preserve">Traduction  </t>
  </si>
  <si>
    <t>Marseille, 2050. In the courtyard of an international lycée near La Major, two students — one French-Algerian, the other Korean — sit across from each other at a smart conversation table. Between them, a floating holographic sphere pulses softly with light each time one speaks, projecting instant subtitles in both French and Korean above the table’s surface. As the Korean student laughs and gestures, glowing Hangul characters ripple through the air, seamlessly mirrored by French text on the opposite side. The French student replies, her voice translated in real time through tiny earpieces that shimmer with blue LEDs. Around them, other pairs chat under the Mediterranean sun, voices blending into a calm digital murmur. The marble courtyard glows gold, the basilica’s shadow falling nearby. Photorealistic cinematic realism, handheld 35mm, warm daylight, crisp reflections on glass and skin — Marseille’s future schoolyard where language barriers dissolve in light.</t>
  </si>
  <si>
    <t>https://drive.google.com/file/d/1s0dB9fYxdXFUXAic7b27RJMy2GiqZxbi/view?usp=drive_link</t>
  </si>
  <si>
    <t>Téléprésence d’élèves absents : Un élève hospitalisé à la Timone suit les cours depuis sa chambre grâce à un robot de téléprésence qui se déplace dans sa classe. Le robot, sur roulettes avec écran et caméra, permet à l’adolescent de voir le tableau, de participer aux discussions et même de sortir en récréation virtuelle avec ses amis. La frontière entre présence et distance s’estompe, assurant la continuité éducative même pour ceux qui ne peuvent physiquement être là (inspiré par la science-fiction d’anticipation).</t>
  </si>
  <si>
    <t>Marseille, 2050. Inside a Prado classroom, a telepresence robot rolls between rows. On its screen, a sick student smiles from home. The teacher — a middle-aged Black man — gestures toward it warmly, students wave back. The morning sun paints diagonal light bars across desks. Photorealistic 35mm, poetic everyday futurism.</t>
  </si>
  <si>
    <t>https://drive.google.com/file/d/19g54XFqTL892SxJURUGnckOtI22EWXYv/view?usp=drive_link</t>
  </si>
  <si>
    <t>Tutorat entre élèves : Une demi-journée par semaine, les rôles s'inversent au collège : les élèves plus âgés préparent des mini-leçons pour les plus jeunes, et les plus doués dans une matière aident ceux qui ont des difficultés. On voit ainsi un élève de 3ème animer un atelier d’anglais pour des 6ème, ou une experte en maths de 5ème expliquer une notion à des 4ème. Ce système valorise chacun et renforce la coopération plutôt que la compétition (inspiré par le courant Hopepunk – apprentissage collaboratif).</t>
  </si>
  <si>
    <t>Marseille, 2050. In a spacious, sunlit classroom arranged like an exam hall, rows of long tables fill the room, each shared by pairs of students — older teens mentoring younger children. In the foreground, a 19-year-old student sits beside an 8-year-old boy, leaning forward with calm focus as he explains a math exercise on the child’s tablet. The boy listens intently, his small hand tracing numbers on paper. Around them, in the soft blur of the background, dozens of similar pairs work together — teenagers guiding, encouraging, teaching. Sunlight pours through tall windows, glinting on the desks and illuminating the quiet energy of shared learning. Photorealistic cinematic realism, handheld 35mm, warm Mediterranean tones, wide composition with shallow depth of field — a Marseille classroom alive with mentorship and gentle cooperation.</t>
  </si>
  <si>
    <t>https://drive.google.com/file/d/1D0YlVvmnQu1an5WIpcZS4pz1x9UPUc3d/view?usp=drive_link</t>
  </si>
  <si>
    <t>Artisanat et high-tech main dans la main : Un nouveau lycée d’un genre hybride a ouvert à Marseille, où chaque élève apprend un métier manuel en parallèle des compétences numériques. On y voit un groupe forger un couteau à la forge provençale le matin puis coder une imprimante 3D l’après-midi pour en reproduire le manche en bioplastique. Valoriser autant la menuiserie traditionnelle que la robotique dans un même cursus redonne ses lettres de noblesse aux savoir-faire concrets (inspiré par le courant Solarpunk).</t>
  </si>
  <si>
    <t>Marseille, 2050. Inside a bright carpentry workshop flooded with sunlight, a teacher wearing advanced kinetic gloves controls a futuristic laser-sculpting machine enclosed in transparent glass. Inside the chamber, a block of wood slowly transforms into a perfect sphere, the glowing red laser beam tracing its contours in fluid motion, layer by layer. The teacher’s hand gestures guide the process in real time, every movement echoed by the machine’s precise response. Around the workbench, students in goggles and aprons watch in absorbed silence — some leaning closer to catch the detail, others filming the transformation on their tablets. Behind them, shelves of handcrafted wooden models and digital tools line the sunlit walls, bridging past and future craft. Photorealistic cinematic realism, handheld 35mm, warm tones of wood, glass, and sunlight — a Marseille workshop where artisans sculpt tradition through the gestures of tomorrow.</t>
  </si>
  <si>
    <t>https://drive.google.com/file/d/1tSTzXjNaPUNRChNu_KXo5zS2_ya0dndH/view?usp=drive_link</t>
  </si>
  <si>
    <t>Nature professeur : Une fois par semaine, la classe n’a pas lieu en classe mais sur le terrain. Accompagnés de leurs professeurs, des collégiens partent randonner dans le massif de l’Étoile pour un cours de géologie in situ, ou plongent dans les Calanques avec masque et tuba pour observer les posidonies en cours de biologie marine. À la campagne, un agriculteur local leur fait découvrir la permaculture pendant que leur enseignant de sciences prend des notes avec eux. Cette école du dehors ancre les savoirs dans le réel et renforce le lien à la nature (inspiré par le courant Solarpunk).</t>
  </si>
  <si>
    <t>Marseille, 2050. In the Massif de l’Étoile hills, a geology teacher with tanned skin points at fossil layers. Students squat in dust, recording observations on slates. The light is sharp, colors sun-bleached. A mix of laughter, cicadas, and wind fills the air. Photorealistic 35mm handheld, earthy tones, tactile fieldwork realism.</t>
  </si>
  <si>
    <t>https://drive.google.com/file/d/1ZKNFi19ZoD83MlC0Y9QvLCM4pLP6fjDi/view?usp=drive_link</t>
  </si>
  <si>
    <t>Formation tout au long de la vie : La ville de Marseille, en partenariat avec l’État, a mis en place un crédit formation universel pour ses habitants. À tout âge, chacun peut prendre une "année sabbatique éducative" rémunérée pour apprendre quelque chose de nouveau. On croise ainsi en cours du soir à la fac des trentenaires découvrant la biologie marine, des quinquagénaires se formant aux énergies solaires, ou des retraités s’initiant à la réalité virtuelle pour voyager autrement. Cette soif de savoir intergénérationnelle redynamise la cité phocéenne (inspiré par une utopie sociale).</t>
  </si>
  <si>
    <t>Marseille, 2050. Inside a sun-drenched amphitheater at Aix-Marseille University, rows of students lean over sleek digital desks that glow faintly with holographic notes. Among them sits an elderly woman with silver hair and dark skin, her lined face illuminated by the same blue light as her younger classmates. She listens intently as a professor gestures before a transparent board, formulas and diagrams floating mid-air. Around her, students in their twenties — diverse, curious — glance with respect, sharing quiet smiles. Some wear AR glasses; others type on flexible tablets. The atmosphere hums with intergenerational energy — no hierarchy, just shared learning. Outside the panoramic windows, the Mediterranean glimmers beyond solar canopies and rooftop gardens. Photorealistic cinematic realism, handheld 50mm, warm daylight tones, tactile textures of skin, glass, and light reflections — Marseille’s university of 2050, where every age learns side by side.</t>
  </si>
  <si>
    <t>https://drive.google.com/file/d/1lK1Pxi01PCMvEdYxcZLlF-1QumOYauaE/view?usp=drive_link</t>
  </si>
  <si>
    <t>Retraités-tuteurs à l’école : Un programme municipal recrute des seniors bénévoles pour accompagner les élèves. Dans une école primaire du Camas, chaque retraité parraine un élève : deux soirs par semaine, ils se retrouvent à la bibliothèque pour lire ensemble, faire les devoirs, ou simplement discuter de la vie. Les enfants gagnent un mentor affectueux et patient; les aînés, un sentiment d’utilité et de transmission. Ce mélange des générations ranime l’esprit de village au cœur de la ville (inspiré par le courant Hopepunk).</t>
  </si>
  <si>
    <t>Marseille, 2050. In a small Camas library, a teenage girl helps an elderly man with handwriting practice. The teacher watches from behind a dusty shelf. Afternoon light slants across their faces, ink and paper gleaming. Photorealistic 50mm handheld, cinematic realism with poetic intimacy.</t>
  </si>
  <si>
    <t>https://drive.google.com/file/d/175k2iWpcxPtwrwANs4lwjSd0ku6lhqmW/view?usp=drive_link</t>
  </si>
  <si>
    <t>Echange international facilité</t>
  </si>
  <si>
    <t>Marseille, 2050. Inside the Saint-Charles train station, bathed in bright Mediterranean light filtering through the glass roof, a young student with a backpack stands before a large interactive map table, his hand hovering over glowing destinations — Lisbon, Dakar, Athens, Montréal. The map pulses softly with lines of light connecting cities in real time, labeled Student Exchange Network. Behind him, a few travelers hurry past sleek magnetic trains gleaming in the station’s curve. A rail attendant in a navy vest watches with a friendly smile as the boy confirms his choice, the word “Authorized – Planetary Student Mobility” appearing briefly in holographic text. His backpack is light but worn, a small patch reading Université Marseille. Sunlight glints off the polished floor, blending motion and anticipation. Photorealistic cinematic realism, handheld 35mm, rich travel textures of glass, steel, fabric, and skin — Marseille as a gateway where learning begins with a journey.</t>
  </si>
  <si>
    <t>https://drive.google.com/file/d/1XRTqszkjtPRwqm_86WxFzN7y-5ezVh73/view?usp=drive_link</t>
  </si>
  <si>
    <t>La ville apprenante : Marseille est devenue un immense terrain d’apprentissage à ciel ouvert. Un cours d’histoire se déroule dans les ruelles du Panier où les élèves, guidés par une appli, doivent retrouver des indices du passé médiéval de la ville. En sciences, la classe investit le Muséum d’Histoire Naturelle du Palais Longchamp pour étudier des fossiles régionaux, puis part aux îles du Frioul observer les goélands et comprendre l’écosystème insulaire. Les devoirs ressemblent à des enquêtes urbaines où la ville elle-même fait office de manuel vivant (inspiré par le courant Hopepunk).</t>
  </si>
  <si>
    <t>Marseille, 2050. In a sunlit alley of Le Panier, two schoolchildren crouch beside an old stone wall, studying a digital tablet glowing in their hands. On the screen, a simple treasure map shows a few blocky outlines of buildings and a red X marking the spot, the interface bright against the dusty pavement. One child — a girl with curly hair — traces the route with her finger, while the other — a boy in a striped T-shirt — scans the surroundings, comparing the map to the real street. Behind them, laundry sways above faded shutters, and a stray cat slips past a graffiti-covered door. Photorealistic cinematic realism, handheld 35mm, warm Mediterranean light, shallow depth of field, strong contrast between the cool digital glow and sunlit stone — a Marseille alley turned into a classroom for discovery and play.</t>
  </si>
  <si>
    <t>https://drive.google.com/file/d/1TCfJXk9B28RWx1nfpLxixUu2EwnDQN67/view?usp=drive_link</t>
  </si>
  <si>
    <t>Échange scolaire sur Mars : Marseille s’est jumelée avec la première colonie humaine sur Mars. Chaque année, quelques lycéens marseillais sélectionnés s’envolent pour la planète rouge dans le cadre d’un échange scolaire extraordinaire. En scaphandre dans un dôme pressurisé, ils suivent les cours de géologie martienne le matin et partagent l’après-midi en visiocasque leurs découvertes avec leurs camarades restés sur Terre. Voir de jeunes Marseillais faire un exposé depuis la surface de Mars inspire toute une génération à rêver plus grand que la Terre (inspiré par la science-fiction spatiale).</t>
  </si>
  <si>
    <t>Mars, 2050. Inside a fully transparent classroom dome nestled in the middle of the Martian desert, a small group of students in lightweight red-and-white space suits sits at curved desks beneath a glass ceiling. The walls and roof form a seamless bubble, perfectly clear yet shimmering slightly under the thin atmosphere. Outside, the rust-red dunes stretch endlessly, scattered with research modules and solar arrays glinting under the pale sun. Inside, a teacher in a flexible pressure suit stands beside a holographic screen showing a live Zoom call with a classroom in Marseille — bright blue Mediterranean light and children waving on Earth fill the display. One Martian student proudly lifts a small green plant sprout grown in local soil, holding it up for their Earth peers to see, while another takes notes on a transparent tablet. Light refracts through the dome, casting soft orange highlights across faces, tables, and floor. Photorealistic cinematic realism, handheld 35mm, crisp red and amber tones against cool Earth blues, detailed reflections on glass — a serene vision of education beyond worlds, where Marseille meets Mars under the same sun.</t>
  </si>
  <si>
    <t>https://drive.google.com/file/d/1h56VBP1qsjQnxXNGS864y5frBUsy-pSr/view?usp=drive_link</t>
  </si>
  <si>
    <t>Club nano-technologie : Dans un collège, un club scientifique d’après-cours donne aux élèves accès à la nanotechnologie. Avec un microscope à force atomique, ils programment des essaims de nano-robots pour qu’ils nettoient l’eau d’un aquarium pollué. D’autres conçoivent des nanoparticules qui, ajoutées à la peinture des bancs publics, les empêchent de surchauffer en été. Ce qui relevait de la science-fiction est devenu une activité ludique et écologique pour ces jeunes innovateurs (inspiré par la science-fiction futuriste sur les nanotechnologies).</t>
  </si>
  <si>
    <t>Marseille, 2050. In a Vieux-Port nano-lab, a teacher with short gray hair demonstrates a micro-robot test. Students lean close, the holographic data casting blue light on their faces. Through the window, sails glint in the distance. Photorealistic handheld 50mm, deep contrast, tactile realism of human curiosity.</t>
  </si>
  <si>
    <t>https://drive.google.com/file/d/1fHxTi8Bq-nA6q8dSoTcyRv8p4dEkEZ3Y/view?usp=drive_link</t>
  </si>
  <si>
    <t>Histoire en réalité virtuelle : Pour rendre l’histoire vivante, un professeur marseillais utilise la VR pour plonger ses élèves dans le passé. Un jour, la classe entière se retrouve à Massalia en 300 av. J.-C. : munis de casques, les élèves déambulent dans le port antique reconstruit en détail, croisent des Grecs et des Ligures, et assistent à une scène de marché antique. L’immersion est telle qu’en ôtant le casque, ils ont l’impression de revenir d’un voyage dans le temps. De retour dans la salle, le débat est passionné pour distinguer ce qu’ils ont vu de la réalité historique documentée (inspiré par la science-fiction historique).</t>
  </si>
  <si>
    <t>Marseille, 2050. In a digital archaeology classroom, a teacher of North African descent helps students remove VR headsets after visiting ancient Massalia. Dust motes float in projector light; models of ships and temples hover mid-air. Photorealistic 50mm handheld, deep texture and light, human wonder.</t>
  </si>
  <si>
    <t>https://drive.google.com/file/d/1dpXSCfvLJfHqBXhPv6vJ3QBQliX3-t7q/view?usp=drive_link</t>
  </si>
  <si>
    <t>groupe n'a pas changé entre T1 et T2</t>
  </si>
  <si>
    <t>63 enlevée entre T2 et T3</t>
  </si>
  <si>
    <t>C</t>
  </si>
  <si>
    <t>Tour d’arcologie éducative : Une tour-école verticale domine la skyline marseillaise. Sur des dizaines d’étages autosuffisants, on trouve potagers hydroponiques, ateliers de robotique, serre tropicale et observatoire astronomique. Les élèves prennent des ascenseurs-jardins pour passer de la classe de littérature en bas, baignée de lumière naturelle, au laboratoire de chimie tout en haut avec vue sur toute la ville (inspiré par le courant Solarpunk).</t>
  </si>
  <si>
    <t>Marseille, 2050. Inside a towering vertical glass school at La Joliette, students move between subjects in a seamless flow of learning. In the foreground, a transparent elevator glides upward through a sunlit atrium filled with greenery. Inside, a teacher stands beside students, pointing toward two visible classrooms stacked above one another — the chemistry lab on the upper level, where colored liquids bubble in clear tubes, and the robotics workshop just below, where mechanical arms and student-built drones gleam under soft light. The walls and ceiling are entirely transparent, revealing the skyline, solar panels, and reflections of the harbor below. Students step out of the elevator mid-frame, some entering robotics, others rising toward chemistry. Photorealistic cinematic realism, handheld 35mm, warm Mediterranean brightness, reflections on glass, detailed human and mechanical textures — an architectural vision of Marseille’s transparent, interconnected education of 2050.</t>
  </si>
  <si>
    <t>https://drive.google.com/file/d/1MYQymWLreUpEhTiwThsgXOqHA_JQxhBI/view?usp=drive_link</t>
  </si>
  <si>
    <t>Enquête dans la ville</t>
  </si>
  <si>
    <t>Marseille, 2050. On the Corniche Kennedy, a history teacher of North African descent gestures toward AR ruins overlaying the rocks. A Black student sketches; a red-haired classmate records notes. Sea spray blurs the edges. Photorealistic street-photo realism, high-contrast Mediterranean light.</t>
  </si>
  <si>
    <t>https://drive.google.com/file/d/1R3kylnvAD23hjccwzGCXjkBXUEntgoVe/view?usp=drive_link</t>
  </si>
  <si>
    <t>Assistant-robot en classe : Dans une école primaire de Marseille, un robot humanoïde aux airs amicaux aide l’enseignant au quotidien. Il projette les leçons, corrige des exercices simples et peut même répéter patiemment une explication individuellement à un élève en difficulté pendant que la maîtresse s’occupe du reste de la classe. Les enfants, d’abord intrigués, se sont attachés à ce "prof d’appoint" en métal qui a su trouver sa place sans remplacer l’humain (inspiré par la science-fiction robotique).</t>
  </si>
  <si>
    <t>Marseille, 2050. In a bright primary school classroom in Noailles, a French-Caribbean teacher with round glasses stands beside a single humanoid assistant-robot with a smooth metallic surface and gentle blue eyes. The room is warm and filled with natural light filtering through tall windows covered in green vines. The teacher explains a reading exercise to the class while the robot quietly projects supporting text and images onto a nearby wall. A few children sit cross-legged on colorful mats, following the projection with curiosity. One student raises a hand; the robot turns its head slightly, ready to repeat the teacher’s explanation in a soft, calm voice. The atmosphere feels balanced — human warmth and mechanical precision coexisting easily. On a nearby shelf, handwritten drawings and solar-powered toys show a blend of old and new Marseille. Photorealistic handheld 35mm, natural color palette with warm daylight and gentle reflections on metal — a cinematic portrait of learning shared between human and machine.</t>
  </si>
  <si>
    <t>https://drive.google.com/file/d/1FKFXnbn0PHm13A_DT5JITbsOwoLgM_6p/view?usp=drive_link</t>
  </si>
  <si>
    <t>Correction par IA instantanée : Les devoirs des élèves sont désormais corrigés en quelques secondes par une intelligence artificielle centralisée. Au fur et à mesure qu’un lycéen rédige son essai sur sa tablette, l’IA souligne les incohérences, propose des pistes d’amélioration, voire suggère des références à consulter. Si la réactivité motive les élèves à se corriger immédiatement, le regard bienveillant du professeur humain reste indispensable pour l’accompagnement personnalisé (inspiré par la science-fiction d’anticipation éducative).</t>
  </si>
  <si>
    <t>Marseille, 2050. Inside a bright classroom overlooking the Vieux-Port, a student types on a transparent tablet built into the desk. As he works, the surface suddenly lights up with a glowing red warning icon marked “AI”, hovering just above the glass. The student pauses, eyes fixed on the alert as the letters pulse gently — an AI assistant signaling a mistake or ethical flag in his work. Reflected in his pupils, the word “AI” flickers between caution and guidance. Other students continue working quietly at nearby desks, their own devices humming with soft light. Sunlight filters through tall windows, glinting on metal joints and polished floors, blending the warmth of Marseille with cool digital precision. Photorealistic cinematic realism, handheld 35mm, strong focus on the glowing alert and the student’s reaction — the intimate moment when artificial intelligence becomes both tutor and conscience.</t>
  </si>
  <si>
    <t>https://drive.google.com/file/d/1FcoS6JUULUM7vWr5-CGodf19esG4tN5T/view?usp=drive_link</t>
  </si>
  <si>
    <t>Tablettes solaires en plein air : Dans les jardins du Palais du Pharo surplombant la mer, une classe de collégiens étudie en plein soleil sans craindre la panne de batterie. Leurs tablettes à recharge solaire intégrée puisent l’énergie du jour pour alimenter cours et exercices. Assis dans l’herbe face au Vieux-Port, les élèves alternent entre activités numériques et observations du réel, profitant du climat tout en restant connectés au savoir (inspiré par le courant Solarpunk).</t>
  </si>
  <si>
    <t>Marseille, 2050. On the lawn of the Palais du Pharo, a small group of students studies around a shared solar-panel table overlooking the Vieux-Port. The wide, matte surface of the panel shows a clear geometric pattern of photovoltaic cells — dark blue hexagons connected by fine copper lines — with laptops and tablets plugged directly into it through illuminated ports. A teacher in light linen gestures toward the power indicator integrated into the table’s edge, explaining how sunlight feeds their devices. Around them, other park visitors use identical solar tables to recharge phones or read in the shade. The scene is calm and focused, bathed in soft Mediterranean daylight. Photorealistic cinematic realism, handheld 35mm, clear detail on the cell texture of the panel, balanced natural light — Marseille’s open-air classroom where clean energy powers knowledge.</t>
  </si>
  <si>
    <t>https://drive.google.com/file/d/1CXy6CKkgq4h74SCrylhKLr40YiKkdY-Q/view?usp=drive_link</t>
  </si>
  <si>
    <t>Sport et plein air quotidiens : Conscient que l’apprentissage passe aussi par le corps, le système éducatif a intégré l’activité physique au quotidien. Chaque matin, un groupe de lycéens commence la journée par un footing le long de la plage des Catalans au lever du soleil, tandis que d’autres font du tai-chi dans le parc Borély. Des jeux en réalité augmentée encouragent aussi les moins sportifs en rendant le parcours de santé interactif. Résultat : des élèves en meilleure santé et plus réceptifs en classe (inspiré par une utopie sociale).</t>
  </si>
  <si>
    <t>Marseille, 2050. At sunrise on Les Catalans beach, a sport teacher in his forties runs backward on the damp sand, eyes fixed on the biometric data glowing across the smart t-shirts of his students — a group of children and teenagers jogging toward him. Each shirt projects dynamic holographic stats — heart rate, breathing rhythm, speed — in soft neon hues that pulse with every movement. The teacher calls out encouragements, adjusting his pace as he reads their data mid-run, his reflection gliding across the wet shoreline. The Mediterranean sun rises low, painting the sea in pink and gold while holographic light flickers over sand and waves. The children laugh, some racing each other, others slowing to catch their breath, their glowing shirts forming a moving constellation of effort and energy. Photorealistic cinematic realism, handheld 35mm, warm dawn light, tactile textures of sand, fabric, and motion — a Marseille morning where sport and technology flow together in rhythm.</t>
  </si>
  <si>
    <t>https://drive.google.com/file/d/12p258240CFm9GXhHQRbcrS3q8sHfri9v/view?usp=drive_link</t>
  </si>
  <si>
    <t>Rythme personnalisé d’apprentissage : L’âge n’est plus le critère de progression à l’école. Dans un même lycée, on trouve des élèves de 15 à 18 ans mélangés selon leur avancement dans chaque matière. Une jeune prodige de 14 ans suit déjà les séminaires avancés de biologie aux côtés des terminales, tandis qu’un autre à 17 ans prend son temps sur les modules artistiques pour parfaire son portfolio. Chacun obtient son diplôme lorsqu’il a validé toutes les compétences requises, qu’il lui ait fallu deux ans ou cinq ans, offrant une flexibilité bienveillante pour tous les parcours (inspiré par une utopie pédagogique).</t>
  </si>
  <si>
    <t>Marseille, 2050. In a math lab at Lycée Thiers, an accelerated learning circle works around a holographic proof. The teacher — a tall woman with dark curls and glasses — leans over the table. Students of varied origins trace glowing lines mid-air. The room hums with focus. Photorealistic interior light, shallow DOF, glass reflections.</t>
  </si>
  <si>
    <t>https://drive.google.com/file/d/1rfoRQhmY2C9JUvD_-wa9jxQ0ThukySap/view?usp=drive_link</t>
  </si>
  <si>
    <t>Conseil municipal des jeunes : À l’Hôtel de Ville de Marseille, des adolescents élus par leurs écoles siègent au Conseil des Jeunes. Doté d’un budget participatif, ce mini-parlement propose et vote des projets concrets pour la ville : végétaliser une rue, installer des abris de bus connectés, organiser un festival éco-responsable. Les délibérations sont retransmises en ligne et les élus adultes s’engagent à étudier chaque proposition adoptée. Les jeunes apprennent ainsi la démocratie en la pratiquant réellement (inspiré par le courant Hopepunk).</t>
  </si>
  <si>
    <t>Marseille, 2050. Inside the assembly hall of a Marseille high school, sunlight filters through tall windows onto rows of seated students and teachers. At the front, a student in casual clothes — sneakers, jeans, and a light shirt — steps forward to receive a traditional paper diploma from the principal. As the document touches his hands, a holographic green chain symbol — semi-transparent, glowing softly like a floating anchor link — appears above it, pulsing gently to signal blockchain verification. The audience watches, impressed but calm, a blend of ceremony and innovation. On a side wall, a minimalist screen quietly confirms: Diplôme certifié sur registre public — Lycée Marseille 2050. Around the hall, other students smile, clap, and record on their phones, the hum of pride and technology blending naturally. Photorealistic cinematic realism, handheld 50mm, warm indoor light with holographic reflections, detailed mix of paper, glass, and digital glow — a Marseille graduation where authenticity is both tangible and transparent.</t>
  </si>
  <si>
    <t>https://drive.google.com/file/d/1m5Ui6AoOXVjMYBcnEvnhrcEHrqFOxje0/view?usp=drive_link</t>
  </si>
  <si>
    <t>à part 9 pas de changement, n'ont pas fait T3</t>
  </si>
  <si>
    <t>C n'a pas fait T3</t>
  </si>
  <si>
    <t>E</t>
  </si>
  <si>
    <t>Classe sous-marine côtière : Au large de la Côte Bleue, une salle de classe subaquatique transparente est installée sous la mer. Les élèves, équipés de combinaisons légères, assistent au cours entourés de poissons et de coraux méditerranéens, apprenant la biologie marine et la protection de l'océan en immersion totale sous un dôme de verre (inspiré par la science-fiction classique des cités sous-marines).</t>
  </si>
  <si>
    <t>Marseille, 2050. Inside an underwater dome near Frioul, a marine-biology class observes fish gliding past the glass wall. The teacher’s voice echoes softly as she points at algae marked with AR tags. Shafts of turquoise light ripple across notebooks and faces. Photorealistic, cinematic realism, crisp aquatic reflections, still and immersive documentary feel.</t>
  </si>
  <si>
    <t>https://drive.google.com/file/d/1k-01W34x5b6405_KqUI1cdXTtNop8CJ-/view?usp=drive_link</t>
  </si>
  <si>
    <t>Campus spatial simulé : À l’Observatoire de Marseille, un campus spatial d’entraînement reproduit les conditions d’un voyage cosmique. Les élèves en combinaison effectuent des "missions" dans des capsules simulant la gravité martienne ou le vide spatial. Ils apprennent l’astrophysique en vivant comme sur un vaisseau pendant quelques jours, préparant pourquoi pas de futures vocations d’astronautes (inspiré par la science-fiction spatiale).</t>
  </si>
  <si>
    <t>Marseille, 2050. Inside the space training campus at the Marseille Observatory, a student wearing a white VR exploration suit stands at the center of a circular lab, fully immersed in a virtual Mars simulation. Her helmet visor glows red-orange, reflecting holographic sand dunes and distant craters as she slowly moves her gloved hands to navigate the terrain. Around her, other students and a teacher watch the mission unfold on large curved screens projecting real-time images of Mars — dust storms swirling, solar panels glinting on the horizon. The teacher, a woman with dark hair tied back, points to surface readings displayed in luminous text, explaining atmospheric pressure variations. The room hums with quiet concentration, cables and control tablets scattered on sleek workstations. Overhead, the lighting is dim, the glow from the red holograms painting faces and walls. Photorealistic handheld 35mm, cinematic sci-fi realism, subtle reflections on glass and helmets, tactile details of fabric, light, and technology — Marseille’s Observatory reborn as a gateway to the cosmos.</t>
  </si>
  <si>
    <t>https://drive.google.com/file/d/1qqAb3u9h1r-QT8-il-EwTnKEKtlcwv2q/view?usp=drive_link</t>
  </si>
  <si>
    <t>Contrôle d’accès par reconnaissance faciale : À l’entrée d’un nouveau lycée sécurisé de Marseille, plus de badge ni de surveillant : une caméra scanne le visage de chaque élève et ouvre le portail automatiquement en le saluant par son prénom. Cette fluidité high-tech rassure sur la sécurité et évite les retards, mais alimente aussi les débats sur le fichage et les libertés individuelles à l’école (inspiré par le courant Cyberpunk).</t>
  </si>
  <si>
    <t>Marseille, 2050. Wide-angle close-up of a child’s face standing just before a closed school gate equipped with a metal detector and facial scanner. A thin red laser grid sweeps across his eye and cheek, its reflection glinting in his pupil as the gate’s steel frame looms inches away. The scanner’s light flickers on polished metal, highlighting warning symbols and access indicators. In the background, through shallow depth of field, a long row of students waits silently outside under the pale Mediterranean morning sun, their uniforms catching soft reflections from the glass façade. The gate remains shut, tension between warmth and control. Photorealistic cinematic realism, handheld 24mm, crisp contrast between sunlight, cold steel, and the red biometric glow — Marseille’s school entrance where every morning begins with a scan.</t>
  </si>
  <si>
    <t>https://drive.google.com/file/d/1Dfg_AAyDdWO38zNgo0B8__H1r14Nwtq_/view?usp=drive_link</t>
  </si>
  <si>
    <t>Diplômes blockchain : Les qualifications des élèves sont enregistrées dans une blockchain éducative infalsifiable plutôt que sur un diplôme papier. Un lycéen marseillais accumule ainsi des badges numériques tout au long de son parcours : un badge d’or en programmation obtenu après un projet open-source, une certification de niveau C1 en anglais délivrée par une IA examinatrice, etc. À la fin de ses études, il présente son portefeuille numérique à l’Université ou aux employeurs, qui peuvent en vérifier l’authenticité instantanément en ligne (inspiré par une anticipation techno-décentralisée).</t>
  </si>
  <si>
    <t>Marseille, 2050. Inside the assembly hall of a Marseille high school, warm sunlight filters through tall windows, illuminating rows of seated students and teachers gathered for a graduation ceremony. At the front of the room, a student in casual clothes — jeans, sneakers, and a light shirt — steps forward to receive his baccalauréat diploma from the principal, who stands with a proud smile. The paper diploma, freshly printed and held between their hands, glows faintly as a holographic green chain symbol — semi-transparent, softly pulsating, shaped like interlocking digital links — appears just above it, signifying blockchain verification. The audience watches attentively, phones raised to capture the moment, faces lit by both sunlight and the green holographic glow. On a nearby wall, a minimalist digital display reads subtly: Diplôme certifié sur registre public — Lycée Marseille 2050. Around the hall, gentle clapping fills the air — a mix of tradition and innovation, paper and light. Photorealistic cinematic realism, handheld 50mm, warm Mediterranean tones, balanced contrast between natural sunlight and holographic glow — a Marseille graduation where the timeless ritual of achievement meets the quiet precision of future technology.</t>
  </si>
  <si>
    <t>https://drive.google.com/file/d/1oc2uT2Wz6Ou-v61FqO5ekhDvYhUOBody/view?usp=drive_link</t>
  </si>
  <si>
    <t>Festival de l’éducation : Chaque année, Marseille organise un grand festival où les élèves deviennent les professeurs le temps d’une semaine. Sur le Vieux-Port, des stands tenus par des collégiens et lycéens proposent aux passants des ateliers ludiques : initiation à la programmation de drones marins, démonstration de chimie spectaculaire, cours express d’occitan ou de langue des signes. Des débats, des concerts par des chorales d’école et des expositions de travaux d’élèves animent la ville. L’éducation sort des murs et devient une célébration populaire accessible à tous (inspiré par le courant Hopepunk).</t>
  </si>
  <si>
    <t>Marseille, 2050. On the Vieux-Port promenade, a public science fair stand bustles under white canopies fluttering in the sea breeze. A chemistry teacher of Algerian heritage kneels beside a group of students gathered around a transparent experiment table, where a column of soft blue vapor curls into the sunlight. The children’s faces glow with excitement, one holding a sensor tablet, another recording with a smartphone. Behind them, crowds wander between colorful booths, and the Mediterranean sparkles under the warm afternoon light. A banner reads Fête des Sciences de Marseille. Photorealistic cinematic realism, handheld 35mm, crisp Mediterranean tones, bright reflections on metal and glass, dynamic composition — a lively Marseille scene celebrating knowledge, community, and sea air.</t>
  </si>
  <si>
    <t>https://drive.google.com/file/d/1xBhteJsA8SE57egv_hBsT42Ofa03ScNd/view?usp=drive_link</t>
  </si>
  <si>
    <t>ajout entre T1 et T2</t>
  </si>
  <si>
    <t>Méditation et yoga quotidiens : Chaque matin, le lycée commence par 15 minutes de calme. Dans la cour ombragée par des pins, les élèves pratiquent quelques postures de yoga et des exercices de respiration guidés par un hologramme apaisant projeté près de la fontaine. Cette routine matinale de pleine conscience aide à réduire le stress et à favoriser la concentration en cours, installant une atmosphère sereine pour la journée (inspiré par le courant Hopepunk).</t>
  </si>
  <si>
    <t>Marseille, 2050. In the courtyard of a Marseille lycée, a group of students in everyday clothes — jeans, t-shirts, sneakers, light jackets — practices slow chi gong movements beneath tall pine trees. Their backpacks are neatly placed beside them on the pale stone ground, ready for the school day to begin. The students move in quiet unison, arms rising and circling gracefully in the warm Mediterranean morning light. A teacher of East Asian descent stands at the front, demonstrating each movement with calm precision. Sunlight filters through the branches, dappling faces and backpacks; the distant sea glimmers beyond the courtyard wall. Photorealistic cinematic realism, handheld 35mm, natural tones, soft light, and subtle motion blur — Marseille’s students greeting the day in rhythm with breath, balance, and southern light.</t>
  </si>
  <si>
    <t>https://drive.google.com/file/d/1KWlYUGR5zjPjDXdpwEYuBV86Ttjyu26f/view?usp=drive_link</t>
  </si>
  <si>
    <t>Transmission des savoirs locaux : Une fois par trimestre, les écoles marseillaises organisent la Semaine des Savoirs Anciens. Des artisans et habitants viennent y enseigner aux élèves les richesses du patrimoine vivant : un maître savonnier apprend aux enfants à fabriquer le savon de Marseille, un pêcheur du Vallon des Auffes leur montre comment réparer un filet et connaître les poissons de la côte, une conteuse venue des Comores partage un conte traditionnel sur fond de musique. Ces rencontres enracinent l’école dans sa culture locale tout en célébrant la diversité (inspiré par le courant Hopepunk).</t>
  </si>
  <si>
    <t>Marseille, 2050. In Vallon des Auffes, a fisherman with sunburned skin teaches knot-tying alongside a young tech teacher of Malagasy descent. Students gather around, some filming, some trying to imitate the motion. The light burns amber on their hands and ropes. Photorealistic handheld realism, textured humanity, Marseille color palette.</t>
  </si>
  <si>
    <t>https://drive.google.com/file/d/1KCRrci5pmuuC5FYGvjVfhNecRLmNNIY3/view?usp=drive_link</t>
  </si>
  <si>
    <t>Remarque</t>
  </si>
  <si>
    <t>Valide (1 = oui)</t>
  </si>
  <si>
    <t>zoom haut-droit (1 = oui)</t>
  </si>
  <si>
    <t>distance à l'idéal (10/10)</t>
  </si>
  <si>
    <t>environnement</t>
  </si>
  <si>
    <t>par rapport au précédent atelier, les élèves ont bien compris les deux axes</t>
  </si>
  <si>
    <t>Élève-Sonde : Lecture Directe du Vivant Solaire. Inspiré par le Solarpunk, le scénario montre une étudiante agenouillée sur un toit-jardin urbain. Elle utilise une sonde numérique alimentée par les panneaux solaires voisins pour lire l'état du sol et de l'air ambiant. L'éducation sort des murs pour se lier à la gestion concrète de l'oasis de biodiversité, formant les jeunes aux métiers de la résilience climatique.</t>
  </si>
  <si>
    <t>A focused young adult student, wearing practical field gear, kneels on a sunny, green rooftop classroom. She is meticulously inserting a rugged, high-tech probe into a planter box filled with drought-resistant Mediterranean plants (rosemary, thyme, succulents). Behind her, rows of visible solar panels catch the sun, and the background shows the edge of the rooftop garden with other students and a teacher in soft focus. Her action, centered in the frame, is the direct measurement of soil moisture and composition, with a small, attached screen displaying real-time data overlaid with holographic graphs. The scene explicitly combines solar energy, biodiversity, and practical education. Realistic photography, 35mm sensor, cinematic light, ultra-realistic detail.</t>
  </si>
  <si>
    <t>https://drive.google.com/file/d/1brfp_3ww49nn4tc4Gxkt_n8pqQlDtJH5/view?usp=drive_link</t>
  </si>
  <si>
    <t>nano banana</t>
  </si>
  <si>
    <t>pas de notes</t>
  </si>
  <si>
    <t>Classes solaires sous les pins parasols	Dans les calanques, des étudiants apprennent l'écologie marine sous des voiles photovoltaïques tissées, leurs tablettes transparentes alimentées par le soleil projetant des données sur l'eau. L'énergie solaire alimente aussi des pompes pour un système d'aquaponie éducatif intégré aux rochers.</t>
  </si>
  <si>
    <t>A candid photograph captures a group of diverse students in an open-air classroom on a Mediterranean coast, under large, translucent solar-panel canopies shaped like sails. They are sitting on wooden benches carved into the rock, looking at transparent tablets that display marine life data. In the center, a teacher points to a small aquaponics system built into the cliff, with water flowing through sun-powered glass tubes. The sun is setting over the sea. The style is naturalistic and warm.</t>
  </si>
  <si>
    <t>https://drive.google.com/file/d/12HGPBPqNgAOQJ5tMlZ7AN2XvPaiezzYW/view?usp=drive_link</t>
  </si>
  <si>
    <t>Restauration récifale par analyse spectrale immersive. Équipés de recycleurs et de gants de données haptiques, des étudiants réalisent l'analyse spectrale de colonies de coraux en détresse. Ce cours de bio-littératie sur site participe activement à la régénération des écosystèmes côtiers.</t>
  </si>
  <si>
    <t>A documentary-style underwater photograph shows a marine biology student, wearing a compact rebreather and a complex haptic data glove, carefully touching a piece of bleached coral on a Mediterranean reef. A waterproof, translucent holographic screen floats next to their hand, projecting real-time spectral data graphs and colorful diagnostic overlays onto the coral structure. Sunlight filters down through clear blue waters. Other student divers are visible in the background carrying similar equipment. The gear looks rugged and experimental. Film grain.</t>
  </si>
  <si>
    <t>https://drive.google.com/file/d/1d6aqW_lTwONn_Vzg7zkzyb3oB71FAc-o/view?usp=drive_link</t>
  </si>
  <si>
    <t>Leçon d'anatomie marine par la lumière tangible. Sous une pergola bioclimatique face à la mer, une étudiante manipule d'un geste précis l'hologramme complexe d'une posidonie géante. L'interface gestuelle permet de disséquer virtuellement la plante pour comprendre sa résilience au réchauffement climatique.</t>
  </si>
  <si>
    <t>A documentary-style photograph taken with a 35mm lens. A young woman, a university student, stands on a terraced coastal outdoor laboratory overlooking the Mediterranean sea. She wears sleek, sensors-embedded haptic gloves. Her hands are raised, actively manipulating a large, translucent, glowing green and blue holographic projection of a complex Posidonia oceanica seagrass root system that floats in the air before her. Other students are in the blurred background. The sunlight is bright, golden hour. The architecture is stone and wood, integrated with plants.</t>
  </si>
  <si>
    <t>https://drive.google.com/file/d/1Qj5Cx_NoOyusSk0sZFQDkl-kafsWrCSV/view?usp=drive_link</t>
  </si>
  <si>
    <t>Échange Silencieux, Connexion Profonde/ Dans un monde ou on s'échange des connaissances via un appareille connecte comme le Bluetooth sans besoin de parler que deviens les échanges humain ?</t>
  </si>
  <si>
    <t>A futuristic, realistic photograph of a group of students in a sleek, minimalist learning space with warm, natural light. They are all wearing small, almost imperceptible neural interface devices on their temples. One student in the foreground is looking intently at another, their hands slightly raised as if in a gesture of shared understanding, even though no words are being spoken. The background shows subtle holographic projections of data and knowledge floating in the air.</t>
  </si>
  <si>
    <t>https://drive.google.com/file/d/1EOEXx-FE2I00HTdtwmKWBV37237WOQoY/view?usp=drive_link</t>
  </si>
  <si>
    <t>L'Archipel des Esprits, Apprendre par l'Action Collective. Dans un monde ou l'échange instantané de données libère le temps de l'apprentissage théorique pour l'appliquer. Les étudiants se rassemblent dans d'anciens jardins-écoles méditerranéens, où ils utilisent leur savoir commun pour réparer la biodiversité locale. Leur connexion neurale remplace les longues discussions par une intelligence collective haptique focalisée sur le geste, recréant un lien social fondamental basé sur la co-création.</t>
  </si>
  <si>
    <t>Ultra-realistic contemporary photograph, 35mm sensor, cinematic lighting. A young adult, central in the foreground, with warm Mediterranean sunlight illuminating their face. They are standing in a lush, rewilded rooftop garden with terracotta pots and solar panels visible in the background. They are wearing a small, subtle ear-worn device. The person is actively grafting a plant, one hand touching a glowing section of the plant where a holographic data-stream (knowledge of plant biology) is subtly overlaid, indicating a non-verbal knowledge transfer. The atmosphere is serene and deeply focused.</t>
  </si>
  <si>
    <t>https://drive.google.com/file/d/1U7f1XvGmZg9ZfLRJ62MCXWRSYBUAcZgc/view?usp=drive_link</t>
  </si>
  <si>
    <t>pas d'image</t>
  </si>
  <si>
    <t>Rencontre Inattendue, Leçon Sauvage. Dans un avenir où la technologie a brisé les barrières de la communication, les humains et les animaux partagent un dialogue continu. La jeune femme de la réserve méditerranéenne s'est approchée du cerf, utilisant son traducteur vocal, et ils échangent, le cerf lui transmettant calmement des savoirs ancestraux sur les rythmes de la nature et l'équilibre des écosystèmes.</t>
  </si>
  <si>
    <t>A realistic photograph of a young woman in an olive grove, gently speaking to a majestic stag. She holds a small, elegant bio-luminescent device near her mouth, which glows softly, indicating it's actively translating. The stag, looking directly at her, has a serene and understanding expression, its head slightly tilted as if listening intently and about to respond. The atmosphere is one of profound connection and shared knowledge, bathed in warm, dappled sunlight.</t>
  </si>
  <si>
    <t>La Synapse Captive, L'Écho Froid du Savoir Formaté. Dans un environnement urbain sombre et saturé, l'éducation est réduite à un téléchargement de données massif et obligatoire via des ports neuraux administrés par l'État. Le contact visuel et le dialogue sont considérés comme des "interférences de bande passante". Un étudiant, cherchant désespérément un savoir non-validé ou une voix humaine oubliée, tente de pirater le flux officiel avec un vieux module déconnecté.</t>
  </si>
  <si>
    <t>Ultra-realistic contemporary photograph, 35mm sensor, harsh neon lighting casting strong shadows. A student (young adult) is huddled in a narrow, rainy alleyway, cyberpunk aesthetic, with glowing data cables running along the damp walls. The person's face is illuminated by the sickly blue-green light of a crude, handheld, DIY device they are desperately trying to operate. A thick cable connects the device to a port on their neck or temple. Their expression is anxious and isolated, highlighting the loss of genuine human interaction in this controlled education system.</t>
  </si>
  <si>
    <t>https://drive.google.com/file/d/1zB9aVoEuaWOaRtDOTITvV38QQkZYAAeP/view?usp=drive_link</t>
  </si>
  <si>
    <t>L'École Nomade des Horizons Infinis. Les élèves, équipés de casques de réalité augmentée, explorent les fonds marins virtuels, tandis que leur professeur, tel un guide d'expédition, les interpelle pour souligner la biodiversité. L'apprentissage se fait par immersion sensorielle, chaque leçon étant une aventure au-delà des murs de la salle de classe.</t>
  </si>
  <si>
    <t>A realistic photograph of a diverse group of students wearing sleek augmented reality headsets, exploring a vibrant, virtual underwater world. Their "adventurer" professor, dressed in practical, modern outdoor gear, points emphatically at a glowing coral reef, his face animated with discovery. The setting is bright and futuristic, with holographic projections of marine life floating around them.</t>
  </si>
  <si>
    <t>https://drive.google.com/file/d/1_O9u0zAjfutIGoATXCvfc86Pt9YUClrx/view?usp=drive_link</t>
  </si>
  <si>
    <t>pas de note</t>
  </si>
  <si>
    <t>Le Cloître des Savoirs Confisqués. Dans cet avenir clos, les salles de classe sont des cellules austères où les informations sont dictées. Les élèves, immobiles, recopient sans comprendre, sous le regard impassible de leur instructeur, dont la présence dissuasive interdit toute initiative.</t>
  </si>
  <si>
    <t>A realistic photograph captures a stark, windowless classroom where rows of students sit rigidly at individual desks, copying text from a glowing screen at the front. The "teacher," a stern-faced figure in a dark, authoritative uniform, stands guard at the door, arms crossed, overseeing the silent, uncreative learning environment. The lighting is dim, casting long shadows.</t>
  </si>
  <si>
    <t>https://drive.google.com/file/d/1_wDlIQS38P-wlSs2oG86zhtLrugChScf/view?usp=drive_link</t>
  </si>
  <si>
    <t>L'Étincelle de la Rébellion. Soudain, un élève audacieux brise le silence oppressant du cloître, sa voix résonnant tel un cri de guerre. "Vive la liberté !" s'écrie-t-il, un défi lancé aux murs et à l'autorité figée, rallumant l'espoir d'une éducation où la découverte n'est plus un crime.</t>
  </si>
  <si>
    <t>A realistic photograph captures a dramatic moment in the austere, windowless classroom. A young student, defiant and exhilarated, stands in the doorway, mid-shout, his arm raised in triumph, proclaiming "Vive la liberté!" The stern "teacher" in uniform, standing at the front, turns sharply, his face a mask of shock and anger, while the other students in their rigid postures glance up, a mix of fear and dawning hope on their faces. The scene is lit with a sudden, intense flash from the doorway, contrasting with the dim interior.</t>
  </si>
  <si>
    <t>https://drive.google.com/file/d/1qAw9ePCIDoXeXP97MXjgfpAl0Qv468q_/view?usp=drive_link</t>
  </si>
  <si>
    <t>L'Évasion Fleurie des Songes. Malgré l'oppression, un secret s'est répandu : un jardin luxuriant, sanctuaire de verdure et de chants d'oiseaux, s'offre aux esprits comme une échappée belle. C'est là que, loin des regards, les élèves cultivent en secret les graines de la liberté.</t>
  </si>
  <si>
    <t>A realistic photograph, contrasting sharply with the previous scenes, shows a vibrant, sun-drenched secret garden. Lush Mediterranean flora bursts with color, and exotic birds perch on branches, their songs filling the air. Hidden amongst the foliage, several students, no longer in their rigid uniforms, are seen sketching, reading, or simply gazing up at the sky with expressions of pure wonder and peace. One student, in the foreground, gently touches a fragrant flower, a symbol of their cherished freedom.</t>
  </si>
  <si>
    <t>https://drive.google.com/file/d/1_MRH8gz7B0AYj2l9FaH1oAWrab3Gi1I7/view?usp=drive_link</t>
  </si>
  <si>
    <t>L'Éveil du Robot-Observateur. Du coin de la salle, le petit robot, témoin silencieux de la rébellion, voit l'élève crier "Vive la liberté !". Une interrogation inattendue s'allume dans son circuit : "Qu'est-ce que la liberté ? Y ai-je droit ? Je veux y goûter." Une quête existentielle prend racine dans sa programmation.</t>
  </si>
  <si>
    <t>A realistic photograph captures the intense classroom scene from the low perspective of a small, discreet robot in the corner. The defiant student is in the doorway, shouting "Vive la liberté!" with his arm raised. The uniformed "teacher" with a holstered weapon turns, his expression unreadable, and the other students are a blur of fear and curiosity. The robot's optical sensor glows faintly, focusing on the student, with a thought bubble above its head displaying the existential questions it processes.</t>
  </si>
  <si>
    <t>https://drive.google.com/file/d/1QQ-iTF5eSlYPyAs0r2LfnE-rhC38cRrU/view?usp=drive_link</t>
  </si>
  <si>
    <t>L'Académie Préhistorique du Crétacé. Dans un lointain passé, l'éducation se déploie à ciel ouvert, au cœur de paysages primitifs. Les élèves, sous la houlette de leur mentor, explorent la flore et la faune d'un monde peuplé de dinosaures, apprenant à déchiffrer les mystères de la nature, toujours à l'affût d'une ombre menaçante.</t>
  </si>
  <si>
    <t>A realistic photograph captures a group of young, diverse students in simple, earthy attire, gathered around an older, wise-looking mentor figure. They are in a lush, primeval forest with giant ferns and exotic plants under a vast, ancient sky. In the background, a massive, yet peaceful, long-necked dinosaur (Brachiosaurus) grazes. The mentor points to unusual plant life while one student sketches diligently on a stone tablet, another observes tracks on the ground, and a third looks up with a mixture of wonder and caution at the distant, more dangerous looking Pterodactyl flying overhead.</t>
  </si>
  <si>
    <t>https://drive.google.com/file/d/1eKZ87NdWPLQD4oFdh6OCHYrjsTfj41wh/view?usp=drive_link</t>
  </si>
  <si>
    <t>une seule note, pas de prompt</t>
  </si>
  <si>
    <t>L'École Harmonique : Accès Universel. Dans un futur où la fracture sociale s'est résorbée, l'éducation est un droit fondamental enrichi par la technologie. Des IA bienveillantes guident les élèves de tous horizons, projetant des savoirs interactifs dans un environnement stimulant où chaque enfant trouve sa place, développant ses talents uniques.</t>
  </si>
  <si>
    <t>https://drive.google.com/drive/folders/1QLq5c7ZB8_X5Kf0LDlH9x2amVqHoRPj-</t>
  </si>
  <si>
    <t>Ponts de Sagesse Aquatique. Sur une plateforme hybride mi-mer, mi-terre, des enfants apprennent à cultiver des micro-algues tandis que des adolescents explorent des simulations de courants marins. Un adulte gère un laboratoire de biotechnologies aquatiques, épaulé par des seniors qui partagent leurs connaissances traditionnelles de la navigation et de la pêche durable, créant un continuum d'apprentissage intergénérationnel.</t>
  </si>
  <si>
    <t>Bonne mère et botanique. Jéricho, a curious 12-year-old boy with warm brown skin and tousled curls, wearing an oversized pair of glasses and a worn backpack, holds his phone up to photograph an unusual plant. Beside him stands a gentle, androgynous bio-tutor in a moss-green biodegradable jumpsuit, gesturing toward a glowing hybrid vine. Around them, a small, diverse group of students—different ethnicities, genders, and styles—kneel or crouch, sketching in handmade notebooks or tapping on weathered tablets. Composition : Medium shot framed from a slight low angle, with Jéricho centered in the foreground actively using his phone. The bio-tutor appears softly blurred in the background, guiding another student, while the surrounding ruins and emerging greenery create a layered, immersive environment. Action : Jéricho is capturing a photo of a softly glowing, serrated-leaf plant sprouting from a crack in sun-bleached limestone. His phone screen displays a minimalist interface reading “Non-toxic — Edible.” Nearby, a student gently touches bioluminescent lichen growing over the weathered stone of an old Marseille calanque wall, while another sniffs a flower with crystalline petals. Location : At ground level in the overgrown ruins of a once-modern neighborhood in Marseille, where urban decay meets Mediterranean wilderness. Crumbling buildings with faded pastel facades and wrought-iron balconies are entwined with wild fennel, caper bushes, and resilient pines. In the distance, the silhouette of Notre-Dame de la Garde’s bell tower peeks above the rooftops, softened by haze. The ground is a patchwork of fractured asphalt, wild grass, and the region’s characteristic pale limestone rubble* now carpeted in humus and luminous moss. Sunlight—bright, clear, and distinctly Provençal—filters through broken shutters and olive branches. Style : Soft pastel color palette inspired by Studio Ghibli films—warm ochres, sea-salt blues, sage greens, dusty lavenders, and creamy whites—with delicate watercolor-like textures and gentle, expressive linework. The aesthetic is dreamy, poetic, and serene, avoiding sharp edges or hyper-realism. Emphasis on organic forms, subtle glowing flora, and the hazy golden light unique to the Mediterranean coast. Editing Instructions : Absolutely no photorealistic rendering; maintain a hand-painted, soft-focus illustration style. ; Include subtle but recognizable Marseille elements: sun-bleached limestone blocks, Mediterranean scrub vegetation (like wild fennel or capers), and the distant outline of Notre-Dame de la Garde without making it dominant. ; Keep tech minimal and unobtrusive—Jéricho’s phone should look functional but simple, with no logos.   ; Design hybrid flora to feel native to a Mediterranean climate: e.g., glowing sage-like leaves, crystalline sea lavender, or mushrooms mimicking sea urchins.  ; Ensure the overall mood remains inclusive, tender, and ageless—appealing to children, teens, and adults alike, with a sense of quiet hope and ecological renewal rooted in Marseille’s unique landscape. This version honors Marseille’s geology, flora, and iconic skyline while keeping the focus on your story’s themes of rewilding, curiosity, and intergenerational learning—all wrapped in a soft, Miyazaki-esque visual poem.</t>
  </si>
  <si>
    <t>Jéricho, a curious 12-year-old boy with warm brown skin and tousled curls, wearing an oversized pair of glasses and a worn backpack, holds his phone up to photograph an unusual plant. Beside him stands a gentle, androgynous bio-tutor in a moss-green biodegradable jumpsuit, gesturing toward a glowing hybrid vine. Around them, a small, diverse group of students—different ethnicities, genders, and styles—kneel or crouch, sketching in handmade notebooks or tapping on weathered tablets. Composition : Medium shot framed from a slight low angle, with Jéricho centered in the foreground actively using his phone. The bio-tutor appears softly blurred in the background, guiding another student, while the surrounding ruins and emerging greenery create a layered, immersive environment. Action : Jéricho is capturing a photo of a softly glowing, serrated-leaf plant sprouting from a crack in sun-bleached limestone. His phone screen displays a minimalist interface reading “Non-toxic — Edible.” Nearby, a student gently touches bioluminescent lichen growing over the weathered stone of an old Marseille calanque wall, while another sniffs a flower with crystalline petals. Location : At ground level in the overgrown ruins of a once-modern neighborhood in Marseille, where urban decay meets Mediterranean wilderness. Crumbling buildings with faded pastel facades and wrought-iron balconies are entwined with wild fennel, caper bushes, and resilient pines. In the distance, the silhouette of Notre-Dame de la Garde’s bell tower peeks above the rooftops, softened by haze. The ground is a patchwork of fractured asphalt, wild grass, and the region’s characteristic pale limestone rubble* now carpeted in humus and luminous moss. Sunlight—bright, clear, and distinctly Provençal—filters through broken shutters and olive branches. Style : Soft pastel color palette inspired by Studio Ghibli films—warm ochres, sea-salt blues, sage greens, dusty lavenders, and creamy whites—with delicate watercolor-like textures and gentle, expressive linework. The aesthetic is dreamy, poetic, and serene, avoiding sharp edges or hyper-realism. Emphasis on organic forms, subtle glowing flora, and the hazy golden light unique to the Mediterranean coast. Editing Instructions : Absolutely no photorealistic rendering; maintain a hand-painted, soft-focus illustration style. ; Include subtle but recognizable Marseille elements: sun-bleached limestone blocks, Mediterranean scrub vegetation (like wild fennel or capers), and the distant outline of Notre-Dame de la Garde without making it dominant. ; Keep tech minimal and unobtrusive—Jéricho’s phone should look functional but simple, with no logos.   ; Design hybrid flora to feel native to a Mediterranean climate: e.g., glowing sage-like leaves, crystalline sea lavender, or mushrooms mimicking sea urchins.  ; Ensure the overall mood remains inclusive, tender, and ageless—appealing to children, teens, and adults alike, with a sense of quiet hope and ecological renewal rooted in Marseille’s unique landscape. This version honors Marseille’s geology, flora, and iconic skyline while keeping the focus on your story’s themes of rewilding, curiosity, and intergenerational learning—all wrapped in a soft, Miyazaki-esque visual poem.</t>
  </si>
  <si>
    <t>https://drive.google.com/file/d/154bzBdwZXMEl-EzjHTVWFl8pVf1NjJWU/view?usp=drive_link</t>
  </si>
  <si>
    <t>Jéricho, a curious 12-year-old boy with warm brown skin and tousled curls, wearing an oversized pair of glasses and a worn backpack, holds his phone up to photograph an unusual plant. Beside him stands a gentle, androgynous bio-tutor in a moss-green biodegradable jumpsuit, gesturing toward a glowing hybrid vine. Around them, a small, diverse group of students—different ethnicities, genders, and styles—kneel or crouch, sketching in handmade notebooks or tapping on weathered tablets. Composition: Medium shot framed from a slight low angle, with Jéricho centered in the foreground actively using his phone. The bio-tutor appears softly blurred in the background, guiding another student, while the surrounding ruins and emerging greenery create a layered, immersive environment. Action: Jéricho is capturing a photo of a softly glowing, serrated-leaf plant. His phone screen displays a minimalist interface reading “Non-toxic — Edible.” Nearby, a student gently touches a bioluminescent lichen growing over cracked concrete, and another sniffs a flower with crystalline petals. Location : At ground level in the overgrown ruins of a once-modern city—where asphalt has cracked and eroded into rich humus. Crumbling buildings loom gently in the background, their skeletal frames softened by cascading vines, mushrooms, and moss. Sunlight filters through gaps in the upper floors, casting dappled golden rays across the forest floor reclaiming the urban landscape. Style : Soft pastel color palette inspired by Studio Ghibli films—think warm ochres, sage greens, dusty lavenders, and creamy sky blues—with delicate watercolor-like textures and hand-drawn linework. The aesthetic is dreamy, gentle, and hopeful, avoiding sharp edges or hyper-realism. Emphasis on organic shapes, subtle light glow, and a feeling of quiet wonder. Editing Instructions : Absolutely no photorealistic rendering or harsh digital shading. ; Use soft gradients, airy brushstrokes, and gentle luminosity. ; Ensure character designs are expressive but stylized—reminiscent of Hayao Miyazaki’s human characters: simple, kind-eyed, and full of quiet emotion.  ; Phone and tech interfaces should appear functional but minimalist and slightly retro-futuristic (no visible logos).  ; Invent whimsical hybrid flora: e.g., flowers with petal-like light filaments, leaves with fine crystalline veins, or fungi that pulse faintly with soft blue light.  ; Maintain visual clarity and warmth suitable for all ages—children, teens, and adults alike.</t>
  </si>
  <si>
    <t>https://drive.google.com/file/d/1t0P96VXdUkV7XyxPGioU7G8tlXmeKQNg/view?usp=drive_link</t>
  </si>
  <si>
    <t>Botanique de survie Dans un monde où la nature a repris ses droits, les petits Marseillais  doivent quitter les hauteurs de leurs tours de béton pour réapprendre à  vivre en symbiose avec la nature. De la faune à la flore, ils réapprennent à différencier les espéces naturelles et animales, ils se réapproprient leur milieu local, leur survi ne dépend plus simplement de leurs connaissances des fruits et animaux exotiques éxotiques (bananes, ananase, thon, saumon...). Ils sauront désormais se débrouiller en autonomie dans leur environnement propre.</t>
  </si>
  <si>
    <t>Jéricho, un garçon curieux de 12 ans à la peau café et aux cheveux bouclés, portant un sac à dos usé et des lunettes un peu trop grandes, tient son téléphone devant une plante inconnue. À ses côtés, un bio-tuteur androgyne vêtu d’une combinaison biodégradable vert mousse observe avec bienveillance. Autour d’eux, plusieurs étudiants de diverses origines examinent des plantes et des champignons étranges, certains prenant des notes sur des tablettes ou des carnets faits main. Composition : Plan moyen en légère contre-plongée, centré sur Jéricho en action, avec le bio-tuteur à l’arrière-plan flou mais reconnaissable. La scène inclut des détails environnants pour suggérer un écosystème urbain renaissant. Action: Jéricho photographie une plante luminescente aux feuilles dentelées, tandis que son téléphone affiche une interface de diagnostic affichant « non toxique – comestible ». Le bio-tuteur pointe du doigt une autre espèce hybride (moitié lierre, moitié mousse bioluminescente) pour attirer l’attention d’un autre élève. Location : Dans les ruines d’une ancienne ville, à hauteur de sol, là où l’asphalte s’est fracturé pour laisser place à une couche riche d’humus. Des racines traversent les fissures de vieux trottoirs, des murs effondrés sont recouverts de lierre mutant, et la lumière filtre doucement à travers les étages supérieurs d’immeubles abandonnés. Style: Illustration numérique non photoréaliste, mélangeant l’esthétique du *concept art* pour l’animation (comme dans les films de Cartoon Saloon ou de Ghibli) avec des textures aquarelle subtile et des lignes souples. Palette de couleurs chaudes et organiques (verts moussus, ocres, violets terrestres), avec des touches de bioluminescence douce.Editing Instructions:  Éviter tout rendu photoréaliste ou effet 3D trop lisse. ; Privilégier une approche stylisée, expressive, avec des formes simples mais évocatrices. ; Assurer une diversité ethnique claire mais naturelle dans le groupe d’étudiants.; Rendre le téléphone de Jéricho reconnaissable mais futuriste sobre (pas de logo visible). ; Ajouter des éléments floraux hybrides inventés (ex. : fleurs avec structures cristallines, feuilles veinées de lumière).  Ce prompt vise à inspirer des illustrations à la fois poétiques, inclusives et immersives, tout en restant accessibles à un large public (jeunesse, adolescents et adultes).</t>
  </si>
  <si>
    <t>https://drive.google.com/file/d/1LBvjI-Uny74Se9STTuHG7m-Rs6D209xu/view?usp=drive_link</t>
  </si>
  <si>
    <t>flux schnell</t>
  </si>
  <si>
    <t>Jericho, a wiry 12-year-old with sharp eyes, sunburnt brown skin, and a shaved temple revealing a faded neural calibration tattoo, wears a scavenged bio-hazard suit: patched PVC layers, a cracked visor grafted onto a repurposed motorcycle helmet, and respirator tubes snaking to a jury-rigged filtration canister strapped to his back. His gloves are fingerless, exposing calloused hands fitted with crude sensor rings. He crouches over a writhing bioluminescent plant sprouting from shattered Marseille limestone. Behind him looms a gaunt bio-tutor—part human, part cybernetic aug—wearing a tattered lab coat over a corroded exo-frame, one mechanical eye scanning the flora while the other remains human, wary. Composition : Tight medium shot from a low, dynamic angle, emphasizing the oppressive scale of the ruins above and the claustrophobic density of mutated vegetation below. Jéricho is off-center, lit by the sickly glow of the plant; the background dissolves into smog, crumbling brutalist housing blocks, and distant, flickering drone patrols. Action : Jéricho snaps a photo with a cracked, duct-taped field scanner—its holographic display flickering “TOX LVL 2 – NON-LETHAL.” He’s seconds away from harvesting the specimen, but his posture is tense; nearby, vines twitch autonomously, reacting to his bio-signature. One student lies unconscious under a tarp, victim of a pollen surge. Another frantically scrubs their forearm with antiseptic foam after a thorn laceration. Location : The underbelly of a collapsed Marseille mega-district, decades after ecological collapse. The iconic calanque limestone is now blackened by acid rain and overgrown with aggressive xeno-flora—bioluminescent caper shrubs, mycelial networks that pulse like circuitry, and fennel stalks fused with rebar. In the far haze, the gold dome of Notre-Dame de la Garde remains—but cracked, half-collapsed, crowned with rusted antenna arrays and surveillance nests. The sea is invisible, choked by algal blooms and floating debris fields. Style : AKIRA-inspired dystopian cyberpunk —high-contrast linework, hyper-detailed industrial decay, and dramatic chiaroscuro lighting. Think ink-heavy manga aesthetics fused with gritty 1980s anime textures: rain-slick surfaces, steam vents, corroded metal, and oppressive shadows. Color palette dominated by gunmetal greys, toxic greens, rust reds, and electric violets, with rare bursts of unnatural bioluminescence. No softness—only tension, grime, and kinetic energy. Editing Instructions :  Eliminate all Miyazaki softness ; replace watercolor gentleness with sharp shadows, mechanical grit, and urban claustrophobia. ; Protective gear must look industrial, improvised, and oppressive: respirators, sealed seams, warning labels (e.g., “LEVEL 3 FLORA – DO NOT EXPOSE SKIN”), visible wear-and-tear. ; Marseille elements should feel ruined but recognizable: calanque stone walls now support mutant root systems; graffiti in Provençal slang peels off concrete; distant silhouette of Notre-Dame de la Garde warped by smog and time.   ; Flora is alien and threatening: plants that move slightly when unobserved, emit faint static, or leave phosphorescent residue. Edible species are rare and heavily guarded. ; Include subtle cybernetic or bio-augmentation details: neural ports, ocular implants, prosthetic fingers with sampling tools. ; Atmosphere should feel on the edge of chaos—distant sirens, flickering emergency lights, airborne spores visible in shafts of polluted light. This version transforms your hopeful herbalist narrative into a tense, visually dense dystopia where survival hinges on knowledge, adaptation, and constant vigilance—rendered in the iconic, nerve-wracking aesthetic of AKIRA. Marseille becomes not just a backdrop, but a character: wounded, mutated, and barely holding on.</t>
  </si>
  <si>
    <t>https://drive.google.com/file/d/1SfLdyz1QtI0IAsUJP5WcdZ43xszXZuJf/view?usp=drive_link</t>
  </si>
  <si>
    <t>tout au long de la vie</t>
  </si>
  <si>
    <t>Football Clandestin, Esprit Rebelle. Dans un monde où le football est proscrit, les jeunes générations se réapproprient ce sport interdit, organisant des matchs secrets dans des arènes improvisées. L'apprentissage se fait par transmission orale et par des tutoriels furtifs diffusés sur des réseaux cryptés. Chaque dribble, chaque passe est un acte de résistance culturelle.</t>
  </si>
  <si>
    <t>A clandestine football match taking place at dusk in a hidden, makeshift urban arena, possibly an abandoned warehouse or rooftop. Young players are intensely focused, with an air of defiance and exhilaration. Soft, muted light filters through cracks, illuminating the action. Realistic photography style</t>
  </si>
  <si>
    <t>https://drive.google.com/file/d/1GErZyokaQ4wJJ6MZJgsiZwD-VfYUuf7E/view?usp=drive_link</t>
  </si>
  <si>
    <t>Le Basket Exosquelette : L'Envol Humain. Dans un futur où le basketball est transformé par la technologie, les joueurs portent des exosquelettes légers qui amplifient leurs capacités. Les dunks s'effectuent depuis des hauteurs vertigineuses et les passes traversent le terrain à des vitesses incroyables. L'entraînement inclut des simulations de vol et des chorégraphies antigravité pour maîtriser ces nouvelles dimensions du jeu.</t>
  </si>
  <si>
    <t>A basketball player in a sleek, futuristic exoskeleton mid-air, performing a superhuman dunk on a glowing court. The stadium is filled with spectators, and the atmosphere is electric. Dynamic lighting highlights the player's enhanced movements and the advanced technology. Realistic photography style</t>
  </si>
  <si>
    <t>https://drive.google.com/file/d/1VJZ5YskfygsIw0uYErbgW4tfRJgE5Ntq/view?usp=drive_link</t>
  </si>
  <si>
    <t>L'Écho du Terrain Oublié. En 2077, dans un monde où les sports de rue sont un lointain souvenir, la jeunesse est plongée dans des réalités virtuelles omniprésentes, ignorant l'existence même de l'effort physique collectif. Cependant, une étincelle subsiste : des anciens transmettent discrètement, via des fragments de code et des récits cachés, l'émotion du jeu, espérant rallumer la flamme du sport dans les cœurs déconnectés.</t>
  </si>
  <si>
    <t>A lone elderly figure in a dimly lit, futuristic alleyway, secretly showing a group of young, disengaged people (who are mostly looking at their glowing phones) a holographic projection of a classic street football match. The alley is grimy with neon accents, contrasting the vibrant projection. The old person has a look of nostalgic passion. Realistic photography style</t>
  </si>
  <si>
    <t>https://drive.google.com/file/d/1h-wuEQG_l1UDdV5ArwmE0cTjIhJ8CV13/view?usp=drive_link</t>
  </si>
  <si>
    <t>Le Dernier Soupir du Ballon Oublié. J'étais un ballon de basket, vibrant à chaque rebond, chaque panier. J'ai vu des générations de joueurs s'élever, mais peu à peu, les terrains se sont tus. Les paniers sont rouillés, les lignes effacées. Aujourd'hui, je gis dans un grenier, témoin silencieux d'un monde où l'écho du dribble a disparu, remplacé par le silence d'une passion éteinte.</t>
  </si>
  <si>
    <t>A deflated, weathered basketball lying forgotten in a dusty, dimly lit attic, partially covered by cobwebs. Through a small, grimy window, a faded cityscape can be seen. The scene evokes a sense of loss and nostalgia for a forgotten sport. Realistic photography style, with a focus on texture and atmosphere</t>
  </si>
  <si>
    <t>https://drive.google.com/file/d/1ikqnlgEXBS86qNeN2Dq_R6INdqS-PztK/view?usp=drive_link</t>
  </si>
  <si>
    <t>Le Terrain Numérique : Émotions Simulées. Le football physique n'est plus qu'un mythe. Aujourd'hui, les joueurs revêtent des combinaisons haptiques et plongent dans des simulations virtuelles hyperréalistes. Chaque tacle, chaque sprint est ressenti, mais le corps reste immobile. L'éducation se fait en ajustant les algorithmes de la sensation, optimisant la performance virtuelle et l'immersion sensorielle</t>
  </si>
  <si>
    <t>A young person immersed in a virtual reality football game, wearing a full haptic suit that simulates physical sensations. They are in a minimalist, futuristic room, surrounded by glowing screens displaying game data. The expression on their face shows intense concentration and simulated exertion. Realistic photography style.</t>
  </si>
  <si>
    <t>https://drive.google.com/file/d/1BfEA7MxnE0miRNKfOccXhnDVpMzWnqnO/view?usp=drive_link</t>
  </si>
  <si>
    <t>Renaissance du Dribble, Légende Ressuscitée. Dans un monde où le basket a sombré dans l'oubli, un athlète légendaire, ramené à la vie par une prouesse technologique, réapparaît. Il n'enseigne pas seulement les techniques du jeu, mais insuffle la passion, la détermination et l'esprit d'équipe à une génération déconnectée. Son retour est un catalyseur, transformant des terrains abandonnés en sanctuaires de la balle orange.</t>
  </si>
  <si>
    <t>A legendary basketball player, reanimated by futuristic technology (subtly hinted at by glowing implants or a specialized suit), stands on a forgotten, overgrown basketball court in a desolate urban landscape. He is holding a basketball, looking determined as a few curious young people watch him, intrigued by his presence. The scene is bathed in a warm, hopeful light breaking through the gloom. Realistic photography style.</t>
  </si>
  <si>
    <t>https://drive.google.com/file/d/14yGdjAAnJSqQiy9ZO77QsRaS8cCOGTHS/view?usp=drive_link</t>
  </si>
  <si>
    <t>Spiderman médiéval : toile et parchemins numériques.	Dans un monde où le Moyen Âge rencontre une technologie avancée, Spiderman est le maître d'école. Dans une salle de classe rustique, éclairée à la bougie, il projette des hologrammes interactifs sur des parchemins numériques, enseignant l'histoire et la science aux élèves vêtus d'habits d'époque, mariant passé et futur.</t>
  </si>
  <si>
    <t>Spiderman, dressed as a medieval scholar with a modern twist, stands at the front of a medieval-era classroom, projecting holographic images onto ancient-looking digital parchments. Students in medieval attire are seated at wooden desks, interacting with glowing screens embedded in their "parchments." The room is lit by candlelight. realistic photography.</t>
  </si>
  <si>
    <t>https://drive.google.com/file/d/1OjvmWTry_pYWmxftzVIF3fJ8a3kgGn2j/view?usp=drive_link</t>
  </si>
  <si>
    <t>Apprentissage immersif, au-delà du réel. L'éducation transforme les dispositifs technologiques en portails vers des expériences sensorielles uniques. Les étudiants, grâce à des lentilles de contact connectées, explorent des sites archéologiques en réalité augmentée, manipulent des molécules en 3D ou revivent des événements historiques, l'apprentissage devenant une aventure personnalisée et multisensorielle.</t>
  </si>
  <si>
    <t>A young student wearing smart contact lenses, her eyes reflecting augmented reality overlays of an ancient archaeological site. She is surrounded by other students also immersed in their AR learning experience in a bright, modern classroom. realistic photography.</t>
  </si>
  <si>
    <t>https://drive.google.com/file/d/1GWWh4dg-KudZAH4cnFC2XE_q0VxCrMXu/view?usp=drive_link</t>
  </si>
  <si>
    <t>Patrimoine numérique, mémoire augmentée. Les IA narratives remplacent les guides, offrant des expériences immersives et personnalisées du patrimoine. Des groupes de visiteurs explorent des sites emblématiques, chacun équipé d'un micro-projecteur holographique qui dépeint l'histoire et la vie passée des lieux directement sur les murs ancestraux.</t>
  </si>
  <si>
    <t>A group of tourists in an ancient Mediterranean historical site, perhaps an old market street or ruins, each holding a compact, elegant micro-holographic projector. These devices cast vivid, ephemeral holographic projections of historical figures and past scenes onto the stone walls and cobblestone ground. A central, ethereal AI avatar subtly gestures towards the projections, guiding the experience. Photorealistic wide shot, late afternoon sun casting long shadows, focus on the blend of ancient architecture and advanced holographic technology, magical realism, warm tones.</t>
  </si>
  <si>
    <t>https://drive.google.com/file/d/1av5_ln8uzFFHTaT0njuBT621BpwsJ993/view?usp=drive_link</t>
  </si>
  <si>
    <t>Le savoir partagé, pilier de la cité. Dans un futur où l'éducation est un devoir civique, chacun transmet ses compétences. Une ingénieure senior guide des jeunes adultes dans la réparation de robots domestiques, dans un atelier collaboratif où les murs végétaux filtrent l'air urbain. L'apprentissage est continu et circulaire, renforçant les liens communautaires.</t>
  </si>
  <si>
    <t>A father teaches young adults how to repair household robots in a collaborative workshop, with green walls filtering the urban air, one of the young adults is using a computer to operate a small robot. Futuristic vehicles are flying in the background. The scene is shot with a realistic, cinematic lighting, 35mm sensor, focusing on a central character in action within an astonishing educational environment.</t>
  </si>
  <si>
    <t>https://drive.google.com/file/d/19t6HZmPZor-VnJKBFueeweZplpRD1RMf/view</t>
  </si>
  <si>
    <t>L'Oracle Algorithmique Guide les Destins. Dans un futur solarpunk, chaque citoyen est accompagné dès la naissance par une IA bienveillante. Elle adapte les parcours éducatifs et professionnels en temps réel, maximisant l'épanouissement individuel et la contribution collective. Les apprentissages se font par immersion dans des environnements simulés, où les compétences sont acquises par l'expérience directe.</t>
  </si>
  <si>
    <t>A person stands in a sun-drenched, futuristic learning hub with organic architecture, wearing a sleek, minimalist headset that projects holographic data around them. They are interacting with a complex, glowing neural network interface that visualizes their personalized learning path and potential career trajectories, guided by an AI.</t>
  </si>
  <si>
    <t>https://drive.google.com/file/d/111P5HzxAUBI1ekE-0eaPIT4ylQNqReE9/view?usp=drive_link</t>
  </si>
  <si>
    <t>Cuisine augmentée, saveurs réinventées. Dans un monde où l'IA est l'accompagnant de tous dans une cuisine française, l'apprentissage culinaire transcende les générations. Les grands-parents transmettent leurs recettes ancestrales à leurs petits-enfants, guidés par une IA qui ajuste les techniques et les saveurs en temps réel. Chaque plat devient une œuvre d'art personnalisée, où l'histoire et l'innovation se rencontrent.</t>
  </si>
  <si>
    <t>A hyperrealistic photo of a young child and their grandparent in a modern, sunlit kitchen. The child is holding a mixing spoon, looking intently at a holographic projection of a recipe floating above the countertop. The grandparent is smiling, with one hand gently guiding the child's. The AI interface is subtly integrated into the kitchen environment, perhaps as glowing lines on the counter or faint visual cues on the holographic display. There are fresh ingredients on the counter, and a sense of warmth and connection between the generations. Shot with a 35mm lens, cinematic lighting.</t>
  </si>
  <si>
    <t>https://drive.google.com/file/d/1ZVwVkYCnmn6lK0fZHIer_vUQLJ1wFI7j/view?usp=drive_link</t>
  </si>
  <si>
    <t>Savoir en Flux Perpétuel. Dans un monde où l'éducation est un droit inaliénable et continu, l'apprentissage prend la forme d'explorations fluides. Des ""Caravanes du Savoir"" sillonnent les anciens chemins côtiers, offrant des ateliers nomades. Les citoyens de tout âge peuvent s'y connecter à tout moment, échangeant connaissances et compétences.</t>
  </si>
  <si>
    <t>A diverse group of people of all ages gathered around a mobile classroom set up in a vibrant Mediterranean marketplace, learning together. The scene is bathed in warm, golden hour light, emphasizing community and continuous learning. Realistic photography, 35mm sensor, cinematic lighting.</t>
  </si>
  <si>
    <t>https://drive.google.com/file/d/19sQIWfRvNtgZ_NP_99gMpNN-l1_578-N/view?usp=drive_link</t>
  </si>
  <si>
    <t>Écoles-Récifs : Apprendre des Profondeurs. L'éducation permanente se tisse avec la régénération marine. Des structures sous-marines modulaires, alimentées par les courants, servent de classes où l'on étudie la biodiversité des profondeurs et les technologies de restauration des écosystèmes. Enfants et adultes travaillent main dans la main, plongeant dans la connaissance autant que dans les eaux.</t>
  </si>
  <si>
    <t>A group of students and an instructor inside a transparent, modular underwater classroom, surrounded by vibrant marine life and coral reefs. They are observing and interacting with the underwater environment. Realistic photography, 35mm sensor, cinematic lighting, sun rays penetrating the water.</t>
  </si>
  <si>
    <t>https://drive.google.com/file/d/1VabrRcUxdkJdgDFe4StKJ4Zycn7yXHoO/view?usp=drive_link</t>
  </si>
  <si>
    <t>Cités-Arbres : Savoirs Arboricoles	Face à la montée des eaux, l'éducation se déploie dans des cités-arbres interconnectées. Des ponts suspendus relient des classes perchées, où l'on apprend l'agroécologie verticale et la bio-ingénierie. L'apprentissage est une immersion constante dans le vivant, une symbiose entre l'homme et la canopée méditerranéenne régénérée.</t>
  </si>
  <si>
    <t>A group of students and an instructor in a classroom nestled within a giant, futuristic tree-city, connected by suspended bridges. They are looking at screens displaying information about vertical farming. Lush Mediterranean vegetation surrounds them. Realistic photography, 35mm sensor, cinematic lighting, dappled sunlight filtering through leaves.</t>
  </si>
  <si>
    <t>https://drive.google.com/file/d/1a2NZkemvSTw95gNWK4jrsAGenTaWZG-x/view?usp=drive_link</t>
  </si>
  <si>
    <t>pour tous et pour toutes</t>
  </si>
  <si>
    <t>Le Port du Savoir, Échange Sans Prix. Dans ce futur Solarpunk, un ancien hangar portuaire est devenu un "Comptoir de Connaissances" auto-géré. Étudiants post-universitaires et seniors, mécaniciens et designers, se côtoient pour maîtriser des bras robotiques d'impression 3D, le tout financé par une monnaie de temps (gratuité totale). La diversité des parcours est la force de l'apprentissage</t>
  </si>
  <si>
    <t>A cinematic, ultra-realistic photograph taken inside a vast, high-ceilinged former industrial port warehouse converted into a free, communal education center (Mediterranean architecture, high windows letting in bright light). The central figure is a young man, wearing practical work clothes, guiding an elderly woman in operating a large, articulated 3D printing robotic arm. The workspace is open, filled with diverse people of all ages and backgrounds collaborating on various open-source projects. The robotic arm is the key accessory, printing a large, complex part. The lighting is bright and industrial, with warm sunlight streaming through high windows, emphasizing the Solarpunk reuse of space. Contemporary photography style (35mm lens, realistic texture). Focus on the shared learning between the two main figures.</t>
  </si>
  <si>
    <t>https://drive.google.com/file/d/1LP7zqIqgLDLPX5_9D8_AfazAoF65rtSu/view?usp=drive_link</t>
  </si>
  <si>
    <t>L'Agora de la Connaissance, Unie et Augmentée. Dans une agora de village, des équipes d'élèves, dont un enfant utilise un dispositif de mobilité avancé, collaborent autour d'une table interactive pour simuler la résolution d'une crise environnementale. L'enseignant, au centre, orchestre les débats, tandis que l'architecture ouverte Solarpunk favorise l'échange continu et l'inclusion totale.</t>
  </si>
  <si>
    <t>A hyperrealistic, cinematic photograph (35mm sensor, realistic, warm lighting). A diverse group of four students is huddled around a large, luminous, kinetic table in an ancient Mediterranean stone hall. A child, seated in a sleek, modern, advanced mobility device, is actively gesturing at a vibrant, three-dimensional holographic map projected onto the table's surface. Two other students are engaged in intense discussion, pointing at the data. An inspiring teacher, standing slightly behind the group, watches with encouragement. The architecture is a blend of old stone walls and modern Solarpunk glass elements, with sunlight streaming through large arches. The scene emphasizes teamwork and full inclusion.</t>
  </si>
  <si>
    <t>https://drive.google.com/file/d/1Lr9SslLSCLNQBkbqwTZ-NrJssOB9eTC4/view?usp=sharing</t>
  </si>
  <si>
    <t>Apprendre Ensemble, au-delà des Murs. Dans un futur où l'éducation transcende les cadres traditionnels, des groupes intergénérationnels explorent les écosystèmes côtiers, guidés par des intelligences collectives. Chaque individu contribue à la connaissance, créant un savoir dynamique et partagé, respectueux des cycles naturels et des savoirs ancestraux.</t>
  </si>
  <si>
    <t>A wide shot of a Mediterranean rocky coastline. A small group of mixed-age learners, from children to elders, are gathered around a tidal pool. One central figure, a young woman, points to a specific marine organism with a glowing, transparent stylus, while others observe intently. They are all wearing simple, comfortable clothing made from natural fibers. The sunlight is bright and warm, reflecting off the calm, clear water. The overall atmosphere is one of peaceful exploration and shared discovery.</t>
  </si>
  <si>
    <t>https://drive.google.com/file/d/1vPCEPoS_UCrkq4V12Nk7OCI60j-F71xG/view?usp=sharing</t>
  </si>
  <si>
    <t>Le Chant Polyglotte des Connaissances Partagées. Grâce aux implants neuronaux connectés à une IA de traduction universelle, les élèves de la Méditerranée vivent une immersion linguistique totale. Chaque leçon est une symphonie de voix et de cultures, où les mots voyagent instantanément, et les idées s'épanouissent sans frontières. Les échanges culturels sont fluides, transformant la classe en un carrefour de civilisations.</t>
  </si>
  <si>
    <t>PHOTOREALISTIC image of a diverse group of students in a sunlit, open-air classroom overlooking a historical Mediterranean city. One student, a young woman with a thoughtful expression, is wearing a subtle neural implant visible near her temple. She is actively engaged in a discussion with another student, their hands gesturing expressively. The classroom features sleek, transparent desks with holographic displays showing real-time translations of their conversation in multiple languages. In the background, other students are similarly engaged, some with various subtle tech accessories indicating augmented learning. The overall atmosphere is vibrant and collaborative, emphasizing seamless communication across linguistic barriers</t>
  </si>
  <si>
    <t>https://drive.google.com/file/d/11WlUUYWS-T6jkZ2nyfsmnG-Mfc3u9iwx/view?usp=drive_link</t>
  </si>
  <si>
    <t>L'Algorithme de la Performance Imposée. Dans un futur où l'éducation physique est dictée par des algorithmes de performance, les jeunes porteurs d'exosquelettes sont contraints à des entraînements intensifs, optimisés pour la productivité. La joie du sport a disparu, remplacée par la pression constante d'atteindre des objectifs numériques imposés par un système éducatif déshumanisé.</t>
  </si>
  <si>
    <t>An ultra-realistic photograph of a diverse group of students, some using advanced, sleek exoskeletons, engaging in a dynamic sports activity on a vibrant, accessible urban playground. A dedicated sports educator, also wearing a subtle exoskeleton, demonstrates a movement with a warm, encouraging smile. The setting sun casts long shadows, highlighting the inclusivity and energy of the scene. The image should convey a sense of empowerment and collective joy, with contemporary photography style, 35mm sensor, and cinematic lighting</t>
  </si>
  <si>
    <t>https://drive.google.com/file/d/1-iLBRCfMl-YVPA274sq1ORmT4Z5fR0Qc/view?usp=drive_link</t>
  </si>
  <si>
    <t>Propulsion Durable : L'Académie de la Formule Hybride. Dans cet avenir Solarpunk, une équipe d'étudiants en ingénierie et leur professeur se penchent sur le moteur à hydrogène d'une monoplace de Formule E-Med. La technologie de pointe, accessible à tous, permet une formation pratique sur des prototypes réels. Ils analysent la télémétrie en temps réel sur des tablettes transparentes, forgeant l'expertise nécessaire pour une transition énergétique méditerranéenne.</t>
  </si>
  <si>
    <t>ultra-realistic photograph, a dynamic shot of a professor and two young adult students in a high-tech workshop, leaning over the disassembled hybrid engine of a futuristic Formula 1 car. The professor points to a glowing component while one student holds a data tablet displaying complex telemetry. The scene is bathed in the cool light of holographic diagrams projected onto the surrounding metallic surfaces, reflecting the intense focus on cutting-edge engineering.</t>
  </si>
  <si>
    <t>https://drive.google.com/file/d/1172-LQPtaPkNJ4aqc0u8ysVnTbackqZj/view?usp=sharing</t>
  </si>
  <si>
    <t>L'Agora Active : Corps et Esprit Unifiés. Dans un futur solarpunk où le climat méditerranéen rend l'extérieur propice à l'apprentissage, les écoles se transforment en agoras modernes. L'éducation est holistique, intégrant l'activité physique comme pilier de la cognition et du bien-être. Les élèves naviguent entre terrains de sport connectés et ateliers scientifiques en plein air, leur progression étant mesurée par des capteurs biocompatibles qui ajustent les parcours pédagogiques en temps réel. L'énergie solaire alimente ces campus ouverts, où l'apprentissage se vit autant par le mouvement que par la réflexion, en harmonie avec un environnement régénéré.</t>
  </si>
  <si>
    <t>A wide shot of a futuristic open-air school campus bathed in warm Mediterranean sunlight. Children and young adults are engaged in various activities. In the foreground, a group of students in active wear are using augmented reality glasses while performing acrobatic movements on a soft, glowing mat. Their movements project holographic data visualizations in the air, illustrating physics principles. In the midground, other students are tending to a vertical garden, harvesting plants, and discussing botany. Solar panels are integrated into the architecture of the surrounding buildings, and lush, drought-resistant vegetation thrives everywhere. The atmosphere is vibrant, educational, and harmonious.</t>
  </si>
  <si>
    <t>https://drive.google.com/file/d/1zhK3SDD9PhOEdOrXGXw7LgkLONLofnz2/view?usp=sharing</t>
  </si>
  <si>
    <t>pratiques de l'éducation</t>
  </si>
  <si>
    <t>Sauvetage Aquatique par Drone Pédagogique. Dans un bassin de formation en plein air, une monitrice guide un enfant qui pratique le massage cardiaque sur un mannequin de sauvetage connecté. Un drone aquatique de surveillance, l'Aqua-Secours, flotte à côté, simulant l'appel d'urgence et la localisation des victimes pour une préparation aux défis climatiques estivaux.</t>
  </si>
  <si>
    <t>Outdoor water safety class in the Mediterranean: A young student practices CPR on a connected rescue dummy floating near the edge of a turquoise pool. A water drone, the Aqua-Secours, hovers slightly above the water, projecting a small, holographic screen with a 3D map showing the emergency call signal. A life instructor, visible but in the background, monitors the student's performance via a tablet. Photorealistic, 35mm handheld, bright Mediterranean sunlight, high contrast, focus on the student and the drone's hologram.</t>
  </si>
  <si>
    <t>https://drive.google.com/file/d/1L8MnDFa43xp-qFHMqiEA04KDYQMGhHt2/view?usp=drive_link</t>
  </si>
  <si>
    <t>La Grande Roue, Phare des Secouristes Marins. Sur une place animée près du rivage, des adolescents suivent un programme pédagogique d'urgence en réalité augmentée pour localiser et assister les baigneurs en difficulté. L'océan scintille en arrière-plan tandis que l'immense structure de la grande roue, désormais équipée de capteurs solaires, sert de tour de contrôle pour les drones de sauvetage automatisés (Solarpunk/Cli-fi).</t>
  </si>
  <si>
    <t>Urban coastal area. A young student, centered, wears sleek augmented reality glasses, actively gesturing with one hand to pilot a translucent, floating holographic drone interface in front of her. In the background, a massive Ferris wheel stands right next to the shimmering Mediterranean sea, its structure covered in integrated solar panels. The scene is brightly lit by the warm, late-afternoon Mediterranean sun. Cinematic realism, 35mm lens, focus on the intense concentration of the student, clear technological elements, Solarpunk atmosphere.</t>
  </si>
  <si>
    <t>https://drive.google.com/file/d/1NIGse6pxi0TbpgGHYjzXJuwzeJdxPR3Z/view?usp=drive_link</t>
  </si>
  <si>
    <t>Leçon de Défense, l'Enjeu de la Cité Cyberpunk. Dans une académie blindée face à la mer, un jeune cadet apprend la tactique de survie urbaine en manipulant un drone de reconnaissance lourd. L'horizon cyber-brumeux rappelle la menace, faisant de l'éducation un entraînement militaire permanent pour la protection des enclaves fortifiées (Cyberpunk, futur non-préférable).</t>
  </si>
  <si>
    <t>A young cadet (teenager), centered, in a stark, futuristic military uniform, intensely operating a ruggedized tablet that controls a small, hovering surveillance drone. The scene takes place in a minimalist, concrete courtyard of an armored academy. In the background, a high-security fence and a polluted, orange-hued Mediterranean sea hint at a dystopian context. Cinematic realism, 35mm lens, hard contrast, focus on the cadet's determined face and the glow of the tablet screen, Cyberpunk atmosphere, dark, metallic colors.</t>
  </si>
  <si>
    <t>https://drive.google.com/file/d/14vxIm8DSPiEFG7ZqO4mH-Fl_FGlBsBFr/view?usp=drive_link</t>
  </si>
  <si>
    <t>L'Académie de Résilience, Dernière Leçon. Sur les toits arides, des adolescents en uniforme s'entraînent au tir de précision avec des drones légers, surveillés par un instructeur au regard grave. L'éducation est désormais orientée vers la survie et la logistique en milieu urbain dégradé, un programme de Cli-Fi militaire. Leur mission : protéger les dernières ressources en eau.</t>
  </si>
  <si>
    <t>Dry rooftop military academy in a Mediterranean city, teenagers in functional uniforms practice drone target shooting with small rifles, instructor with short hair watches them. The background shows a dense, arid urban landscape under a sulfurous orange sky. Realistic handheld 50mm, deep contrast, grim and urgent atmosphere of forced resilience.</t>
  </si>
  <si>
    <t>https://drive.google.com/file/d/1EgMVdnWPOTQBYfINCN4j2BPt3YwiB1tI/view?usp=drive_link</t>
  </si>
  <si>
    <t>Pause Biscuit sur le Champ de Ruines. Sur les toits arides où s'exercent les cadets à la logistique de survie, une figure sereine vêtue de lin blanc se tient en contraste absolu avec l'uniforme sombre. Cette dame, présence fantomatique et bien réelle, s'assied sur une caisse de munitions et déguste un cookie d’une autre ère. Sa présence inattendue est un enseignement brutal de Dystopie surréaliste, soulignant que même dans la préparation à la guerre, la résilience passe par l'absurde.</t>
  </si>
  <si>
    <t>Dry, arid rooftop military academy in a Mediterranean city, teenagers in functional camouflage uniforms practice drone observation drills. In the foreground, a serene older woman, dressed entirely in flowing white linen with long silver hair, sits calmly on a rusted ammunition crate. She is slowly eating a chocolate chip cookie, making direct eye contact with the viewer. The background shows a dense, arid urban landscape under a sulfurous orange sky. Realistic cinematic 50mm, deep contrast, strong visual contrast between the stark white figure and the grim dystopian environment.</t>
  </si>
  <si>
    <t>https://drive.google.com/file/d/1l5hgc_8NTg0ukzxmmm9AqRFcv9ED5ryk/view?usp=drive_link</t>
  </si>
  <si>
    <t>La Dame Blanche Enseigne l'Héritage Tactique. Dans une salle de classe séculaire aux boiseries sombres, la professeure, silhouette austère en tenue immaculée, dirige ses cadets. Elle ne brandit pas d'arme, mais utilise un gant haptique pour projeter des cartes stratégiques holographiques d'un conflit futur en Méditerranée. Les jeunes apprennent la stratégie navale d'un monde post-crise, un mélange de Cyberpunk et d'histoire militaire.</t>
  </si>
  <si>
    <t>Hyper-realistic photo, cinematic 35mm. Inside a grand, old French school classroom (high ceilings, wooden desks, tall windows), a severe-looking military professor—a woman with short, silver hair wearing a perfectly pressed white ceremonial uniform—stands at the center. She is gesturing with a **glowing haptic glove** toward a large, translucent holographic map floating mid-air, displaying futuristic naval and land formations. Young cadets in formal uniforms look on with intense concentration. Soft, diffused natural light mixes with the blue glow of the hologram. Deep focus, serious, formal, and visually stunning contrast.</t>
  </si>
  <si>
    <t>https://drive.google.com/file/d/19kf0d39DBlw4kNNJPk4Ne7Zs4xyTgCBa/view?usp=drive_link</t>
  </si>
  <si>
    <t>récurrence (tour 3, toutes tables confondues)</t>
  </si>
  <si>
    <t>écarts des images récurrentes, par table et par tour</t>
  </si>
  <si>
    <t>écarts absolus des images récurrentes, par table et par tour</t>
  </si>
  <si>
    <t>Zoom préférable + / local +</t>
  </si>
  <si>
    <t>récurrence et consensualité / non-consensualité (tour 3)</t>
  </si>
  <si>
    <t>Zoom Images récurrentes ET consensuelles (Tour 3)</t>
  </si>
  <si>
    <t>Zoom Images récurrentes MAIS non-consensuelles (Tour 3)</t>
  </si>
  <si>
    <t>sélection récurrente ET Zoom préférable + / local + (T3)</t>
  </si>
  <si>
    <t>écart des images récurrentes (T3)</t>
  </si>
  <si>
    <t>Mouvement par Image et par Table entre chaque Tour</t>
  </si>
  <si>
    <t>Déplacements cumulés</t>
  </si>
  <si>
    <t>Images le + bougé</t>
  </si>
  <si>
    <t>nb "au moins 1 déplacement"</t>
  </si>
  <si>
    <t>% images “mouvement significatif” (Δcum &gt; 2)</t>
  </si>
  <si>
    <t>n° i</t>
  </si>
  <si>
    <t xml:space="preserve"> ΔX 1-2 </t>
  </si>
  <si>
    <t>ΔX 2-3</t>
  </si>
  <si>
    <t>ΔX 1-3</t>
  </si>
  <si>
    <t>ΔY 1-2</t>
  </si>
  <si>
    <t>ΔY 2-3</t>
  </si>
  <si>
    <t>ΔY 1-3</t>
  </si>
  <si>
    <t>|ΔX 1-2|</t>
  </si>
  <si>
    <t>|ΔX 2-3|</t>
  </si>
  <si>
    <t>|ΔX 1-3|</t>
  </si>
  <si>
    <t>|ΔY 1-2|</t>
  </si>
  <si>
    <t>|ΔY 2-3|</t>
  </si>
  <si>
    <t>|ΔY 1-3|</t>
  </si>
  <si>
    <t>Vaise (x)</t>
  </si>
  <si>
    <t>nb tables (T3)</t>
  </si>
  <si>
    <t>x moyen (T3)</t>
  </si>
  <si>
    <t>y moyen (T3)</t>
  </si>
  <si>
    <t>écart x (T3)</t>
  </si>
  <si>
    <t>écart y (T3)</t>
  </si>
  <si>
    <t>classe</t>
  </si>
  <si>
    <t>X moyen (T3)</t>
  </si>
  <si>
    <t>Y moyen (T3)</t>
  </si>
  <si>
    <t>écart X (T3)</t>
  </si>
  <si>
    <t>écart Y (T3)</t>
  </si>
  <si>
    <t>dispersion globale (T3)</t>
  </si>
  <si>
    <t>X1</t>
  </si>
  <si>
    <t>Y1</t>
  </si>
  <si>
    <t>X2</t>
  </si>
  <si>
    <t>Y2</t>
  </si>
  <si>
    <t>X3</t>
  </si>
  <si>
    <t>Y3</t>
  </si>
  <si>
    <t>Δ12 (|ΔX|+|ΔY|)</t>
  </si>
  <si>
    <t>Δ23 (|ΔX|+|ΔY|)</t>
  </si>
  <si>
    <t>Δcum</t>
  </si>
  <si>
    <t>Δcum&gt;2
revoir formule 
12 table 2 devrait être TRUE</t>
  </si>
  <si>
    <t>Δcum total (toutes tables)</t>
  </si>
  <si>
    <t>Indicateurs globaux</t>
  </si>
  <si>
    <t>Zoom “Préférable &amp; ressemble” (X&gt;5 et Y&gt;5)</t>
  </si>
  <si>
    <t>Evaluation de l'impact du nombre d'itération sur les scores</t>
  </si>
  <si>
    <t>Evaluation de l'impact  du nombre d'itération par table</t>
  </si>
  <si>
    <t>Classement distance à l'idéal (plus la distance est petite, plus c'est proche de l'idéal)</t>
  </si>
  <si>
    <t>X moyen</t>
  </si>
  <si>
    <t xml:space="preserve"> Y moyen </t>
  </si>
  <si>
    <t>% haut-droite</t>
  </si>
  <si>
    <t>Corrélation X↔Y</t>
  </si>
  <si>
    <t>Médiane X</t>
  </si>
  <si>
    <t>Médiane Y</t>
  </si>
  <si>
    <t>X</t>
  </si>
  <si>
    <t>Y</t>
  </si>
  <si>
    <t xml:space="preserve">prompt
</t>
  </si>
  <si>
    <t>URL</t>
  </si>
  <si>
    <t>distance idéal</t>
  </si>
  <si>
    <t>itération (Tour)</t>
  </si>
  <si>
    <t>n valides</t>
  </si>
  <si>
    <t>Y moyen</t>
  </si>
  <si>
    <t>N valides</t>
  </si>
  <si>
    <t>ΔX / ΔY</t>
  </si>
  <si>
    <t>table</t>
  </si>
  <si>
    <t>x</t>
  </si>
  <si>
    <t>y</t>
  </si>
  <si>
    <t>distance</t>
  </si>
  <si>
    <t>Indicateur</t>
  </si>
  <si>
    <t xml:space="preserve">
Analogique (tour 3)</t>
  </si>
  <si>
    <t xml:space="preserve">
Numérique (tout)</t>
  </si>
  <si>
    <t>Différence (Analogique - Numérique)</t>
  </si>
  <si>
    <t>% haut-droite (X&gt;5 &amp; Y&gt;5)</t>
  </si>
  <si>
    <t>médiane X</t>
  </si>
  <si>
    <t>médiane Y</t>
  </si>
  <si>
    <t>corrélation X↔Y
La corrélation (Pearson) mesure à quel point X (ressemblance au quartier) et Y (préférence du futur) varient ensemble.
Proche de +1 : quand X augmente, Y augmente aussi.
→ “plus c’est ‘Vaise/Marseille’, plus c’est jugé préférable” (alignement local + désirable).
Proche de 0 : pas de relation linéaire.
→ les élèves peuvent aimer des futurs qui ne ressemblent pas au quartier, et inversement : les deux critères sont indépendants.
Proche de -1 : quand X augmente, Y baisse.
→ “plus ça ressemble au quartier, moins c’est jugé préférable” : tension entre ancrage local et désirabilité.
Comment lire tes valeurs
Analogique (tour 3) : 0,3
→ relation positive modérée : après discussion/ambassadeur, il y a une tendance à juger plus “préférable” ce qui est aussi plus “local”. Ce n’est pas un consensus total, mais un alignement perceptible.
Numérique : -0,1
→ quasi nul, très légèrement négatif : les images générées peuvent être jugées préférables sans être locales, ou locales sans être préférables. Autrement dit, la génération ouvre des imaginaires qui ne collent pas forcément au quartier (ou la lecture “local” est plus diffuse).</t>
  </si>
  <si>
    <t>distance moyenne à l’idéal (10,10)</t>
  </si>
  <si>
    <t>% X ≤ 2
Si % X≤2 explose en numérique → signe fort de déterritorialisation (beaucoup de scénarios “peu locaux”).</t>
  </si>
  <si>
    <t>% X ≥ 8
Si % X≥8 chute en numérique → signe qu’il y a peu d’images fortement ancrées.</t>
  </si>
  <si>
    <t>% Y ≤ 2
Si % Y≤2 explose en numérique → signe fort de pessimisme (beaucoup de scénarios “pas désirables”)</t>
  </si>
  <si>
    <t>% Y ≥ 8
Si % Y≥8 chute en numérique → signe qu’il y a peu d’images de futurs préférables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</si>
</sst>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4">
    <font>
      <sz val="10.0"/>
      <color rgb="FF000000"/>
      <name val="Arial"/>
      <scheme val="minor"/>
    </font>
    <font>
      <b/>
      <color theme="1"/>
      <name val="Arial"/>
    </font>
    <font>
      <sz val="9.0"/>
      <color theme="1"/>
      <name val="Arial"/>
    </font>
    <font>
      <color theme="1"/>
      <name val="Arial"/>
    </font>
    <font>
      <u/>
      <sz val="9.0"/>
      <color rgb="FF1155CC"/>
      <name val="Arial"/>
    </font>
    <font>
      <u/>
      <sz val="9.0"/>
      <color rgb="FF1155CC"/>
      <name val="Arial"/>
    </font>
    <font>
      <u/>
      <color rgb="FF1155CC"/>
      <name val="Arial"/>
    </font>
    <font>
      <b/>
      <sz val="10.0"/>
      <color theme="1"/>
      <name val="Arial"/>
    </font>
    <font>
      <b/>
      <sz val="9.0"/>
      <color theme="1"/>
      <name val="Arial"/>
    </font>
    <font>
      <u/>
      <sz val="9.0"/>
      <color rgb="FF0000FF"/>
    </font>
    <font>
      <u/>
      <sz val="9.0"/>
      <color rgb="FF0000FF"/>
      <name val="Arial"/>
    </font>
    <font>
      <u/>
      <sz val="9.0"/>
      <color rgb="FF1155CC"/>
      <name val="Arial"/>
    </font>
    <font>
      <color theme="1"/>
      <name val="Arial"/>
      <scheme val="minor"/>
    </font>
    <font>
      <u/>
      <color rgb="FF0000FF"/>
      <name val="Arial"/>
    </font>
  </fonts>
  <fills count="5">
    <fill>
      <patternFill patternType="none"/>
    </fill>
    <fill>
      <patternFill patternType="lightGray"/>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s>
  <borders count="1">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shrinkToFit="0" wrapText="1"/>
    </xf>
    <xf borderId="0" fillId="0" fontId="1" numFmtId="0" xfId="0" applyAlignment="1" applyFont="1">
      <alignment horizontal="center" shrinkToFit="0" vertical="bottom" wrapText="0"/>
    </xf>
    <xf borderId="0" fillId="0" fontId="1" numFmtId="0" xfId="0" applyAlignment="1" applyFont="1">
      <alignment horizontal="center" shrinkToFit="0" vertical="bottom" wrapText="1"/>
    </xf>
    <xf borderId="0" fillId="0" fontId="2" numFmtId="0" xfId="0" applyFont="1"/>
    <xf borderId="0" fillId="2" fontId="3" numFmtId="3" xfId="0" applyAlignment="1" applyFill="1" applyFont="1" applyNumberFormat="1">
      <alignment horizontal="center"/>
    </xf>
    <xf borderId="0" fillId="2" fontId="3" numFmtId="164" xfId="0" applyAlignment="1" applyFont="1" applyNumberFormat="1">
      <alignment horizontal="center"/>
    </xf>
    <xf borderId="0" fillId="2" fontId="3" numFmtId="0" xfId="0" applyAlignment="1" applyFont="1">
      <alignment horizontal="center"/>
    </xf>
    <xf borderId="0" fillId="2" fontId="3" numFmtId="164" xfId="0" applyAlignment="1" applyFont="1" applyNumberFormat="1">
      <alignment shrinkToFit="0" wrapText="0"/>
    </xf>
    <xf borderId="0" fillId="0" fontId="2" numFmtId="0" xfId="0" applyAlignment="1" applyFont="1">
      <alignment shrinkToFit="0" vertical="bottom" wrapText="0"/>
    </xf>
    <xf borderId="0" fillId="0" fontId="2" numFmtId="0" xfId="0" applyAlignment="1" applyFont="1">
      <alignment shrinkToFit="0" vertical="top" wrapText="0"/>
    </xf>
    <xf borderId="0" fillId="0" fontId="4" numFmtId="0" xfId="0" applyAlignment="1" applyFont="1">
      <alignment shrinkToFit="0" vertical="top" wrapText="0"/>
    </xf>
    <xf borderId="0" fillId="2" fontId="3" numFmtId="164" xfId="0" applyFont="1" applyNumberFormat="1"/>
    <xf borderId="0" fillId="0" fontId="5" numFmtId="0" xfId="0" applyAlignment="1" applyFont="1">
      <alignment vertical="bottom"/>
    </xf>
    <xf borderId="0" fillId="3" fontId="3" numFmtId="3" xfId="0" applyAlignment="1" applyFill="1" applyFont="1" applyNumberFormat="1">
      <alignment horizontal="center"/>
    </xf>
    <xf borderId="0" fillId="3" fontId="3" numFmtId="164" xfId="0" applyAlignment="1" applyFont="1" applyNumberFormat="1">
      <alignment horizontal="center"/>
    </xf>
    <xf borderId="0" fillId="3" fontId="3" numFmtId="0" xfId="0" applyAlignment="1" applyFont="1">
      <alignment horizontal="center"/>
    </xf>
    <xf borderId="0" fillId="3" fontId="3" numFmtId="164" xfId="0" applyFont="1" applyNumberFormat="1"/>
    <xf borderId="0" fillId="4" fontId="3" numFmtId="3" xfId="0" applyAlignment="1" applyFill="1" applyFont="1" applyNumberFormat="1">
      <alignment horizontal="center"/>
    </xf>
    <xf borderId="0" fillId="4" fontId="3" numFmtId="164" xfId="0" applyAlignment="1" applyFont="1" applyNumberFormat="1">
      <alignment horizontal="center"/>
    </xf>
    <xf borderId="0" fillId="4" fontId="3" numFmtId="0" xfId="0" applyAlignment="1" applyFont="1">
      <alignment horizontal="center"/>
    </xf>
    <xf borderId="0" fillId="4" fontId="3" numFmtId="164" xfId="0" applyFont="1" applyNumberFormat="1"/>
    <xf borderId="0" fillId="3" fontId="3" numFmtId="164" xfId="0" applyAlignment="1" applyFont="1" applyNumberFormat="1">
      <alignment shrinkToFit="0" wrapText="0"/>
    </xf>
    <xf borderId="0" fillId="4" fontId="1" numFmtId="3" xfId="0" applyAlignment="1" applyFont="1" applyNumberFormat="1">
      <alignment horizontal="center"/>
    </xf>
    <xf borderId="0" fillId="4" fontId="3" numFmtId="164" xfId="0" applyAlignment="1" applyFont="1" applyNumberFormat="1">
      <alignment shrinkToFit="0" wrapText="0"/>
    </xf>
    <xf borderId="0" fillId="3" fontId="3" numFmtId="3" xfId="0" applyAlignment="1" applyFont="1" applyNumberFormat="1">
      <alignment horizontal="center" vertical="bottom"/>
    </xf>
    <xf borderId="0" fillId="3" fontId="3" numFmtId="164" xfId="0" applyAlignment="1" applyFont="1" applyNumberFormat="1">
      <alignment horizontal="center" vertical="bottom"/>
    </xf>
    <xf borderId="0" fillId="3" fontId="3" numFmtId="3" xfId="0" applyAlignment="1" applyFont="1" applyNumberFormat="1">
      <alignment horizontal="center" vertical="center"/>
    </xf>
    <xf borderId="0" fillId="3" fontId="3" numFmtId="164" xfId="0" applyAlignment="1" applyFont="1" applyNumberFormat="1">
      <alignment horizontal="center" vertical="center"/>
    </xf>
    <xf borderId="0" fillId="3" fontId="3" numFmtId="0" xfId="0" applyAlignment="1" applyFont="1">
      <alignment horizontal="center" vertical="center"/>
    </xf>
    <xf borderId="0" fillId="0" fontId="3" numFmtId="0" xfId="0" applyAlignment="1" applyFont="1">
      <alignment shrinkToFit="0" vertical="bottom" wrapText="0"/>
    </xf>
    <xf borderId="0" fillId="0" fontId="6" numFmtId="0" xfId="0" applyAlignment="1" applyFont="1">
      <alignment shrinkToFit="0" vertical="top" wrapText="0"/>
    </xf>
    <xf borderId="0" fillId="4" fontId="3" numFmtId="3" xfId="0" applyAlignment="1" applyFont="1" applyNumberFormat="1">
      <alignment horizontal="center" vertical="center"/>
    </xf>
    <xf borderId="0" fillId="4" fontId="3" numFmtId="164" xfId="0" applyAlignment="1" applyFont="1" applyNumberFormat="1">
      <alignment horizontal="center" vertical="center"/>
    </xf>
    <xf borderId="0" fillId="0" fontId="3" numFmtId="0" xfId="0" applyAlignment="1" applyFont="1">
      <alignment shrinkToFit="0" vertical="top" wrapText="0"/>
    </xf>
    <xf borderId="0" fillId="0" fontId="1" numFmtId="0" xfId="0" applyAlignment="1" applyFont="1">
      <alignment horizontal="center" shrinkToFit="0" vertical="center" wrapText="1"/>
    </xf>
    <xf borderId="0" fillId="0" fontId="7" numFmtId="0" xfId="0" applyAlignment="1" applyFont="1">
      <alignment horizontal="center" shrinkToFit="0" vertical="center" wrapText="0"/>
    </xf>
    <xf borderId="0" fillId="0" fontId="7" numFmtId="0" xfId="0" applyAlignment="1" applyFont="1">
      <alignment horizontal="center" shrinkToFit="0" vertical="center" wrapText="1"/>
    </xf>
    <xf borderId="0" fillId="0" fontId="8" numFmtId="0" xfId="0" applyAlignment="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shrinkToFit="0" vertical="center" wrapText="1"/>
    </xf>
    <xf borderId="0" fillId="0" fontId="2" numFmtId="3" xfId="0" applyAlignment="1" applyFont="1" applyNumberFormat="1">
      <alignment horizontal="center" shrinkToFit="0" vertical="center" wrapText="0"/>
    </xf>
    <xf borderId="0" fillId="0" fontId="3" numFmtId="164" xfId="0" applyAlignment="1" applyFont="1" applyNumberFormat="1">
      <alignment horizontal="center" shrinkToFit="0" vertical="center" wrapText="0"/>
    </xf>
    <xf borderId="0" fillId="0" fontId="3" numFmtId="0" xfId="0" applyAlignment="1" applyFont="1">
      <alignment horizontal="center" shrinkToFit="0" vertical="center" wrapText="0"/>
    </xf>
    <xf borderId="0" fillId="0" fontId="2" numFmtId="0" xfId="0" applyAlignment="1" applyFont="1">
      <alignment shrinkToFit="0" vertical="center" wrapText="0"/>
    </xf>
    <xf borderId="0" fillId="0" fontId="9" numFmtId="0" xfId="0" applyAlignment="1" applyFont="1">
      <alignment shrinkToFit="0" vertical="center" wrapText="0"/>
    </xf>
    <xf borderId="0" fillId="0" fontId="2" numFmtId="0" xfId="0" applyAlignment="1" applyFont="1">
      <alignment horizontal="center" shrinkToFit="0" vertical="center" wrapText="0"/>
    </xf>
    <xf borderId="0" fillId="0" fontId="3" numFmtId="0" xfId="0" applyAlignment="1" applyFont="1">
      <alignment shrinkToFit="0" vertical="center" wrapText="0"/>
    </xf>
    <xf borderId="0" fillId="0" fontId="2" numFmtId="164" xfId="0" applyAlignment="1" applyFont="1" applyNumberFormat="1">
      <alignment shrinkToFit="0" vertical="center" wrapText="0"/>
    </xf>
    <xf borderId="0" fillId="0" fontId="10" numFmtId="0" xfId="0" applyAlignment="1" applyFont="1">
      <alignment shrinkToFit="0" vertical="center" wrapText="0"/>
    </xf>
    <xf borderId="0" fillId="0" fontId="3" numFmtId="0" xfId="0" applyAlignment="1" applyFont="1">
      <alignment horizontal="center"/>
    </xf>
    <xf borderId="0" fillId="0" fontId="11" numFmtId="0" xfId="0" applyAlignment="1" applyFont="1">
      <alignment shrinkToFit="0" vertical="center" wrapText="0"/>
    </xf>
    <xf borderId="0" fillId="0" fontId="2" numFmtId="0" xfId="0" applyAlignment="1" applyFont="1">
      <alignment shrinkToFit="0" wrapText="0"/>
    </xf>
    <xf borderId="0" fillId="0" fontId="1" numFmtId="3" xfId="0" applyAlignment="1" applyFont="1" applyNumberFormat="1">
      <alignment horizontal="center" shrinkToFit="0" vertical="center" wrapText="1"/>
    </xf>
    <xf borderId="0" fillId="0" fontId="3" numFmtId="3" xfId="0" applyAlignment="1" applyFont="1" applyNumberFormat="1">
      <alignment vertical="center"/>
    </xf>
    <xf borderId="0" fillId="0" fontId="1" numFmtId="164" xfId="0" applyAlignment="1" applyFont="1" applyNumberFormat="1">
      <alignment horizontal="center" shrinkToFit="0" vertical="center" wrapText="1"/>
    </xf>
    <xf borderId="0" fillId="0" fontId="3" numFmtId="0" xfId="0" applyAlignment="1" applyFont="1">
      <alignment vertical="center"/>
    </xf>
    <xf borderId="0" fillId="0" fontId="3" numFmtId="4" xfId="0" applyAlignment="1" applyFont="1" applyNumberFormat="1">
      <alignment vertical="center"/>
    </xf>
    <xf borderId="0" fillId="0" fontId="1" numFmtId="4" xfId="0" applyAlignment="1" applyFont="1" applyNumberFormat="1">
      <alignment horizontal="center" shrinkToFit="0" vertical="center" wrapText="1"/>
    </xf>
    <xf borderId="0" fillId="0" fontId="1" numFmtId="0" xfId="0" applyAlignment="1" applyFont="1">
      <alignment horizontal="center" vertical="center"/>
    </xf>
    <xf borderId="0" fillId="0" fontId="3" numFmtId="3" xfId="0" applyAlignment="1" applyFont="1" applyNumberFormat="1">
      <alignment horizontal="center" shrinkToFit="0" vertical="center" wrapText="1"/>
    </xf>
    <xf borderId="0" fillId="0" fontId="3" numFmtId="164" xfId="0" applyAlignment="1" applyFont="1" applyNumberFormat="1">
      <alignment horizontal="center" shrinkToFit="0" vertical="center" wrapText="1"/>
    </xf>
    <xf borderId="0" fillId="0" fontId="3" numFmtId="164" xfId="0" applyAlignment="1" applyFont="1" applyNumberFormat="1">
      <alignment horizontal="center" vertical="center"/>
    </xf>
    <xf borderId="0" fillId="0" fontId="3" numFmtId="164" xfId="0" applyAlignment="1" applyFont="1" applyNumberFormat="1">
      <alignment vertical="center"/>
    </xf>
    <xf borderId="0" fillId="0" fontId="3" numFmtId="3" xfId="0" applyAlignment="1" applyFont="1" applyNumberFormat="1">
      <alignment horizontal="center" vertical="center"/>
    </xf>
    <xf borderId="0" fillId="0" fontId="3" numFmtId="10" xfId="0" applyAlignment="1" applyFont="1" applyNumberFormat="1">
      <alignment horizontal="center" shrinkToFit="0" vertical="center" wrapText="1"/>
    </xf>
    <xf borderId="0" fillId="0" fontId="3" numFmtId="164" xfId="0" applyAlignment="1" applyFont="1" applyNumberFormat="1">
      <alignment horizontal="right" vertical="center"/>
    </xf>
    <xf borderId="0" fillId="0" fontId="12" numFmtId="0" xfId="0" applyFont="1"/>
    <xf borderId="0" fillId="0" fontId="1" numFmtId="3" xfId="0" applyAlignment="1" applyFont="1" applyNumberFormat="1">
      <alignment horizontal="center" shrinkToFit="0" wrapText="1"/>
    </xf>
    <xf borderId="0" fillId="0" fontId="1" numFmtId="164" xfId="0" applyAlignment="1" applyFont="1" applyNumberFormat="1">
      <alignment horizontal="center" shrinkToFit="0" wrapText="1"/>
    </xf>
    <xf borderId="0" fillId="0" fontId="3" numFmtId="3" xfId="0" applyFont="1" applyNumberFormat="1"/>
    <xf borderId="0" fillId="0" fontId="3" numFmtId="3" xfId="0" applyAlignment="1" applyFont="1" applyNumberFormat="1">
      <alignment horizontal="center" shrinkToFit="0" wrapText="1"/>
    </xf>
    <xf borderId="0" fillId="0" fontId="3" numFmtId="164" xfId="0" applyAlignment="1" applyFont="1" applyNumberFormat="1">
      <alignment horizontal="center" shrinkToFit="0" wrapText="1"/>
    </xf>
    <xf borderId="0" fillId="0" fontId="3" numFmtId="164" xfId="0" applyAlignment="1" applyFont="1" applyNumberFormat="1">
      <alignment horizontal="center"/>
    </xf>
    <xf borderId="0" fillId="0" fontId="3" numFmtId="164" xfId="0" applyAlignment="1" applyFont="1" applyNumberFormat="1">
      <alignment horizontal="left" shrinkToFit="0" vertical="center" wrapText="0"/>
    </xf>
    <xf borderId="0" fillId="0" fontId="13" numFmtId="164" xfId="0" applyAlignment="1" applyFont="1" applyNumberFormat="1">
      <alignment horizontal="left" shrinkToFit="0" vertical="center" wrapText="0"/>
    </xf>
    <xf borderId="0" fillId="0" fontId="3" numFmtId="3" xfId="0" applyAlignment="1" applyFont="1" applyNumberFormat="1">
      <alignment horizontal="center"/>
    </xf>
    <xf borderId="0" fillId="0" fontId="3" numFmtId="164" xfId="0" applyFont="1" applyNumberFormat="1"/>
    <xf borderId="0" fillId="0" fontId="3" numFmtId="0" xfId="0" applyAlignment="1" applyFont="1">
      <alignment horizontal="left" shrinkToFit="0" vertical="center" wrapText="0"/>
    </xf>
    <xf borderId="0" fillId="0" fontId="1" numFmtId="3" xfId="0" applyAlignment="1" applyFont="1" applyNumberFormat="1">
      <alignment horizontal="right" shrinkToFit="0" vertical="center" wrapText="1"/>
    </xf>
    <xf borderId="0" fillId="0" fontId="3" numFmtId="0" xfId="0" applyAlignment="1" applyFont="1">
      <alignment horizontal="center" shrinkToFit="0" vertical="center" wrapText="1"/>
    </xf>
    <xf borderId="0" fillId="0" fontId="3" numFmtId="3" xfId="0" applyAlignment="1" applyFont="1" applyNumberFormat="1">
      <alignment horizontal="right" shrinkToFit="0" vertical="center" wrapText="1"/>
    </xf>
    <xf borderId="0" fillId="0" fontId="3" numFmtId="3" xfId="0" applyAlignment="1" applyFont="1" applyNumberFormat="1">
      <alignment horizontal="right" shrinkToFit="0" wrapText="1"/>
    </xf>
    <xf borderId="0" fillId="0" fontId="3" numFmtId="10" xfId="0" applyAlignment="1" applyFont="1" applyNumberFormat="1">
      <alignment horizontal="center" shrinkToFit="0" wrapText="1"/>
    </xf>
    <xf borderId="0" fillId="0" fontId="3" numFmtId="10"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8b86xwvvPn3hBm81SeeCNQlWYo-lJonE/view?usp=drive_link" TargetMode="External"/><Relationship Id="rId190" Type="http://schemas.openxmlformats.org/officeDocument/2006/relationships/hyperlink" Target="https://drive.google.com/file/d/1GAnHl-oLUWLT24V_FZxUREu85xO9StH0/view?usp=drive_link" TargetMode="External"/><Relationship Id="rId42" Type="http://schemas.openxmlformats.org/officeDocument/2006/relationships/hyperlink" Target="https://drive.google.com/file/d/1GRe-KNTsbZ5ht4cPBUqlWhABMo2cvnyg/view?usp=drive_link" TargetMode="External"/><Relationship Id="rId41" Type="http://schemas.openxmlformats.org/officeDocument/2006/relationships/hyperlink" Target="https://drive.google.com/file/d/1rALogf0z4JQyz6qtTe8D_8WK-beWdAeg/view?usp=drive_link" TargetMode="External"/><Relationship Id="rId44" Type="http://schemas.openxmlformats.org/officeDocument/2006/relationships/hyperlink" Target="https://drive.google.com/file/d/1ZpH6yECACd6-FPK-Wl1Gr5b73R8fZ9ng/view?usp=drive_link" TargetMode="External"/><Relationship Id="rId43" Type="http://schemas.openxmlformats.org/officeDocument/2006/relationships/hyperlink" Target="https://drive.google.com/file/d/1GAnHl-oLUWLT24V_FZxUREu85xO9StH0/view?usp=drive_link" TargetMode="External"/><Relationship Id="rId46" Type="http://schemas.openxmlformats.org/officeDocument/2006/relationships/hyperlink" Target="https://drive.google.com/file/d/1N9t-GV2AdjjqC_2IVcQVYeALd2U4LVDY/view?usp=drive_link" TargetMode="External"/><Relationship Id="rId192" Type="http://schemas.openxmlformats.org/officeDocument/2006/relationships/drawing" Target="../drawings/drawing1.xml"/><Relationship Id="rId45" Type="http://schemas.openxmlformats.org/officeDocument/2006/relationships/hyperlink" Target="https://drive.google.com/file/d/1UNAwMu9jCA9Zxw-Od2r0F9FRCHDph1d9/view?usp=drive_link" TargetMode="External"/><Relationship Id="rId191" Type="http://schemas.openxmlformats.org/officeDocument/2006/relationships/hyperlink" Target="https://drive.google.com/file/d/1fHxTi8Bq-nA6q8dSoTcyRv8p4dEkEZ3Y/view?usp=drive_link" TargetMode="External"/><Relationship Id="rId107" Type="http://schemas.openxmlformats.org/officeDocument/2006/relationships/hyperlink" Target="https://drive.google.com/file/d/1CXy6CKkgq4h74SCrylhKLr40YiKkdY-Q/view?usp=drive_link" TargetMode="External"/><Relationship Id="rId106" Type="http://schemas.openxmlformats.org/officeDocument/2006/relationships/hyperlink" Target="https://drive.google.com/file/d/1FcoS6JUULUM7vWr5-CGodf19esG4tN5T/view?usp=drive_link" TargetMode="External"/><Relationship Id="rId105" Type="http://schemas.openxmlformats.org/officeDocument/2006/relationships/hyperlink" Target="https://drive.google.com/file/d/1xKjcC3r5RyH-cH66JWb2TjfDBCAXPjps/view?usp=drive_link" TargetMode="External"/><Relationship Id="rId104" Type="http://schemas.openxmlformats.org/officeDocument/2006/relationships/hyperlink" Target="https://drive.google.com/file/d/1FKFXnbn0PHm13A_DT5JITbsOwoLgM_6p/view?usp=drive_link" TargetMode="External"/><Relationship Id="rId109" Type="http://schemas.openxmlformats.org/officeDocument/2006/relationships/hyperlink" Target="https://drive.google.com/file/d/1N40HKePFubgCfauGPpbQdTBSNu7MDVap/view?usp=drive_link" TargetMode="External"/><Relationship Id="rId108" Type="http://schemas.openxmlformats.org/officeDocument/2006/relationships/hyperlink" Target="https://drive.google.com/file/d/1D0YlVvmnQu1an5WIpcZS4pz1x9UPUc3d/view?usp=drive_link" TargetMode="External"/><Relationship Id="rId48" Type="http://schemas.openxmlformats.org/officeDocument/2006/relationships/hyperlink" Target="https://drive.google.com/file/d/1IMVAaX0LTOiJ0Zo1Wmf8A1Xa2AM0Dc69/view?usp=drive_link" TargetMode="External"/><Relationship Id="rId187" Type="http://schemas.openxmlformats.org/officeDocument/2006/relationships/hyperlink" Target="https://drive.google.com/file/d/1xBhteJsA8SE57egv_hBsT42Ofa03ScNd/view?usp=drive_link" TargetMode="External"/><Relationship Id="rId47" Type="http://schemas.openxmlformats.org/officeDocument/2006/relationships/hyperlink" Target="https://drive.google.com/file/d/1ImFHoZv_Iu5PfAqIUClWPlMsAqGdDAd9/view?usp=drive_link" TargetMode="External"/><Relationship Id="rId186" Type="http://schemas.openxmlformats.org/officeDocument/2006/relationships/hyperlink" Target="https://drive.google.com/file/d/1oc2uT2Wz6Ou-v61FqO5ekhDvYhUOBody/view?usp=drive_link" TargetMode="External"/><Relationship Id="rId185" Type="http://schemas.openxmlformats.org/officeDocument/2006/relationships/hyperlink" Target="https://drive.google.com/file/d/175k2iWpcxPtwrwANs4lwjSd0ku6lhqmW/view?usp=drive_link" TargetMode="External"/><Relationship Id="rId49" Type="http://schemas.openxmlformats.org/officeDocument/2006/relationships/hyperlink" Target="https://drive.google.com/file/d/1xKjcC3r5RyH-cH66JWb2TjfDBCAXPjps/view?usp=drive_link" TargetMode="External"/><Relationship Id="rId184" Type="http://schemas.openxmlformats.org/officeDocument/2006/relationships/hyperlink" Target="https://drive.google.com/file/d/1ZKNFi19ZoD83MlC0Y9QvLCM4pLP6fjDi/view?usp=drive_link" TargetMode="External"/><Relationship Id="rId103" Type="http://schemas.openxmlformats.org/officeDocument/2006/relationships/hyperlink" Target="https://drive.google.com/file/d/1R3kylnvAD23hjccwzGCXjkBXUEntgoVe/view?usp=drive_link" TargetMode="External"/><Relationship Id="rId102" Type="http://schemas.openxmlformats.org/officeDocument/2006/relationships/hyperlink" Target="https://drive.google.com/file/d/1MYQymWLreUpEhTiwThsgXOqHA_JQxhBI/view?usp=drive_link" TargetMode="External"/><Relationship Id="rId101" Type="http://schemas.openxmlformats.org/officeDocument/2006/relationships/hyperlink" Target="https://drive.google.com/file/d/1dpXSCfvLJfHqBXhPv6vJ3QBQliX3-t7q/view?usp=drive_link" TargetMode="External"/><Relationship Id="rId189" Type="http://schemas.openxmlformats.org/officeDocument/2006/relationships/hyperlink" Target="https://drive.google.com/file/d/1TCfJXk9B28RWx1nfpLxixUu2EwnDQN67/view?usp=drive_link" TargetMode="External"/><Relationship Id="rId100" Type="http://schemas.openxmlformats.org/officeDocument/2006/relationships/hyperlink" Target="https://drive.google.com/file/d/1fHxTi8Bq-nA6q8dSoTcyRv8p4dEkEZ3Y/view?usp=drive_link" TargetMode="External"/><Relationship Id="rId188" Type="http://schemas.openxmlformats.org/officeDocument/2006/relationships/hyperlink" Target="https://drive.google.com/file/d/1KCRrci5pmuuC5FYGvjVfhNecRLmNNIY3/view?usp=drive_link" TargetMode="External"/><Relationship Id="rId31" Type="http://schemas.openxmlformats.org/officeDocument/2006/relationships/hyperlink" Target="https://drive.google.com/file/d/1fhbLgvg0hsz4TNLeXeSF0mFWcvDZddGd/view?usp=drive_link" TargetMode="External"/><Relationship Id="rId30" Type="http://schemas.openxmlformats.org/officeDocument/2006/relationships/hyperlink" Target="https://drive.google.com/file/d/1UNAwMu9jCA9Zxw-Od2r0F9FRCHDph1d9/view?usp=drive_link" TargetMode="External"/><Relationship Id="rId33" Type="http://schemas.openxmlformats.org/officeDocument/2006/relationships/hyperlink" Target="https://drive.google.com/file/d/1nBi-M5nL6M1oSQo5aEMRJAYjwYr5kWBU/view?usp=drive_link" TargetMode="External"/><Relationship Id="rId183" Type="http://schemas.openxmlformats.org/officeDocument/2006/relationships/hyperlink" Target="https://drive.google.com/file/d/1KWlYUGR5zjPjDXdpwEYuBV86Ttjyu26f/view?usp=drive_link" TargetMode="External"/><Relationship Id="rId32" Type="http://schemas.openxmlformats.org/officeDocument/2006/relationships/hyperlink" Target="https://drive.google.com/file/d/1W7Korom927gbc6HmwCbPUpS8vYgldZiY/view?usp=drive_link" TargetMode="External"/><Relationship Id="rId182" Type="http://schemas.openxmlformats.org/officeDocument/2006/relationships/hyperlink" Target="https://drive.google.com/file/d/12Mz9KeJxCPlM2qz67Hmw9IBM49T5QKa3/view?usp=drive_link" TargetMode="External"/><Relationship Id="rId35" Type="http://schemas.openxmlformats.org/officeDocument/2006/relationships/hyperlink" Target="https://drive.google.com/file/d/1XuZEEiIwpk_lMssqM0GRrA2NgWiRxgkw/view?usp=drive_link" TargetMode="External"/><Relationship Id="rId181" Type="http://schemas.openxmlformats.org/officeDocument/2006/relationships/hyperlink" Target="https://drive.google.com/file/d/1CXy6CKkgq4h74SCrylhKLr40YiKkdY-Q/view?usp=drive_link" TargetMode="External"/><Relationship Id="rId34" Type="http://schemas.openxmlformats.org/officeDocument/2006/relationships/hyperlink" Target="https://drive.google.com/file/d/1VLU2LS8Orkv7SZDBn9xJgcUVGmFB9OAH/view?usp=drive_link" TargetMode="External"/><Relationship Id="rId180" Type="http://schemas.openxmlformats.org/officeDocument/2006/relationships/hyperlink" Target="https://drive.google.com/file/d/13UquZY7-PvjzHDgsgE8YZgIgGEjT8mGr/view?usp=drive_link" TargetMode="External"/><Relationship Id="rId37" Type="http://schemas.openxmlformats.org/officeDocument/2006/relationships/hyperlink" Target="https://drive.google.com/file/d/12Mz9KeJxCPlM2qz67Hmw9IBM49T5QKa3/view?usp=drive_link" TargetMode="External"/><Relationship Id="rId176" Type="http://schemas.openxmlformats.org/officeDocument/2006/relationships/hyperlink" Target="https://drive.google.com/file/d/1qqAb3u9h1r-QT8-il-EwTnKEKtlcwv2q/view?usp=drive_link" TargetMode="External"/><Relationship Id="rId36" Type="http://schemas.openxmlformats.org/officeDocument/2006/relationships/hyperlink" Target="https://drive.google.com/file/d/13UquZY7-PvjzHDgsgE8YZgIgGEjT8mGr/view?usp=drive_link" TargetMode="External"/><Relationship Id="rId175" Type="http://schemas.openxmlformats.org/officeDocument/2006/relationships/hyperlink" Target="https://drive.google.com/file/d/1VLU2LS8Orkv7SZDBn9xJgcUVGmFB9OAH/view?usp=drive_link" TargetMode="External"/><Relationship Id="rId39" Type="http://schemas.openxmlformats.org/officeDocument/2006/relationships/hyperlink" Target="https://drive.google.com/file/d/1N40HKePFubgCfauGPpbQdTBSNu7MDVap/view?usp=drive_link" TargetMode="External"/><Relationship Id="rId174" Type="http://schemas.openxmlformats.org/officeDocument/2006/relationships/hyperlink" Target="https://drive.google.com/file/d/1ImFHoZv_Iu5PfAqIUClWPlMsAqGdDAd9/view?usp=drive_link" TargetMode="External"/><Relationship Id="rId38" Type="http://schemas.openxmlformats.org/officeDocument/2006/relationships/hyperlink" Target="https://drive.google.com/file/d/10EYeHwHh92QJU5CjvJvcN-1CluGq6eok/view?usp=drive_link" TargetMode="External"/><Relationship Id="rId173" Type="http://schemas.openxmlformats.org/officeDocument/2006/relationships/hyperlink" Target="https://drive.google.com/file/d/1MYQymWLreUpEhTiwThsgXOqHA_JQxhBI/view?usp=drive_link" TargetMode="External"/><Relationship Id="rId179" Type="http://schemas.openxmlformats.org/officeDocument/2006/relationships/hyperlink" Target="https://drive.google.com/file/d/1Dfg_AAyDdWO38zNgo0B8__H1r14Nwtq_/view?usp=drive_link" TargetMode="External"/><Relationship Id="rId178" Type="http://schemas.openxmlformats.org/officeDocument/2006/relationships/hyperlink" Target="https://drive.google.com/file/d/1FKFXnbn0PHm13A_DT5JITbsOwoLgM_6p/view?usp=drive_link" TargetMode="External"/><Relationship Id="rId177" Type="http://schemas.openxmlformats.org/officeDocument/2006/relationships/hyperlink" Target="https://drive.google.com/file/d/1XuZEEiIwpk_lMssqM0GRrA2NgWiRxgkw/view?usp=drive_link" TargetMode="External"/><Relationship Id="rId20" Type="http://schemas.openxmlformats.org/officeDocument/2006/relationships/hyperlink" Target="https://drive.google.com/file/d/1XuZEEiIwpk_lMssqM0GRrA2NgWiRxgkw/view?usp=drive_link" TargetMode="External"/><Relationship Id="rId22" Type="http://schemas.openxmlformats.org/officeDocument/2006/relationships/hyperlink" Target="https://drive.google.com/file/d/12Mz9KeJxCPlM2qz67Hmw9IBM49T5QKa3/view?usp=drive_link" TargetMode="External"/><Relationship Id="rId21" Type="http://schemas.openxmlformats.org/officeDocument/2006/relationships/hyperlink" Target="https://drive.google.com/file/d/13UquZY7-PvjzHDgsgE8YZgIgGEjT8mGr/view?usp=drive_link" TargetMode="External"/><Relationship Id="rId24" Type="http://schemas.openxmlformats.org/officeDocument/2006/relationships/hyperlink" Target="https://drive.google.com/file/d/1N40HKePFubgCfauGPpbQdTBSNu7MDVap/view?usp=drive_link" TargetMode="External"/><Relationship Id="rId23" Type="http://schemas.openxmlformats.org/officeDocument/2006/relationships/hyperlink" Target="https://drive.google.com/file/d/10EYeHwHh92QJU5CjvJvcN-1CluGq6eok/view?usp=drive_link" TargetMode="External"/><Relationship Id="rId129" Type="http://schemas.openxmlformats.org/officeDocument/2006/relationships/hyperlink" Target="https://drive.google.com/file/d/1m5Ui6AoOXVjMYBcnEvnhrcEHrqFOxje0/view?usp=drive_link" TargetMode="External"/><Relationship Id="rId128" Type="http://schemas.openxmlformats.org/officeDocument/2006/relationships/hyperlink" Target="https://drive.google.com/file/d/1rfoRQhmY2C9JUvD_-wa9jxQ0ThukySap/view?usp=drive_link" TargetMode="External"/><Relationship Id="rId127" Type="http://schemas.openxmlformats.org/officeDocument/2006/relationships/hyperlink" Target="https://drive.google.com/file/d/12p258240CFm9GXhHQRbcrS3q8sHfri9v/view?usp=drive_link" TargetMode="External"/><Relationship Id="rId126" Type="http://schemas.openxmlformats.org/officeDocument/2006/relationships/hyperlink" Target="https://drive.google.com/file/d/1tSTzXjNaPUNRChNu_KXo5zS2_ya0dndH/view?usp=drive_link" TargetMode="External"/><Relationship Id="rId26" Type="http://schemas.openxmlformats.org/officeDocument/2006/relationships/hyperlink" Target="https://drive.google.com/file/d/1rALogf0z4JQyz6qtTe8D_8WK-beWdAeg/view?usp=drive_link" TargetMode="External"/><Relationship Id="rId121" Type="http://schemas.openxmlformats.org/officeDocument/2006/relationships/hyperlink" Target="https://drive.google.com/file/d/1xKjcC3r5RyH-cH66JWb2TjfDBCAXPjps/view?usp=drive_link" TargetMode="External"/><Relationship Id="rId25" Type="http://schemas.openxmlformats.org/officeDocument/2006/relationships/hyperlink" Target="https://drive.google.com/file/d/18b86xwvvPn3hBm81SeeCNQlWYo-lJonE/view?usp=drive_link" TargetMode="External"/><Relationship Id="rId120" Type="http://schemas.openxmlformats.org/officeDocument/2006/relationships/hyperlink" Target="https://drive.google.com/file/d/1FKFXnbn0PHm13A_DT5JITbsOwoLgM_6p/view?usp=drive_link" TargetMode="External"/><Relationship Id="rId28" Type="http://schemas.openxmlformats.org/officeDocument/2006/relationships/hyperlink" Target="https://drive.google.com/file/d/1GAnHl-oLUWLT24V_FZxUREu85xO9StH0/view?usp=drive_link" TargetMode="External"/><Relationship Id="rId27" Type="http://schemas.openxmlformats.org/officeDocument/2006/relationships/hyperlink" Target="https://drive.google.com/file/d/1GRe-KNTsbZ5ht4cPBUqlWhABMo2cvnyg/view?usp=drive_link" TargetMode="External"/><Relationship Id="rId125" Type="http://schemas.openxmlformats.org/officeDocument/2006/relationships/hyperlink" Target="https://drive.google.com/file/d/1N40HKePFubgCfauGPpbQdTBSNu7MDVap/view?usp=drive_link" TargetMode="External"/><Relationship Id="rId29" Type="http://schemas.openxmlformats.org/officeDocument/2006/relationships/hyperlink" Target="https://drive.google.com/file/d/1ZpH6yECACd6-FPK-Wl1Gr5b73R8fZ9ng/view?usp=drive_link" TargetMode="External"/><Relationship Id="rId124" Type="http://schemas.openxmlformats.org/officeDocument/2006/relationships/hyperlink" Target="https://drive.google.com/file/d/1D0YlVvmnQu1an5WIpcZS4pz1x9UPUc3d/view?usp=drive_link" TargetMode="External"/><Relationship Id="rId123" Type="http://schemas.openxmlformats.org/officeDocument/2006/relationships/hyperlink" Target="https://drive.google.com/file/d/1CXy6CKkgq4h74SCrylhKLr40YiKkdY-Q/view?usp=drive_link" TargetMode="External"/><Relationship Id="rId122" Type="http://schemas.openxmlformats.org/officeDocument/2006/relationships/hyperlink" Target="https://drive.google.com/file/d/1FcoS6JUULUM7vWr5-CGodf19esG4tN5T/view?usp=drive_link" TargetMode="External"/><Relationship Id="rId95" Type="http://schemas.openxmlformats.org/officeDocument/2006/relationships/hyperlink" Target="https://drive.google.com/file/d/175k2iWpcxPtwrwANs4lwjSd0ku6lhqmW/view?usp=drive_link" TargetMode="External"/><Relationship Id="rId94" Type="http://schemas.openxmlformats.org/officeDocument/2006/relationships/hyperlink" Target="https://drive.google.com/file/d/1ZKNFi19ZoD83MlC0Y9QvLCM4pLP6fjDi/view?usp=drive_link" TargetMode="External"/><Relationship Id="rId97" Type="http://schemas.openxmlformats.org/officeDocument/2006/relationships/hyperlink" Target="https://drive.google.com/file/d/1TCfJXk9B28RWx1nfpLxixUu2EwnDQN67/view?usp=drive_link" TargetMode="External"/><Relationship Id="rId96" Type="http://schemas.openxmlformats.org/officeDocument/2006/relationships/hyperlink" Target="https://drive.google.com/file/d/1XRTqszkjtPRwqm_86WxFzN7y-5ezVh73/view?usp=drive_link" TargetMode="External"/><Relationship Id="rId11" Type="http://schemas.openxmlformats.org/officeDocument/2006/relationships/hyperlink" Target="https://drive.google.com/file/d/1rALogf0z4JQyz6qtTe8D_8WK-beWdAeg/view?usp=drive_link" TargetMode="External"/><Relationship Id="rId99" Type="http://schemas.openxmlformats.org/officeDocument/2006/relationships/hyperlink" Target="https://drive.google.com/file/d/1h56VBP1qsjQnxXNGS864y5frBUsy-pSr/view?usp=drive_link" TargetMode="External"/><Relationship Id="rId10" Type="http://schemas.openxmlformats.org/officeDocument/2006/relationships/hyperlink" Target="https://drive.google.com/file/d/18b86xwvvPn3hBm81SeeCNQlWYo-lJonE/view?usp=drive_link" TargetMode="External"/><Relationship Id="rId98" Type="http://schemas.openxmlformats.org/officeDocument/2006/relationships/hyperlink" Target="https://drive.google.com/file/d/1GRe-KNTsbZ5ht4cPBUqlWhABMo2cvnyg/view?usp=drive_link" TargetMode="External"/><Relationship Id="rId13" Type="http://schemas.openxmlformats.org/officeDocument/2006/relationships/hyperlink" Target="https://drive.google.com/file/d/1GAnHl-oLUWLT24V_FZxUREu85xO9StH0/view?usp=drive_link" TargetMode="External"/><Relationship Id="rId12" Type="http://schemas.openxmlformats.org/officeDocument/2006/relationships/hyperlink" Target="https://drive.google.com/file/d/1GRe-KNTsbZ5ht4cPBUqlWhABMo2cvnyg/view?usp=drive_link" TargetMode="External"/><Relationship Id="rId91" Type="http://schemas.openxmlformats.org/officeDocument/2006/relationships/hyperlink" Target="https://drive.google.com/file/d/12Mz9KeJxCPlM2qz67Hmw9IBM49T5QKa3/view?usp=drive_link" TargetMode="External"/><Relationship Id="rId90" Type="http://schemas.openxmlformats.org/officeDocument/2006/relationships/hyperlink" Target="https://drive.google.com/file/d/19g54XFqTL892SxJURUGnckOtI22EWXYv/view?usp=drive_link" TargetMode="External"/><Relationship Id="rId93" Type="http://schemas.openxmlformats.org/officeDocument/2006/relationships/hyperlink" Target="https://drive.google.com/file/d/1tSTzXjNaPUNRChNu_KXo5zS2_ya0dndH/view?usp=drive_link" TargetMode="External"/><Relationship Id="rId92" Type="http://schemas.openxmlformats.org/officeDocument/2006/relationships/hyperlink" Target="https://drive.google.com/file/d/1D0YlVvmnQu1an5WIpcZS4pz1x9UPUc3d/view?usp=drive_link" TargetMode="External"/><Relationship Id="rId118" Type="http://schemas.openxmlformats.org/officeDocument/2006/relationships/hyperlink" Target="https://drive.google.com/file/d/1MYQymWLreUpEhTiwThsgXOqHA_JQxhBI/view?usp=drive_link" TargetMode="External"/><Relationship Id="rId117" Type="http://schemas.openxmlformats.org/officeDocument/2006/relationships/hyperlink" Target="https://drive.google.com/file/d/1fHxTi8Bq-nA6q8dSoTcyRv8p4dEkEZ3Y/view?usp=drive_link" TargetMode="External"/><Relationship Id="rId116" Type="http://schemas.openxmlformats.org/officeDocument/2006/relationships/hyperlink" Target="https://drive.google.com/file/d/1ZpH6yECACd6-FPK-Wl1Gr5b73R8fZ9ng/view?usp=drive_link" TargetMode="External"/><Relationship Id="rId115" Type="http://schemas.openxmlformats.org/officeDocument/2006/relationships/hyperlink" Target="https://drive.google.com/file/d/1GAnHl-oLUWLT24V_FZxUREu85xO9StH0/view?usp=drive_link" TargetMode="External"/><Relationship Id="rId119" Type="http://schemas.openxmlformats.org/officeDocument/2006/relationships/hyperlink" Target="https://drive.google.com/file/d/1R3kylnvAD23hjccwzGCXjkBXUEntgoVe/view?usp=drive_link" TargetMode="External"/><Relationship Id="rId15" Type="http://schemas.openxmlformats.org/officeDocument/2006/relationships/hyperlink" Target="https://drive.google.com/file/d/1UNAwMu9jCA9Zxw-Od2r0F9FRCHDph1d9/view?usp=drive_link" TargetMode="External"/><Relationship Id="rId110" Type="http://schemas.openxmlformats.org/officeDocument/2006/relationships/hyperlink" Target="https://drive.google.com/file/d/1tSTzXjNaPUNRChNu_KXo5zS2_ya0dndH/view?usp=drive_link" TargetMode="External"/><Relationship Id="rId14" Type="http://schemas.openxmlformats.org/officeDocument/2006/relationships/hyperlink" Target="https://drive.google.com/file/d/1ZpH6yECACd6-FPK-Wl1Gr5b73R8fZ9ng/view?usp=drive_link" TargetMode="External"/><Relationship Id="rId17" Type="http://schemas.openxmlformats.org/officeDocument/2006/relationships/hyperlink" Target="https://drive.google.com/file/d/1W7Korom927gbc6HmwCbPUpS8vYgldZiY/view?usp=drive_link" TargetMode="External"/><Relationship Id="rId16" Type="http://schemas.openxmlformats.org/officeDocument/2006/relationships/hyperlink" Target="https://drive.google.com/file/d/1fhbLgvg0hsz4TNLeXeSF0mFWcvDZddGd/view?usp=drive_link" TargetMode="External"/><Relationship Id="rId19" Type="http://schemas.openxmlformats.org/officeDocument/2006/relationships/hyperlink" Target="https://drive.google.com/file/d/1VLU2LS8Orkv7SZDBn9xJgcUVGmFB9OAH/view?usp=drive_link" TargetMode="External"/><Relationship Id="rId114" Type="http://schemas.openxmlformats.org/officeDocument/2006/relationships/hyperlink" Target="https://drive.google.com/file/d/1GRe-KNTsbZ5ht4cPBUqlWhABMo2cvnyg/view?usp=drive_link" TargetMode="External"/><Relationship Id="rId18" Type="http://schemas.openxmlformats.org/officeDocument/2006/relationships/hyperlink" Target="https://drive.google.com/file/d/1nBi-M5nL6M1oSQo5aEMRJAYjwYr5kWBU/view?usp=drive_link" TargetMode="External"/><Relationship Id="rId113" Type="http://schemas.openxmlformats.org/officeDocument/2006/relationships/hyperlink" Target="https://drive.google.com/file/d/1m5Ui6AoOXVjMYBcnEvnhrcEHrqFOxje0/view?usp=drive_link" TargetMode="External"/><Relationship Id="rId112" Type="http://schemas.openxmlformats.org/officeDocument/2006/relationships/hyperlink" Target="https://drive.google.com/file/d/1rfoRQhmY2C9JUvD_-wa9jxQ0ThukySap/view?usp=drive_link" TargetMode="External"/><Relationship Id="rId111" Type="http://schemas.openxmlformats.org/officeDocument/2006/relationships/hyperlink" Target="https://drive.google.com/file/d/12p258240CFm9GXhHQRbcrS3q8sHfri9v/view?usp=drive_link" TargetMode="External"/><Relationship Id="rId84" Type="http://schemas.openxmlformats.org/officeDocument/2006/relationships/hyperlink" Target="https://drive.google.com/file/d/1N9t-GV2AdjjqC_2IVcQVYeALd2U4LVDY/view?usp=drive_link" TargetMode="External"/><Relationship Id="rId83" Type="http://schemas.openxmlformats.org/officeDocument/2006/relationships/hyperlink" Target="https://drive.google.com/file/d/1dpXSCfvLJfHqBXhPv6vJ3QBQliX3-t7q/view?usp=drive_link" TargetMode="External"/><Relationship Id="rId86" Type="http://schemas.openxmlformats.org/officeDocument/2006/relationships/hyperlink" Target="https://drive.google.com/file/d/1IMVAaX0LTOiJ0Zo1Wmf8A1Xa2AM0Dc69/view?usp=drive_link" TargetMode="External"/><Relationship Id="rId85" Type="http://schemas.openxmlformats.org/officeDocument/2006/relationships/hyperlink" Target="https://drive.google.com/file/d/1ImFHoZv_Iu5PfAqIUClWPlMsAqGdDAd9/view?usp=drive_link" TargetMode="External"/><Relationship Id="rId88" Type="http://schemas.openxmlformats.org/officeDocument/2006/relationships/hyperlink" Target="https://drive.google.com/file/d/1s0dB9fYxdXFUXAic7b27RJMy2GiqZxbi/view?usp=drive_link" TargetMode="External"/><Relationship Id="rId150" Type="http://schemas.openxmlformats.org/officeDocument/2006/relationships/hyperlink" Target="https://drive.google.com/file/d/1k-01W34x5b6405_KqUI1cdXTtNop8CJ-/view?usp=drive_link" TargetMode="External"/><Relationship Id="rId87" Type="http://schemas.openxmlformats.org/officeDocument/2006/relationships/hyperlink" Target="https://drive.google.com/file/d/1xKjcC3r5RyH-cH66JWb2TjfDBCAXPjps/view?usp=drive_link" TargetMode="External"/><Relationship Id="rId89" Type="http://schemas.openxmlformats.org/officeDocument/2006/relationships/hyperlink" Target="https://drive.google.com/file/d/13UquZY7-PvjzHDgsgE8YZgIgGEjT8mGr/view?usp=drive_link" TargetMode="External"/><Relationship Id="rId80" Type="http://schemas.openxmlformats.org/officeDocument/2006/relationships/hyperlink" Target="https://drive.google.com/file/d/1GRe-KNTsbZ5ht4cPBUqlWhABMo2cvnyg/view?usp=drive_link" TargetMode="External"/><Relationship Id="rId82" Type="http://schemas.openxmlformats.org/officeDocument/2006/relationships/hyperlink" Target="https://drive.google.com/file/d/1fHxTi8Bq-nA6q8dSoTcyRv8p4dEkEZ3Y/view?usp=drive_link" TargetMode="External"/><Relationship Id="rId81" Type="http://schemas.openxmlformats.org/officeDocument/2006/relationships/hyperlink" Target="https://drive.google.com/file/d/1h56VBP1qsjQnxXNGS864y5frBUsy-pSr/view?usp=drive_link" TargetMode="External"/><Relationship Id="rId1" Type="http://schemas.openxmlformats.org/officeDocument/2006/relationships/hyperlink" Target="https://drive.google.com/file/d/1fhbLgvg0hsz4TNLeXeSF0mFWcvDZddGd/view?usp=drive_link" TargetMode="External"/><Relationship Id="rId2" Type="http://schemas.openxmlformats.org/officeDocument/2006/relationships/hyperlink" Target="https://drive.google.com/file/d/1W7Korom927gbc6HmwCbPUpS8vYgldZiY/view?usp=drive_link" TargetMode="External"/><Relationship Id="rId3" Type="http://schemas.openxmlformats.org/officeDocument/2006/relationships/hyperlink" Target="https://drive.google.com/file/d/1nBi-M5nL6M1oSQo5aEMRJAYjwYr5kWBU/view?usp=drive_link" TargetMode="External"/><Relationship Id="rId149" Type="http://schemas.openxmlformats.org/officeDocument/2006/relationships/hyperlink" Target="https://drive.google.com/file/d/1GAnHl-oLUWLT24V_FZxUREu85xO9StH0/view?usp=drive_link" TargetMode="External"/><Relationship Id="rId4" Type="http://schemas.openxmlformats.org/officeDocument/2006/relationships/hyperlink" Target="https://drive.google.com/file/d/1VLU2LS8Orkv7SZDBn9xJgcUVGmFB9OAH/view?usp=drive_link" TargetMode="External"/><Relationship Id="rId148" Type="http://schemas.openxmlformats.org/officeDocument/2006/relationships/hyperlink" Target="https://drive.google.com/file/d/1TCfJXk9B28RWx1nfpLxixUu2EwnDQN67/view?usp=drive_link" TargetMode="External"/><Relationship Id="rId9" Type="http://schemas.openxmlformats.org/officeDocument/2006/relationships/hyperlink" Target="https://drive.google.com/file/d/1N40HKePFubgCfauGPpbQdTBSNu7MDVap/view?usp=drive_link" TargetMode="External"/><Relationship Id="rId143" Type="http://schemas.openxmlformats.org/officeDocument/2006/relationships/hyperlink" Target="https://drive.google.com/file/d/12Mz9KeJxCPlM2qz67Hmw9IBM49T5QKa3/view?usp=drive_link" TargetMode="External"/><Relationship Id="rId142" Type="http://schemas.openxmlformats.org/officeDocument/2006/relationships/hyperlink" Target="https://drive.google.com/file/d/1CXy6CKkgq4h74SCrylhKLr40YiKkdY-Q/view?usp=drive_link" TargetMode="External"/><Relationship Id="rId141" Type="http://schemas.openxmlformats.org/officeDocument/2006/relationships/hyperlink" Target="https://drive.google.com/file/d/13UquZY7-PvjzHDgsgE8YZgIgGEjT8mGr/view?usp=drive_link" TargetMode="External"/><Relationship Id="rId140" Type="http://schemas.openxmlformats.org/officeDocument/2006/relationships/hyperlink" Target="https://drive.google.com/file/d/1Dfg_AAyDdWO38zNgo0B8__H1r14Nwtq_/view?usp=drive_link" TargetMode="External"/><Relationship Id="rId5" Type="http://schemas.openxmlformats.org/officeDocument/2006/relationships/hyperlink" Target="https://drive.google.com/file/d/1XuZEEiIwpk_lMssqM0GRrA2NgWiRxgkw/view?usp=drive_link" TargetMode="External"/><Relationship Id="rId147" Type="http://schemas.openxmlformats.org/officeDocument/2006/relationships/hyperlink" Target="https://drive.google.com/file/d/1xBhteJsA8SE57egv_hBsT42Ofa03ScNd/view?usp=drive_link" TargetMode="External"/><Relationship Id="rId6" Type="http://schemas.openxmlformats.org/officeDocument/2006/relationships/hyperlink" Target="https://drive.google.com/file/d/13UquZY7-PvjzHDgsgE8YZgIgGEjT8mGr/view?usp=drive_link" TargetMode="External"/><Relationship Id="rId146" Type="http://schemas.openxmlformats.org/officeDocument/2006/relationships/hyperlink" Target="https://drive.google.com/file/d/1oc2uT2Wz6Ou-v61FqO5ekhDvYhUOBody/view?usp=drive_link" TargetMode="External"/><Relationship Id="rId7" Type="http://schemas.openxmlformats.org/officeDocument/2006/relationships/hyperlink" Target="https://drive.google.com/file/d/12Mz9KeJxCPlM2qz67Hmw9IBM49T5QKa3/view?usp=drive_link" TargetMode="External"/><Relationship Id="rId145" Type="http://schemas.openxmlformats.org/officeDocument/2006/relationships/hyperlink" Target="https://drive.google.com/file/d/175k2iWpcxPtwrwANs4lwjSd0ku6lhqmW/view?usp=drive_link" TargetMode="External"/><Relationship Id="rId8" Type="http://schemas.openxmlformats.org/officeDocument/2006/relationships/hyperlink" Target="https://drive.google.com/file/d/10EYeHwHh92QJU5CjvJvcN-1CluGq6eok/view?usp=drive_link" TargetMode="External"/><Relationship Id="rId144" Type="http://schemas.openxmlformats.org/officeDocument/2006/relationships/hyperlink" Target="https://drive.google.com/file/d/1ZKNFi19ZoD83MlC0Y9QvLCM4pLP6fjDi/view?usp=drive_link" TargetMode="External"/><Relationship Id="rId73" Type="http://schemas.openxmlformats.org/officeDocument/2006/relationships/hyperlink" Target="https://drive.google.com/file/d/1D0YlVvmnQu1an5WIpcZS4pz1x9UPUc3d/view?usp=drive_link" TargetMode="External"/><Relationship Id="rId72" Type="http://schemas.openxmlformats.org/officeDocument/2006/relationships/hyperlink" Target="https://drive.google.com/file/d/12Mz9KeJxCPlM2qz67Hmw9IBM49T5QKa3/view?usp=drive_link" TargetMode="External"/><Relationship Id="rId75" Type="http://schemas.openxmlformats.org/officeDocument/2006/relationships/hyperlink" Target="https://drive.google.com/file/d/1ZKNFi19ZoD83MlC0Y9QvLCM4pLP6fjDi/view?usp=drive_link" TargetMode="External"/><Relationship Id="rId74" Type="http://schemas.openxmlformats.org/officeDocument/2006/relationships/hyperlink" Target="https://drive.google.com/file/d/1tSTzXjNaPUNRChNu_KXo5zS2_ya0dndH/view?usp=drive_link" TargetMode="External"/><Relationship Id="rId77" Type="http://schemas.openxmlformats.org/officeDocument/2006/relationships/hyperlink" Target="https://drive.google.com/file/d/175k2iWpcxPtwrwANs4lwjSd0ku6lhqmW/view?usp=drive_link" TargetMode="External"/><Relationship Id="rId76" Type="http://schemas.openxmlformats.org/officeDocument/2006/relationships/hyperlink" Target="https://drive.google.com/file/d/1lK1Pxi01PCMvEdYxcZLlF-1QumOYauaE/view?usp=drive_link" TargetMode="External"/><Relationship Id="rId79" Type="http://schemas.openxmlformats.org/officeDocument/2006/relationships/hyperlink" Target="https://drive.google.com/file/d/1TCfJXk9B28RWx1nfpLxixUu2EwnDQN67/view?usp=drive_link" TargetMode="External"/><Relationship Id="rId78" Type="http://schemas.openxmlformats.org/officeDocument/2006/relationships/hyperlink" Target="https://drive.google.com/file/d/1XRTqszkjtPRwqm_86WxFzN7y-5ezVh73/view?usp=drive_link" TargetMode="External"/><Relationship Id="rId71" Type="http://schemas.openxmlformats.org/officeDocument/2006/relationships/hyperlink" Target="https://drive.google.com/file/d/19g54XFqTL892SxJURUGnckOtI22EWXYv/view?usp=drive_link" TargetMode="External"/><Relationship Id="rId70" Type="http://schemas.openxmlformats.org/officeDocument/2006/relationships/hyperlink" Target="https://drive.google.com/file/d/13UquZY7-PvjzHDgsgE8YZgIgGEjT8mGr/view?usp=drive_link" TargetMode="External"/><Relationship Id="rId139" Type="http://schemas.openxmlformats.org/officeDocument/2006/relationships/hyperlink" Target="https://drive.google.com/file/d/1XuZEEiIwpk_lMssqM0GRrA2NgWiRxgkw/view?usp=drive_link" TargetMode="External"/><Relationship Id="rId138" Type="http://schemas.openxmlformats.org/officeDocument/2006/relationships/hyperlink" Target="https://drive.google.com/file/d/1qqAb3u9h1r-QT8-il-EwTnKEKtlcwv2q/view?usp=drive_link" TargetMode="External"/><Relationship Id="rId137" Type="http://schemas.openxmlformats.org/officeDocument/2006/relationships/hyperlink" Target="https://drive.google.com/file/d/1ImFHoZv_Iu5PfAqIUClWPlMsAqGdDAd9/view?usp=drive_link" TargetMode="External"/><Relationship Id="rId132" Type="http://schemas.openxmlformats.org/officeDocument/2006/relationships/hyperlink" Target="https://drive.google.com/file/d/1ZpH6yECACd6-FPK-Wl1Gr5b73R8fZ9ng/view?usp=drive_link" TargetMode="External"/><Relationship Id="rId131" Type="http://schemas.openxmlformats.org/officeDocument/2006/relationships/hyperlink" Target="https://drive.google.com/file/d/1GAnHl-oLUWLT24V_FZxUREu85xO9StH0/view?usp=drive_link" TargetMode="External"/><Relationship Id="rId130" Type="http://schemas.openxmlformats.org/officeDocument/2006/relationships/hyperlink" Target="https://drive.google.com/file/d/1GRe-KNTsbZ5ht4cPBUqlWhABMo2cvnyg/view?usp=drive_link" TargetMode="External"/><Relationship Id="rId136" Type="http://schemas.openxmlformats.org/officeDocument/2006/relationships/hyperlink" Target="https://drive.google.com/file/d/1MYQymWLreUpEhTiwThsgXOqHA_JQxhBI/view?usp=drive_link" TargetMode="External"/><Relationship Id="rId135" Type="http://schemas.openxmlformats.org/officeDocument/2006/relationships/hyperlink" Target="https://drive.google.com/file/d/1nBi-M5nL6M1oSQo5aEMRJAYjwYr5kWBU/view?usp=drive_link" TargetMode="External"/><Relationship Id="rId134" Type="http://schemas.openxmlformats.org/officeDocument/2006/relationships/hyperlink" Target="https://drive.google.com/file/d/1k-01W34x5b6405_KqUI1cdXTtNop8CJ-/view?usp=drive_link" TargetMode="External"/><Relationship Id="rId133" Type="http://schemas.openxmlformats.org/officeDocument/2006/relationships/hyperlink" Target="https://drive.google.com/file/d/1fHxTi8Bq-nA6q8dSoTcyRv8p4dEkEZ3Y/view?usp=drive_link" TargetMode="External"/><Relationship Id="rId62" Type="http://schemas.openxmlformats.org/officeDocument/2006/relationships/hyperlink" Target="https://drive.google.com/file/d/1h56VBP1qsjQnxXNGS864y5frBUsy-pSr/view?usp=drive_link" TargetMode="External"/><Relationship Id="rId61" Type="http://schemas.openxmlformats.org/officeDocument/2006/relationships/hyperlink" Target="https://drive.google.com/file/d/1GRe-KNTsbZ5ht4cPBUqlWhABMo2cvnyg/view?usp=drive_link" TargetMode="External"/><Relationship Id="rId64" Type="http://schemas.openxmlformats.org/officeDocument/2006/relationships/hyperlink" Target="https://drive.google.com/file/d/1dpXSCfvLJfHqBXhPv6vJ3QBQliX3-t7q/view?usp=drive_link" TargetMode="External"/><Relationship Id="rId63" Type="http://schemas.openxmlformats.org/officeDocument/2006/relationships/hyperlink" Target="https://drive.google.com/file/d/1fHxTi8Bq-nA6q8dSoTcyRv8p4dEkEZ3Y/view?usp=drive_link" TargetMode="External"/><Relationship Id="rId66" Type="http://schemas.openxmlformats.org/officeDocument/2006/relationships/hyperlink" Target="https://drive.google.com/file/d/1ImFHoZv_Iu5PfAqIUClWPlMsAqGdDAd9/view?usp=drive_link" TargetMode="External"/><Relationship Id="rId172" Type="http://schemas.openxmlformats.org/officeDocument/2006/relationships/hyperlink" Target="https://drive.google.com/file/d/1nBi-M5nL6M1oSQo5aEMRJAYjwYr5kWBU/view?usp=drive_link" TargetMode="External"/><Relationship Id="rId65" Type="http://schemas.openxmlformats.org/officeDocument/2006/relationships/hyperlink" Target="https://drive.google.com/file/d/1N9t-GV2AdjjqC_2IVcQVYeALd2U4LVDY/view?usp=drive_link" TargetMode="External"/><Relationship Id="rId171" Type="http://schemas.openxmlformats.org/officeDocument/2006/relationships/hyperlink" Target="https://drive.google.com/file/d/1k-01W34x5b6405_KqUI1cdXTtNop8CJ-/view?usp=drive_link" TargetMode="External"/><Relationship Id="rId68" Type="http://schemas.openxmlformats.org/officeDocument/2006/relationships/hyperlink" Target="https://drive.google.com/file/d/1xKjcC3r5RyH-cH66JWb2TjfDBCAXPjps/view?usp=drive_link" TargetMode="External"/><Relationship Id="rId170" Type="http://schemas.openxmlformats.org/officeDocument/2006/relationships/hyperlink" Target="https://drive.google.com/file/d/1fHxTi8Bq-nA6q8dSoTcyRv8p4dEkEZ3Y/view?usp=drive_link" TargetMode="External"/><Relationship Id="rId67" Type="http://schemas.openxmlformats.org/officeDocument/2006/relationships/hyperlink" Target="https://drive.google.com/file/d/1IMVAaX0LTOiJ0Zo1Wmf8A1Xa2AM0Dc69/view?usp=drive_link" TargetMode="External"/><Relationship Id="rId60" Type="http://schemas.openxmlformats.org/officeDocument/2006/relationships/hyperlink" Target="https://drive.google.com/file/d/1TCfJXk9B28RWx1nfpLxixUu2EwnDQN67/view?usp=drive_link" TargetMode="External"/><Relationship Id="rId165" Type="http://schemas.openxmlformats.org/officeDocument/2006/relationships/hyperlink" Target="https://drive.google.com/file/d/1oc2uT2Wz6Ou-v61FqO5ekhDvYhUOBody/view?usp=drive_link" TargetMode="External"/><Relationship Id="rId69" Type="http://schemas.openxmlformats.org/officeDocument/2006/relationships/hyperlink" Target="https://drive.google.com/file/d/1s0dB9fYxdXFUXAic7b27RJMy2GiqZxbi/view?usp=drive_link" TargetMode="External"/><Relationship Id="rId164" Type="http://schemas.openxmlformats.org/officeDocument/2006/relationships/hyperlink" Target="https://drive.google.com/file/d/175k2iWpcxPtwrwANs4lwjSd0ku6lhqmW/view?usp=drive_link" TargetMode="External"/><Relationship Id="rId163" Type="http://schemas.openxmlformats.org/officeDocument/2006/relationships/hyperlink" Target="https://drive.google.com/file/d/1ZKNFi19ZoD83MlC0Y9QvLCM4pLP6fjDi/view?usp=drive_link" TargetMode="External"/><Relationship Id="rId162" Type="http://schemas.openxmlformats.org/officeDocument/2006/relationships/hyperlink" Target="https://drive.google.com/file/d/1KWlYUGR5zjPjDXdpwEYuBV86Ttjyu26f/view?usp=drive_link" TargetMode="External"/><Relationship Id="rId169" Type="http://schemas.openxmlformats.org/officeDocument/2006/relationships/hyperlink" Target="https://drive.google.com/file/d/1GAnHl-oLUWLT24V_FZxUREu85xO9StH0/view?usp=drive_link" TargetMode="External"/><Relationship Id="rId168" Type="http://schemas.openxmlformats.org/officeDocument/2006/relationships/hyperlink" Target="https://drive.google.com/file/d/1TCfJXk9B28RWx1nfpLxixUu2EwnDQN67/view?usp=drive_link" TargetMode="External"/><Relationship Id="rId167" Type="http://schemas.openxmlformats.org/officeDocument/2006/relationships/hyperlink" Target="https://drive.google.com/file/d/1KCRrci5pmuuC5FYGvjVfhNecRLmNNIY3/view?usp=drive_link" TargetMode="External"/><Relationship Id="rId166" Type="http://schemas.openxmlformats.org/officeDocument/2006/relationships/hyperlink" Target="https://drive.google.com/file/d/1xBhteJsA8SE57egv_hBsT42Ofa03ScNd/view?usp=drive_link" TargetMode="External"/><Relationship Id="rId51" Type="http://schemas.openxmlformats.org/officeDocument/2006/relationships/hyperlink" Target="https://drive.google.com/file/d/13UquZY7-PvjzHDgsgE8YZgIgGEjT8mGr/view?usp=drive_link" TargetMode="External"/><Relationship Id="rId50" Type="http://schemas.openxmlformats.org/officeDocument/2006/relationships/hyperlink" Target="https://drive.google.com/file/d/1s0dB9fYxdXFUXAic7b27RJMy2GiqZxbi/view?usp=drive_link" TargetMode="External"/><Relationship Id="rId53" Type="http://schemas.openxmlformats.org/officeDocument/2006/relationships/hyperlink" Target="https://drive.google.com/file/d/12Mz9KeJxCPlM2qz67Hmw9IBM49T5QKa3/view?usp=drive_link" TargetMode="External"/><Relationship Id="rId52" Type="http://schemas.openxmlformats.org/officeDocument/2006/relationships/hyperlink" Target="https://drive.google.com/file/d/19g54XFqTL892SxJURUGnckOtI22EWXYv/view?usp=drive_link" TargetMode="External"/><Relationship Id="rId55" Type="http://schemas.openxmlformats.org/officeDocument/2006/relationships/hyperlink" Target="https://drive.google.com/file/d/1tSTzXjNaPUNRChNu_KXo5zS2_ya0dndH/view?usp=drive_link" TargetMode="External"/><Relationship Id="rId161" Type="http://schemas.openxmlformats.org/officeDocument/2006/relationships/hyperlink" Target="https://drive.google.com/file/d/12Mz9KeJxCPlM2qz67Hmw9IBM49T5QKa3/view?usp=drive_link" TargetMode="External"/><Relationship Id="rId54" Type="http://schemas.openxmlformats.org/officeDocument/2006/relationships/hyperlink" Target="https://drive.google.com/file/d/1D0YlVvmnQu1an5WIpcZS4pz1x9UPUc3d/view?usp=drive_link" TargetMode="External"/><Relationship Id="rId160" Type="http://schemas.openxmlformats.org/officeDocument/2006/relationships/hyperlink" Target="https://drive.google.com/file/d/1CXy6CKkgq4h74SCrylhKLr40YiKkdY-Q/view?usp=drive_link" TargetMode="External"/><Relationship Id="rId57" Type="http://schemas.openxmlformats.org/officeDocument/2006/relationships/hyperlink" Target="https://drive.google.com/file/d/1lK1Pxi01PCMvEdYxcZLlF-1QumOYauaE/view?usp=drive_link" TargetMode="External"/><Relationship Id="rId56" Type="http://schemas.openxmlformats.org/officeDocument/2006/relationships/hyperlink" Target="https://drive.google.com/file/d/1ZKNFi19ZoD83MlC0Y9QvLCM4pLP6fjDi/view?usp=drive_link" TargetMode="External"/><Relationship Id="rId159" Type="http://schemas.openxmlformats.org/officeDocument/2006/relationships/hyperlink" Target="https://drive.google.com/file/d/13UquZY7-PvjzHDgsgE8YZgIgGEjT8mGr/view?usp=drive_link" TargetMode="External"/><Relationship Id="rId59" Type="http://schemas.openxmlformats.org/officeDocument/2006/relationships/hyperlink" Target="https://drive.google.com/file/d/1XRTqszkjtPRwqm_86WxFzN7y-5ezVh73/view?usp=drive_link" TargetMode="External"/><Relationship Id="rId154" Type="http://schemas.openxmlformats.org/officeDocument/2006/relationships/hyperlink" Target="https://drive.google.com/file/d/1VLU2LS8Orkv7SZDBn9xJgcUVGmFB9OAH/view?usp=drive_link" TargetMode="External"/><Relationship Id="rId58" Type="http://schemas.openxmlformats.org/officeDocument/2006/relationships/hyperlink" Target="https://drive.google.com/file/d/175k2iWpcxPtwrwANs4lwjSd0ku6lhqmW/view?usp=drive_link" TargetMode="External"/><Relationship Id="rId153" Type="http://schemas.openxmlformats.org/officeDocument/2006/relationships/hyperlink" Target="https://drive.google.com/file/d/1ImFHoZv_Iu5PfAqIUClWPlMsAqGdDAd9/view?usp=drive_link" TargetMode="External"/><Relationship Id="rId152" Type="http://schemas.openxmlformats.org/officeDocument/2006/relationships/hyperlink" Target="https://drive.google.com/file/d/1MYQymWLreUpEhTiwThsgXOqHA_JQxhBI/view?usp=drive_link" TargetMode="External"/><Relationship Id="rId151" Type="http://schemas.openxmlformats.org/officeDocument/2006/relationships/hyperlink" Target="https://drive.google.com/file/d/1nBi-M5nL6M1oSQo5aEMRJAYjwYr5kWBU/view?usp=drive_link" TargetMode="External"/><Relationship Id="rId158" Type="http://schemas.openxmlformats.org/officeDocument/2006/relationships/hyperlink" Target="https://drive.google.com/file/d/1Dfg_AAyDdWO38zNgo0B8__H1r14Nwtq_/view?usp=drive_link" TargetMode="External"/><Relationship Id="rId157" Type="http://schemas.openxmlformats.org/officeDocument/2006/relationships/hyperlink" Target="https://drive.google.com/file/d/1FKFXnbn0PHm13A_DT5JITbsOwoLgM_6p/view?usp=drive_link" TargetMode="External"/><Relationship Id="rId156" Type="http://schemas.openxmlformats.org/officeDocument/2006/relationships/hyperlink" Target="https://drive.google.com/file/d/1XuZEEiIwpk_lMssqM0GRrA2NgWiRxgkw/view?usp=drive_link" TargetMode="External"/><Relationship Id="rId155" Type="http://schemas.openxmlformats.org/officeDocument/2006/relationships/hyperlink" Target="https://drive.google.com/file/d/1qqAb3u9h1r-QT8-il-EwTnKEKtlcwv2q/view?usp=drive_link"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172-LQPtaPkNJ4aqc0u8ysVnTbackqZj/view?usp=sharing" TargetMode="External"/><Relationship Id="rId42" Type="http://schemas.openxmlformats.org/officeDocument/2006/relationships/hyperlink" Target="https://drive.google.com/file/d/1L8MnDFa43xp-qFHMqiEA04KDYQMGhHt2/view?usp=drive_link" TargetMode="External"/><Relationship Id="rId41" Type="http://schemas.openxmlformats.org/officeDocument/2006/relationships/hyperlink" Target="https://drive.google.com/file/d/1zhK3SDD9PhOEdOrXGXw7LgkLONLofnz2/view?usp=sharing" TargetMode="External"/><Relationship Id="rId44" Type="http://schemas.openxmlformats.org/officeDocument/2006/relationships/hyperlink" Target="https://drive.google.com/file/d/14vxIm8DSPiEFG7ZqO4mH-Fl_FGlBsBFr/view?usp=drive_link" TargetMode="External"/><Relationship Id="rId43" Type="http://schemas.openxmlformats.org/officeDocument/2006/relationships/hyperlink" Target="https://drive.google.com/file/d/1NIGse6pxi0TbpgGHYjzXJuwzeJdxPR3Z/view?usp=drive_link" TargetMode="External"/><Relationship Id="rId46" Type="http://schemas.openxmlformats.org/officeDocument/2006/relationships/hyperlink" Target="https://drive.google.com/file/d/1l5hgc_8NTg0ukzxmmm9AqRFcv9ED5ryk/view?usp=drive_link" TargetMode="External"/><Relationship Id="rId45" Type="http://schemas.openxmlformats.org/officeDocument/2006/relationships/hyperlink" Target="https://drive.google.com/file/d/1EgMVdnWPOTQBYfINCN4j2BPt3YwiB1tI/view?usp=drive_link" TargetMode="External"/><Relationship Id="rId48" Type="http://schemas.openxmlformats.org/officeDocument/2006/relationships/drawing" Target="../drawings/drawing2.xml"/><Relationship Id="rId47" Type="http://schemas.openxmlformats.org/officeDocument/2006/relationships/hyperlink" Target="https://drive.google.com/file/d/19kf0d39DBlw4kNNJPk4Ne7Zs4xyTgCBa/view?usp=drive_link" TargetMode="External"/><Relationship Id="rId31" Type="http://schemas.openxmlformats.org/officeDocument/2006/relationships/hyperlink" Target="https://drive.google.com/file/d/1ZVwVkYCnmn6lK0fZHIer_vUQLJ1wFI7j/view?usp=drive_link" TargetMode="External"/><Relationship Id="rId30" Type="http://schemas.openxmlformats.org/officeDocument/2006/relationships/hyperlink" Target="https://drive.google.com/file/d/111P5HzxAUBI1ekE-0eaPIT4ylQNqReE9/view?usp=drive_link" TargetMode="External"/><Relationship Id="rId33" Type="http://schemas.openxmlformats.org/officeDocument/2006/relationships/hyperlink" Target="https://drive.google.com/file/d/1VabrRcUxdkJdgDFe4StKJ4Zycn7yXHoO/view?usp=drive_link" TargetMode="External"/><Relationship Id="rId32" Type="http://schemas.openxmlformats.org/officeDocument/2006/relationships/hyperlink" Target="https://drive.google.com/file/d/19sQIWfRvNtgZ_NP_99gMpNN-l1_578-N/view?usp=drive_link" TargetMode="External"/><Relationship Id="rId35" Type="http://schemas.openxmlformats.org/officeDocument/2006/relationships/hyperlink" Target="https://drive.google.com/file/d/1LP7zqIqgLDLPX5_9D8_AfazAoF65rtSu/view?usp=drive_link" TargetMode="External"/><Relationship Id="rId34" Type="http://schemas.openxmlformats.org/officeDocument/2006/relationships/hyperlink" Target="https://drive.google.com/file/d/1a2NZkemvSTw95gNWK4jrsAGenTaWZG-x/view?usp=drive_link" TargetMode="External"/><Relationship Id="rId37" Type="http://schemas.openxmlformats.org/officeDocument/2006/relationships/hyperlink" Target="https://drive.google.com/file/d/1vPCEPoS_UCrkq4V12Nk7OCI60j-F71xG/view?usp=sharing" TargetMode="External"/><Relationship Id="rId36" Type="http://schemas.openxmlformats.org/officeDocument/2006/relationships/hyperlink" Target="https://drive.google.com/file/d/1Lr9SslLSCLNQBkbqwTZ-NrJssOB9eTC4/view?usp=sharing" TargetMode="External"/><Relationship Id="rId39" Type="http://schemas.openxmlformats.org/officeDocument/2006/relationships/hyperlink" Target="https://drive.google.com/file/d/1-iLBRCfMl-YVPA274sq1ORmT4Z5fR0Qc/view?usp=drive_link" TargetMode="External"/><Relationship Id="rId38" Type="http://schemas.openxmlformats.org/officeDocument/2006/relationships/hyperlink" Target="https://drive.google.com/file/d/11WlUUYWS-T6jkZ2nyfsmnG-Mfc3u9iwx/view?usp=drive_link" TargetMode="External"/><Relationship Id="rId20" Type="http://schemas.openxmlformats.org/officeDocument/2006/relationships/hyperlink" Target="https://drive.google.com/file/d/1GErZyokaQ4wJJ6MZJgsiZwD-VfYUuf7E/view?usp=drive_link" TargetMode="External"/><Relationship Id="rId22" Type="http://schemas.openxmlformats.org/officeDocument/2006/relationships/hyperlink" Target="https://drive.google.com/file/d/1h-wuEQG_l1UDdV5ArwmE0cTjIhJ8CV13/view?usp=drive_link" TargetMode="External"/><Relationship Id="rId21" Type="http://schemas.openxmlformats.org/officeDocument/2006/relationships/hyperlink" Target="https://drive.google.com/file/d/1VJZ5YskfygsIw0uYErbgW4tfRJgE5Ntq/view?usp=drive_link" TargetMode="External"/><Relationship Id="rId24" Type="http://schemas.openxmlformats.org/officeDocument/2006/relationships/hyperlink" Target="https://drive.google.com/file/d/1BfEA7MxnE0miRNKfOccXhnDVpMzWnqnO/view?usp=drive_link" TargetMode="External"/><Relationship Id="rId23" Type="http://schemas.openxmlformats.org/officeDocument/2006/relationships/hyperlink" Target="https://drive.google.com/file/d/1ikqnlgEXBS86qNeN2Dq_R6INdqS-PztK/view?usp=drive_link" TargetMode="External"/><Relationship Id="rId26" Type="http://schemas.openxmlformats.org/officeDocument/2006/relationships/hyperlink" Target="https://drive.google.com/file/d/1OjvmWTry_pYWmxftzVIF3fJ8a3kgGn2j/view?usp=drive_link" TargetMode="External"/><Relationship Id="rId25" Type="http://schemas.openxmlformats.org/officeDocument/2006/relationships/hyperlink" Target="https://drive.google.com/file/d/14yGdjAAnJSqQiy9ZO77QsRaS8cCOGTHS/view?usp=drive_link" TargetMode="External"/><Relationship Id="rId28" Type="http://schemas.openxmlformats.org/officeDocument/2006/relationships/hyperlink" Target="https://drive.google.com/file/d/1av5_ln8uzFFHTaT0njuBT621BpwsJ993/view?usp=drive_link" TargetMode="External"/><Relationship Id="rId27" Type="http://schemas.openxmlformats.org/officeDocument/2006/relationships/hyperlink" Target="https://drive.google.com/file/d/1GWWh4dg-KudZAH4cnFC2XE_q0VxCrMXu/view?usp=drive_link" TargetMode="External"/><Relationship Id="rId29" Type="http://schemas.openxmlformats.org/officeDocument/2006/relationships/hyperlink" Target="https://drive.google.com/file/d/19t6HZmPZor-VnJKBFueeweZplpRD1RMf/view" TargetMode="External"/><Relationship Id="rId11" Type="http://schemas.openxmlformats.org/officeDocument/2006/relationships/hyperlink" Target="https://drive.google.com/file/d/1_MRH8gz7B0AYj2l9FaH1oAWrab3Gi1I7/view?usp=drive_link" TargetMode="External"/><Relationship Id="rId10" Type="http://schemas.openxmlformats.org/officeDocument/2006/relationships/hyperlink" Target="https://drive.google.com/file/d/1qAw9ePCIDoXeXP97MXjgfpAl0Qv468q_/view?usp=drive_link" TargetMode="External"/><Relationship Id="rId13" Type="http://schemas.openxmlformats.org/officeDocument/2006/relationships/hyperlink" Target="https://drive.google.com/file/d/1eKZ87NdWPLQD4oFdh6OCHYrjsTfj41wh/view?usp=drive_link" TargetMode="External"/><Relationship Id="rId12" Type="http://schemas.openxmlformats.org/officeDocument/2006/relationships/hyperlink" Target="https://drive.google.com/file/d/1QQ-iTF5eSlYPyAs0r2LfnE-rhC38cRrU/view?usp=drive_link" TargetMode="External"/><Relationship Id="rId15" Type="http://schemas.openxmlformats.org/officeDocument/2006/relationships/hyperlink" Target="https://drive.google.com/drive/folders/1QLq5c7ZB8_X5Kf0LDlH9x2amVqHoRPj-" TargetMode="External"/><Relationship Id="rId14" Type="http://schemas.openxmlformats.org/officeDocument/2006/relationships/hyperlink" Target="https://drive.google.com/drive/folders/1QLq5c7ZB8_X5Kf0LDlH9x2amVqHoRPj-" TargetMode="External"/><Relationship Id="rId17" Type="http://schemas.openxmlformats.org/officeDocument/2006/relationships/hyperlink" Target="https://drive.google.com/file/d/1t0P96VXdUkV7XyxPGioU7G8tlXmeKQNg/view?usp=drive_link" TargetMode="External"/><Relationship Id="rId16" Type="http://schemas.openxmlformats.org/officeDocument/2006/relationships/hyperlink" Target="https://drive.google.com/file/d/154bzBdwZXMEl-EzjHTVWFl8pVf1NjJWU/view?usp=drive_link" TargetMode="External"/><Relationship Id="rId19" Type="http://schemas.openxmlformats.org/officeDocument/2006/relationships/hyperlink" Target="https://drive.google.com/file/d/1SfLdyz1QtI0IAsUJP5WcdZ43xszXZuJf/view?usp=drive_link" TargetMode="External"/><Relationship Id="rId18" Type="http://schemas.openxmlformats.org/officeDocument/2006/relationships/hyperlink" Target="https://drive.google.com/file/d/1LBvjI-Uny74Se9STTuHG7m-Rs6D209xu/view?usp=drive_link" TargetMode="External"/><Relationship Id="rId1" Type="http://schemas.openxmlformats.org/officeDocument/2006/relationships/hyperlink" Target="https://drive.google.com/file/d/1brfp_3ww49nn4tc4Gxkt_n8pqQlDtJH5/view?usp=drive_link" TargetMode="External"/><Relationship Id="rId2" Type="http://schemas.openxmlformats.org/officeDocument/2006/relationships/hyperlink" Target="https://drive.google.com/file/d/12HGPBPqNgAOQJ5tMlZ7AN2XvPaiezzYW/view?usp=drive_link" TargetMode="External"/><Relationship Id="rId3" Type="http://schemas.openxmlformats.org/officeDocument/2006/relationships/hyperlink" Target="https://drive.google.com/file/d/1d6aqW_lTwONn_Vzg7zkzyb3oB71FAc-o/view?usp=drive_link" TargetMode="External"/><Relationship Id="rId4" Type="http://schemas.openxmlformats.org/officeDocument/2006/relationships/hyperlink" Target="https://drive.google.com/file/d/1Qj5Cx_NoOyusSk0sZFQDkl-kafsWrCSV/view?usp=drive_link" TargetMode="External"/><Relationship Id="rId9" Type="http://schemas.openxmlformats.org/officeDocument/2006/relationships/hyperlink" Target="https://drive.google.com/file/d/1_wDlIQS38P-wlSs2oG86zhtLrugChScf/view?usp=drive_link" TargetMode="External"/><Relationship Id="rId5" Type="http://schemas.openxmlformats.org/officeDocument/2006/relationships/hyperlink" Target="https://drive.google.com/file/d/1EOEXx-FE2I00HTdtwmKWBV37237WOQoY/view?usp=drive_link" TargetMode="External"/><Relationship Id="rId6" Type="http://schemas.openxmlformats.org/officeDocument/2006/relationships/hyperlink" Target="https://drive.google.com/file/d/1U7f1XvGmZg9ZfLRJ62MCXWRSYBUAcZgc/view?usp=drive_link" TargetMode="External"/><Relationship Id="rId7" Type="http://schemas.openxmlformats.org/officeDocument/2006/relationships/hyperlink" Target="https://drive.google.com/file/d/1zB9aVoEuaWOaRtDOTITvV38QQkZYAAeP/view?usp=drive_link" TargetMode="External"/><Relationship Id="rId8" Type="http://schemas.openxmlformats.org/officeDocument/2006/relationships/hyperlink" Target="https://drive.google.com/file/d/1_O9u0zAjfutIGoATXCvfc86Pt9YUClrx/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drawing" Target="../drawings/drawing4.xml"/><Relationship Id="rId10" Type="http://schemas.openxmlformats.org/officeDocument/2006/relationships/hyperlink" Target="https://drive.google.com/file/d/14vxIm8DSPiEFG7ZqO4mH-Fl_FGlBsBFr/view?usp=drive_link" TargetMode="External"/><Relationship Id="rId1" Type="http://schemas.openxmlformats.org/officeDocument/2006/relationships/hyperlink" Target="https://drive.google.com/file/d/1Qj5Cx_NoOyusSk0sZFQDkl-kafsWrCSV/view?usp=drive_link" TargetMode="External"/><Relationship Id="rId2" Type="http://schemas.openxmlformats.org/officeDocument/2006/relationships/hyperlink" Target="https://drive.google.com/file/d/1U7f1XvGmZg9ZfLRJ62MCXWRSYBUAcZgc/view?usp=drive_link" TargetMode="External"/><Relationship Id="rId3" Type="http://schemas.openxmlformats.org/officeDocument/2006/relationships/hyperlink" Target="https://drive.google.com/file/d/1zB9aVoEuaWOaRtDOTITvV38QQkZYAAeP/view?usp=drive_link" TargetMode="External"/><Relationship Id="rId4" Type="http://schemas.openxmlformats.org/officeDocument/2006/relationships/hyperlink" Target="https://drive.google.com/file/d/1_O9u0zAjfutIGoATXCvfc86Pt9YUClrx/view?usp=drive_link" TargetMode="External"/><Relationship Id="rId9" Type="http://schemas.openxmlformats.org/officeDocument/2006/relationships/hyperlink" Target="https://drive.google.com/file/d/1NIGse6pxi0TbpgGHYjzXJuwzeJdxPR3Z/view?usp=drive_link" TargetMode="External"/><Relationship Id="rId5" Type="http://schemas.openxmlformats.org/officeDocument/2006/relationships/hyperlink" Target="https://drive.google.com/file/d/154bzBdwZXMEl-EzjHTVWFl8pVf1NjJWU/view?usp=drive_link" TargetMode="External"/><Relationship Id="rId6" Type="http://schemas.openxmlformats.org/officeDocument/2006/relationships/hyperlink" Target="https://drive.google.com/file/d/1Lr9SslLSCLNQBkbqwTZ-NrJssOB9eTC4/view?usp=sharing" TargetMode="External"/><Relationship Id="rId7" Type="http://schemas.openxmlformats.org/officeDocument/2006/relationships/hyperlink" Target="https://drive.google.com/file/d/1vPCEPoS_UCrkq4V12Nk7OCI60j-F71xG/view?usp=sharing" TargetMode="External"/><Relationship Id="rId8" Type="http://schemas.openxmlformats.org/officeDocument/2006/relationships/hyperlink" Target="https://drive.google.com/file/d/1L8MnDFa43xp-qFHMqiEA04KDYQMGhHt2/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88"/>
    <col customWidth="1" min="2" max="2" width="8.75"/>
    <col customWidth="1" min="3" max="3" width="7.5"/>
    <col customWidth="1" min="4" max="6" width="12.63"/>
  </cols>
  <sheetData>
    <row r="1" ht="15.75" customHeight="1">
      <c r="A1" s="1" t="s">
        <v>0</v>
      </c>
      <c r="B1" s="2" t="s">
        <v>1</v>
      </c>
      <c r="C1" s="2" t="s">
        <v>2</v>
      </c>
      <c r="D1" s="1" t="s">
        <v>3</v>
      </c>
      <c r="E1" s="1" t="s">
        <v>4</v>
      </c>
      <c r="F1" s="1" t="s">
        <v>5</v>
      </c>
      <c r="G1" s="3" t="s">
        <v>6</v>
      </c>
      <c r="H1" s="4" t="s">
        <v>7</v>
      </c>
      <c r="I1" s="4" t="s">
        <v>8</v>
      </c>
      <c r="J1" s="4" t="s">
        <v>9</v>
      </c>
      <c r="K1" s="5"/>
    </row>
    <row r="2" ht="15.75" customHeight="1">
      <c r="A2" s="6">
        <v>2.0</v>
      </c>
      <c r="B2" s="7">
        <v>6.0</v>
      </c>
      <c r="C2" s="7">
        <v>6.5</v>
      </c>
      <c r="D2" s="8" t="s">
        <v>10</v>
      </c>
      <c r="E2" s="8">
        <v>1.0</v>
      </c>
      <c r="F2" s="9" t="s">
        <v>11</v>
      </c>
      <c r="G2" s="10" t="s">
        <v>12</v>
      </c>
      <c r="H2" s="11" t="s">
        <v>13</v>
      </c>
      <c r="I2" s="12" t="s">
        <v>14</v>
      </c>
      <c r="J2" s="11" t="s">
        <v>15</v>
      </c>
      <c r="K2" s="5"/>
    </row>
    <row r="3" ht="15.75" customHeight="1">
      <c r="A3" s="6">
        <v>5.0</v>
      </c>
      <c r="B3" s="7">
        <v>6.5</v>
      </c>
      <c r="C3" s="7">
        <v>10.0</v>
      </c>
      <c r="D3" s="8" t="s">
        <v>10</v>
      </c>
      <c r="E3" s="8">
        <v>1.0</v>
      </c>
      <c r="F3" s="9" t="s">
        <v>16</v>
      </c>
      <c r="G3" s="10" t="s">
        <v>17</v>
      </c>
      <c r="H3" s="10" t="s">
        <v>18</v>
      </c>
      <c r="I3" s="12" t="s">
        <v>19</v>
      </c>
      <c r="J3" s="11" t="s">
        <v>15</v>
      </c>
      <c r="K3" s="5"/>
    </row>
    <row r="4" ht="15.75" customHeight="1">
      <c r="A4" s="6">
        <v>6.0</v>
      </c>
      <c r="B4" s="7">
        <v>9.5</v>
      </c>
      <c r="C4" s="7">
        <v>6.0</v>
      </c>
      <c r="D4" s="8" t="s">
        <v>10</v>
      </c>
      <c r="E4" s="8">
        <v>1.0</v>
      </c>
      <c r="F4" s="13"/>
      <c r="G4" s="10" t="s">
        <v>20</v>
      </c>
      <c r="H4" s="10" t="s">
        <v>21</v>
      </c>
      <c r="I4" s="14" t="s">
        <v>22</v>
      </c>
      <c r="J4" s="11" t="s">
        <v>15</v>
      </c>
      <c r="K4" s="5"/>
    </row>
    <row r="5" ht="15.75" customHeight="1">
      <c r="A5" s="6">
        <v>13.0</v>
      </c>
      <c r="B5" s="7">
        <v>4.0</v>
      </c>
      <c r="C5" s="7">
        <v>10.0</v>
      </c>
      <c r="D5" s="8" t="s">
        <v>10</v>
      </c>
      <c r="E5" s="8">
        <v>1.0</v>
      </c>
      <c r="F5" s="13"/>
      <c r="G5" s="10" t="s">
        <v>23</v>
      </c>
      <c r="H5" s="10" t="s">
        <v>24</v>
      </c>
      <c r="I5" s="12" t="s">
        <v>25</v>
      </c>
      <c r="J5" s="11" t="s">
        <v>15</v>
      </c>
      <c r="K5" s="5"/>
    </row>
    <row r="6" ht="15.75" customHeight="1">
      <c r="A6" s="6">
        <v>25.0</v>
      </c>
      <c r="B6" s="7">
        <v>1.0</v>
      </c>
      <c r="C6" s="7">
        <v>10.0</v>
      </c>
      <c r="D6" s="8" t="s">
        <v>10</v>
      </c>
      <c r="E6" s="8">
        <v>1.0</v>
      </c>
      <c r="F6" s="13"/>
      <c r="G6" s="10" t="s">
        <v>26</v>
      </c>
      <c r="H6" s="10" t="s">
        <v>27</v>
      </c>
      <c r="I6" s="12" t="s">
        <v>28</v>
      </c>
      <c r="J6" s="11" t="s">
        <v>15</v>
      </c>
      <c r="K6" s="5"/>
    </row>
    <row r="7" ht="15.75" customHeight="1">
      <c r="A7" s="6">
        <v>36.0</v>
      </c>
      <c r="B7" s="7">
        <v>5.5</v>
      </c>
      <c r="C7" s="7">
        <v>8.0</v>
      </c>
      <c r="D7" s="8" t="s">
        <v>10</v>
      </c>
      <c r="E7" s="8">
        <v>1.0</v>
      </c>
      <c r="F7" s="13"/>
      <c r="G7" s="10" t="s">
        <v>29</v>
      </c>
      <c r="H7" s="10" t="s">
        <v>30</v>
      </c>
      <c r="I7" s="12" t="s">
        <v>31</v>
      </c>
      <c r="J7" s="11" t="s">
        <v>15</v>
      </c>
      <c r="K7" s="5"/>
    </row>
    <row r="8" ht="15.75" customHeight="1">
      <c r="A8" s="6">
        <v>41.0</v>
      </c>
      <c r="B8" s="7">
        <v>8.0</v>
      </c>
      <c r="C8" s="7">
        <v>6.0</v>
      </c>
      <c r="D8" s="8" t="s">
        <v>10</v>
      </c>
      <c r="E8" s="8">
        <v>1.0</v>
      </c>
      <c r="F8" s="13"/>
      <c r="G8" s="10" t="s">
        <v>32</v>
      </c>
      <c r="H8" s="10" t="s">
        <v>33</v>
      </c>
      <c r="I8" s="12" t="s">
        <v>34</v>
      </c>
      <c r="J8" s="11" t="s">
        <v>15</v>
      </c>
      <c r="K8" s="5"/>
    </row>
    <row r="9" ht="15.75" customHeight="1">
      <c r="A9" s="6">
        <v>45.0</v>
      </c>
      <c r="B9" s="7">
        <v>9.5</v>
      </c>
      <c r="C9" s="7">
        <v>6.5</v>
      </c>
      <c r="D9" s="8" t="s">
        <v>10</v>
      </c>
      <c r="E9" s="8">
        <v>1.0</v>
      </c>
      <c r="F9" s="13"/>
      <c r="G9" s="11" t="s">
        <v>35</v>
      </c>
      <c r="H9" s="10" t="s">
        <v>36</v>
      </c>
      <c r="I9" s="12" t="s">
        <v>37</v>
      </c>
      <c r="J9" s="11" t="s">
        <v>15</v>
      </c>
      <c r="K9" s="5"/>
    </row>
    <row r="10" ht="15.75" customHeight="1">
      <c r="A10" s="6">
        <v>49.0</v>
      </c>
      <c r="B10" s="7">
        <v>9.5</v>
      </c>
      <c r="C10" s="7">
        <v>9.0</v>
      </c>
      <c r="D10" s="8" t="s">
        <v>10</v>
      </c>
      <c r="E10" s="8">
        <v>1.0</v>
      </c>
      <c r="F10" s="13"/>
      <c r="G10" s="10" t="s">
        <v>38</v>
      </c>
      <c r="H10" s="10" t="s">
        <v>39</v>
      </c>
      <c r="I10" s="12" t="s">
        <v>40</v>
      </c>
      <c r="J10" s="11" t="s">
        <v>15</v>
      </c>
      <c r="K10" s="5"/>
    </row>
    <row r="11" ht="15.75" customHeight="1">
      <c r="A11" s="6">
        <v>66.0</v>
      </c>
      <c r="B11" s="7">
        <v>1.0</v>
      </c>
      <c r="C11" s="7">
        <v>10.0</v>
      </c>
      <c r="D11" s="8" t="s">
        <v>10</v>
      </c>
      <c r="E11" s="8">
        <v>1.0</v>
      </c>
      <c r="F11" s="13"/>
      <c r="G11" s="10" t="s">
        <v>41</v>
      </c>
      <c r="H11" s="10" t="s">
        <v>42</v>
      </c>
      <c r="I11" s="12" t="s">
        <v>43</v>
      </c>
      <c r="J11" s="11" t="s">
        <v>15</v>
      </c>
      <c r="K11" s="5"/>
    </row>
    <row r="12" ht="15.75" customHeight="1">
      <c r="A12" s="6">
        <v>74.0</v>
      </c>
      <c r="B12" s="7">
        <v>6.0</v>
      </c>
      <c r="C12" s="7">
        <v>6.0</v>
      </c>
      <c r="D12" s="8" t="s">
        <v>10</v>
      </c>
      <c r="E12" s="8">
        <v>1.0</v>
      </c>
      <c r="F12" s="13"/>
      <c r="G12" s="10" t="s">
        <v>44</v>
      </c>
      <c r="H12" s="10" t="s">
        <v>45</v>
      </c>
      <c r="I12" s="12" t="s">
        <v>46</v>
      </c>
      <c r="J12" s="11" t="s">
        <v>15</v>
      </c>
      <c r="K12" s="5"/>
    </row>
    <row r="13" ht="15.75" customHeight="1">
      <c r="A13" s="6">
        <v>81.0</v>
      </c>
      <c r="B13" s="7">
        <v>5.5</v>
      </c>
      <c r="C13" s="7">
        <v>10.0</v>
      </c>
      <c r="D13" s="8" t="s">
        <v>10</v>
      </c>
      <c r="E13" s="8">
        <v>1.0</v>
      </c>
      <c r="F13" s="13"/>
      <c r="G13" s="10" t="s">
        <v>47</v>
      </c>
      <c r="H13" s="10" t="s">
        <v>48</v>
      </c>
      <c r="I13" s="12" t="s">
        <v>49</v>
      </c>
      <c r="J13" s="11" t="s">
        <v>15</v>
      </c>
      <c r="K13" s="5"/>
    </row>
    <row r="14" ht="15.75" customHeight="1">
      <c r="A14" s="6">
        <v>84.0</v>
      </c>
      <c r="B14" s="7">
        <v>9.0</v>
      </c>
      <c r="C14" s="7">
        <v>10.0</v>
      </c>
      <c r="D14" s="8" t="s">
        <v>10</v>
      </c>
      <c r="E14" s="8">
        <v>1.0</v>
      </c>
      <c r="F14" s="13"/>
      <c r="G14" s="10" t="s">
        <v>50</v>
      </c>
      <c r="H14" s="10" t="s">
        <v>51</v>
      </c>
      <c r="I14" s="12" t="s">
        <v>52</v>
      </c>
      <c r="J14" s="11" t="s">
        <v>15</v>
      </c>
      <c r="K14" s="5"/>
    </row>
    <row r="15" ht="15.75" customHeight="1">
      <c r="A15" s="6">
        <v>85.0</v>
      </c>
      <c r="B15" s="7">
        <v>9.5</v>
      </c>
      <c r="C15" s="7">
        <v>7.5</v>
      </c>
      <c r="D15" s="8" t="s">
        <v>10</v>
      </c>
      <c r="E15" s="8">
        <v>1.0</v>
      </c>
      <c r="F15" s="13"/>
      <c r="G15" s="10" t="s">
        <v>53</v>
      </c>
      <c r="H15" s="10" t="s">
        <v>54</v>
      </c>
      <c r="I15" s="12" t="s">
        <v>55</v>
      </c>
      <c r="J15" s="11" t="s">
        <v>15</v>
      </c>
      <c r="K15" s="5"/>
    </row>
    <row r="16" ht="15.75" customHeight="1">
      <c r="A16" s="6">
        <v>86.0</v>
      </c>
      <c r="B16" s="7">
        <v>8.0</v>
      </c>
      <c r="C16" s="7">
        <v>5.0</v>
      </c>
      <c r="D16" s="8" t="s">
        <v>10</v>
      </c>
      <c r="E16" s="8">
        <v>1.0</v>
      </c>
      <c r="F16" s="13"/>
      <c r="G16" s="10" t="s">
        <v>56</v>
      </c>
      <c r="H16" s="10" t="s">
        <v>57</v>
      </c>
      <c r="I16" s="12" t="s">
        <v>58</v>
      </c>
      <c r="J16" s="11" t="s">
        <v>15</v>
      </c>
      <c r="K16" s="5"/>
    </row>
    <row r="17" ht="15.75" customHeight="1">
      <c r="A17" s="15">
        <v>2.0</v>
      </c>
      <c r="B17" s="16">
        <v>6.0</v>
      </c>
      <c r="C17" s="16">
        <v>6.5</v>
      </c>
      <c r="D17" s="17" t="s">
        <v>10</v>
      </c>
      <c r="E17" s="17">
        <v>2.0</v>
      </c>
      <c r="F17" s="18"/>
      <c r="G17" s="10" t="s">
        <v>12</v>
      </c>
      <c r="H17" s="11" t="s">
        <v>13</v>
      </c>
      <c r="I17" s="12" t="s">
        <v>14</v>
      </c>
      <c r="J17" s="11" t="s">
        <v>15</v>
      </c>
      <c r="K17" s="5"/>
    </row>
    <row r="18" ht="15.75" customHeight="1">
      <c r="A18" s="15">
        <v>5.0</v>
      </c>
      <c r="B18" s="16">
        <v>7.0</v>
      </c>
      <c r="C18" s="16">
        <v>10.0</v>
      </c>
      <c r="D18" s="17" t="s">
        <v>10</v>
      </c>
      <c r="E18" s="17">
        <v>2.0</v>
      </c>
      <c r="F18" s="18"/>
      <c r="G18" s="10" t="s">
        <v>17</v>
      </c>
      <c r="H18" s="10" t="s">
        <v>18</v>
      </c>
      <c r="I18" s="12" t="s">
        <v>19</v>
      </c>
      <c r="J18" s="11" t="s">
        <v>15</v>
      </c>
      <c r="K18" s="5"/>
    </row>
    <row r="19" ht="15.75" customHeight="1">
      <c r="A19" s="15">
        <v>6.0</v>
      </c>
      <c r="B19" s="16">
        <v>9.5</v>
      </c>
      <c r="C19" s="16">
        <v>6.0</v>
      </c>
      <c r="D19" s="17" t="s">
        <v>10</v>
      </c>
      <c r="E19" s="17">
        <v>2.0</v>
      </c>
      <c r="F19" s="18"/>
      <c r="G19" s="10" t="s">
        <v>20</v>
      </c>
      <c r="H19" s="10" t="s">
        <v>21</v>
      </c>
      <c r="I19" s="14" t="s">
        <v>22</v>
      </c>
      <c r="J19" s="11" t="s">
        <v>15</v>
      </c>
      <c r="K19" s="5"/>
    </row>
    <row r="20" ht="15.75" customHeight="1">
      <c r="A20" s="15">
        <v>13.0</v>
      </c>
      <c r="B20" s="16">
        <v>4.0</v>
      </c>
      <c r="C20" s="16">
        <v>10.0</v>
      </c>
      <c r="D20" s="17" t="s">
        <v>10</v>
      </c>
      <c r="E20" s="17">
        <v>2.0</v>
      </c>
      <c r="F20" s="18"/>
      <c r="G20" s="10" t="s">
        <v>23</v>
      </c>
      <c r="H20" s="10" t="s">
        <v>24</v>
      </c>
      <c r="I20" s="12" t="s">
        <v>25</v>
      </c>
      <c r="J20" s="11" t="s">
        <v>15</v>
      </c>
      <c r="K20" s="5"/>
    </row>
    <row r="21" ht="15.75" customHeight="1">
      <c r="A21" s="15">
        <v>25.0</v>
      </c>
      <c r="B21" s="16">
        <v>1.0</v>
      </c>
      <c r="C21" s="16">
        <v>10.0</v>
      </c>
      <c r="D21" s="17" t="s">
        <v>10</v>
      </c>
      <c r="E21" s="17">
        <v>2.0</v>
      </c>
      <c r="F21" s="18"/>
      <c r="G21" s="10" t="s">
        <v>26</v>
      </c>
      <c r="H21" s="10" t="s">
        <v>27</v>
      </c>
      <c r="I21" s="12" t="s">
        <v>28</v>
      </c>
      <c r="J21" s="11" t="s">
        <v>15</v>
      </c>
      <c r="K21" s="5"/>
    </row>
    <row r="22" ht="15.75" customHeight="1">
      <c r="A22" s="15">
        <v>36.0</v>
      </c>
      <c r="B22" s="16">
        <v>5.5</v>
      </c>
      <c r="C22" s="16">
        <v>8.0</v>
      </c>
      <c r="D22" s="17" t="s">
        <v>10</v>
      </c>
      <c r="E22" s="17">
        <v>2.0</v>
      </c>
      <c r="F22" s="18"/>
      <c r="G22" s="10" t="s">
        <v>29</v>
      </c>
      <c r="H22" s="10" t="s">
        <v>30</v>
      </c>
      <c r="I22" s="12" t="s">
        <v>31</v>
      </c>
      <c r="J22" s="11" t="s">
        <v>15</v>
      </c>
      <c r="K22" s="5"/>
    </row>
    <row r="23" ht="15.75" customHeight="1">
      <c r="A23" s="15">
        <v>41.0</v>
      </c>
      <c r="B23" s="16">
        <v>8.0</v>
      </c>
      <c r="C23" s="16">
        <v>6.0</v>
      </c>
      <c r="D23" s="17" t="s">
        <v>10</v>
      </c>
      <c r="E23" s="17">
        <v>2.0</v>
      </c>
      <c r="F23" s="18"/>
      <c r="G23" s="10" t="s">
        <v>32</v>
      </c>
      <c r="H23" s="10" t="s">
        <v>33</v>
      </c>
      <c r="I23" s="12" t="s">
        <v>34</v>
      </c>
      <c r="J23" s="11" t="s">
        <v>15</v>
      </c>
      <c r="K23" s="5"/>
    </row>
    <row r="24" ht="15.75" customHeight="1">
      <c r="A24" s="15">
        <v>45.0</v>
      </c>
      <c r="B24" s="16">
        <v>9.5</v>
      </c>
      <c r="C24" s="16">
        <v>6.5</v>
      </c>
      <c r="D24" s="17" t="s">
        <v>10</v>
      </c>
      <c r="E24" s="17">
        <v>2.0</v>
      </c>
      <c r="F24" s="18"/>
      <c r="G24" s="11" t="s">
        <v>35</v>
      </c>
      <c r="H24" s="10" t="s">
        <v>36</v>
      </c>
      <c r="I24" s="12" t="s">
        <v>37</v>
      </c>
      <c r="J24" s="11" t="s">
        <v>15</v>
      </c>
      <c r="K24" s="5"/>
    </row>
    <row r="25" ht="15.75" customHeight="1">
      <c r="A25" s="15">
        <v>49.0</v>
      </c>
      <c r="B25" s="16">
        <v>9.5</v>
      </c>
      <c r="C25" s="16">
        <v>9.0</v>
      </c>
      <c r="D25" s="17" t="s">
        <v>10</v>
      </c>
      <c r="E25" s="17">
        <v>2.0</v>
      </c>
      <c r="F25" s="18"/>
      <c r="G25" s="10" t="s">
        <v>38</v>
      </c>
      <c r="H25" s="10" t="s">
        <v>39</v>
      </c>
      <c r="I25" s="12" t="s">
        <v>40</v>
      </c>
      <c r="J25" s="11" t="s">
        <v>15</v>
      </c>
      <c r="K25" s="5"/>
    </row>
    <row r="26" ht="15.75" customHeight="1">
      <c r="A26" s="15">
        <v>66.0</v>
      </c>
      <c r="B26" s="16">
        <v>1.0</v>
      </c>
      <c r="C26" s="16">
        <v>10.0</v>
      </c>
      <c r="D26" s="17" t="s">
        <v>10</v>
      </c>
      <c r="E26" s="17">
        <v>2.0</v>
      </c>
      <c r="F26" s="18"/>
      <c r="G26" s="10" t="s">
        <v>41</v>
      </c>
      <c r="H26" s="10" t="s">
        <v>42</v>
      </c>
      <c r="I26" s="12" t="s">
        <v>43</v>
      </c>
      <c r="J26" s="11" t="s">
        <v>15</v>
      </c>
      <c r="K26" s="5"/>
    </row>
    <row r="27" ht="15.75" customHeight="1">
      <c r="A27" s="15">
        <v>74.0</v>
      </c>
      <c r="B27" s="16">
        <v>6.0</v>
      </c>
      <c r="C27" s="16">
        <v>6.0</v>
      </c>
      <c r="D27" s="17" t="s">
        <v>10</v>
      </c>
      <c r="E27" s="17">
        <v>2.0</v>
      </c>
      <c r="F27" s="18"/>
      <c r="G27" s="10" t="s">
        <v>44</v>
      </c>
      <c r="H27" s="10" t="s">
        <v>45</v>
      </c>
      <c r="I27" s="12" t="s">
        <v>46</v>
      </c>
      <c r="J27" s="11" t="s">
        <v>15</v>
      </c>
      <c r="K27" s="5"/>
    </row>
    <row r="28" ht="15.75" customHeight="1">
      <c r="A28" s="15">
        <v>81.0</v>
      </c>
      <c r="B28" s="16">
        <v>5.5</v>
      </c>
      <c r="C28" s="16">
        <v>10.0</v>
      </c>
      <c r="D28" s="17" t="s">
        <v>10</v>
      </c>
      <c r="E28" s="17">
        <v>2.0</v>
      </c>
      <c r="F28" s="18"/>
      <c r="G28" s="10" t="s">
        <v>47</v>
      </c>
      <c r="H28" s="10" t="s">
        <v>48</v>
      </c>
      <c r="I28" s="12" t="s">
        <v>49</v>
      </c>
      <c r="J28" s="11" t="s">
        <v>15</v>
      </c>
      <c r="K28" s="5"/>
    </row>
    <row r="29" ht="15.75" customHeight="1">
      <c r="A29" s="15">
        <v>84.0</v>
      </c>
      <c r="B29" s="16">
        <v>9.0</v>
      </c>
      <c r="C29" s="16">
        <v>10.0</v>
      </c>
      <c r="D29" s="17" t="s">
        <v>10</v>
      </c>
      <c r="E29" s="17">
        <v>2.0</v>
      </c>
      <c r="F29" s="18"/>
      <c r="G29" s="10" t="s">
        <v>50</v>
      </c>
      <c r="H29" s="10" t="s">
        <v>51</v>
      </c>
      <c r="I29" s="12" t="s">
        <v>52</v>
      </c>
      <c r="J29" s="11" t="s">
        <v>15</v>
      </c>
      <c r="K29" s="5"/>
    </row>
    <row r="30" ht="15.75" customHeight="1">
      <c r="A30" s="15">
        <v>85.0</v>
      </c>
      <c r="B30" s="16">
        <v>7.0</v>
      </c>
      <c r="C30" s="16">
        <v>6.0</v>
      </c>
      <c r="D30" s="17" t="s">
        <v>10</v>
      </c>
      <c r="E30" s="17">
        <v>2.0</v>
      </c>
      <c r="F30" s="18"/>
      <c r="G30" s="10" t="s">
        <v>53</v>
      </c>
      <c r="H30" s="10" t="s">
        <v>54</v>
      </c>
      <c r="I30" s="12" t="s">
        <v>55</v>
      </c>
      <c r="J30" s="11" t="s">
        <v>15</v>
      </c>
      <c r="K30" s="5"/>
    </row>
    <row r="31" ht="15.75" customHeight="1">
      <c r="A31" s="15">
        <v>86.0</v>
      </c>
      <c r="B31" s="16">
        <v>7.0</v>
      </c>
      <c r="C31" s="16">
        <v>5.0</v>
      </c>
      <c r="D31" s="17" t="s">
        <v>10</v>
      </c>
      <c r="E31" s="17">
        <v>2.0</v>
      </c>
      <c r="F31" s="18"/>
      <c r="G31" s="10" t="s">
        <v>56</v>
      </c>
      <c r="H31" s="10" t="s">
        <v>57</v>
      </c>
      <c r="I31" s="12" t="s">
        <v>58</v>
      </c>
      <c r="J31" s="11" t="s">
        <v>15</v>
      </c>
      <c r="K31" s="5"/>
    </row>
    <row r="32" ht="15.75" customHeight="1">
      <c r="A32" s="19">
        <v>2.0</v>
      </c>
      <c r="B32" s="20">
        <v>6.0</v>
      </c>
      <c r="C32" s="20">
        <v>6.5</v>
      </c>
      <c r="D32" s="21" t="s">
        <v>10</v>
      </c>
      <c r="E32" s="21">
        <v>3.0</v>
      </c>
      <c r="F32" s="22"/>
      <c r="G32" s="10" t="s">
        <v>12</v>
      </c>
      <c r="H32" s="11" t="s">
        <v>13</v>
      </c>
      <c r="I32" s="12" t="s">
        <v>14</v>
      </c>
      <c r="J32" s="11" t="s">
        <v>15</v>
      </c>
      <c r="K32" s="5"/>
    </row>
    <row r="33" ht="15.75" customHeight="1">
      <c r="A33" s="19">
        <v>5.0</v>
      </c>
      <c r="B33" s="20">
        <v>7.0</v>
      </c>
      <c r="C33" s="20">
        <v>10.0</v>
      </c>
      <c r="D33" s="21" t="s">
        <v>10</v>
      </c>
      <c r="E33" s="21">
        <v>3.0</v>
      </c>
      <c r="F33" s="22"/>
      <c r="G33" s="10" t="s">
        <v>17</v>
      </c>
      <c r="H33" s="10" t="s">
        <v>18</v>
      </c>
      <c r="I33" s="12" t="s">
        <v>19</v>
      </c>
      <c r="J33" s="11" t="s">
        <v>15</v>
      </c>
      <c r="K33" s="5"/>
    </row>
    <row r="34" ht="15.75" customHeight="1">
      <c r="A34" s="19">
        <v>6.0</v>
      </c>
      <c r="B34" s="20">
        <v>9.5</v>
      </c>
      <c r="C34" s="20">
        <v>6.0</v>
      </c>
      <c r="D34" s="21" t="s">
        <v>10</v>
      </c>
      <c r="E34" s="21">
        <v>3.0</v>
      </c>
      <c r="F34" s="22"/>
      <c r="G34" s="10" t="s">
        <v>20</v>
      </c>
      <c r="H34" s="10" t="s">
        <v>21</v>
      </c>
      <c r="I34" s="14" t="s">
        <v>22</v>
      </c>
      <c r="J34" s="11" t="s">
        <v>15</v>
      </c>
      <c r="K34" s="5"/>
    </row>
    <row r="35" ht="15.75" customHeight="1">
      <c r="A35" s="19">
        <v>13.0</v>
      </c>
      <c r="B35" s="20">
        <v>4.0</v>
      </c>
      <c r="C35" s="20">
        <v>10.0</v>
      </c>
      <c r="D35" s="21" t="s">
        <v>10</v>
      </c>
      <c r="E35" s="21">
        <v>3.0</v>
      </c>
      <c r="F35" s="22"/>
      <c r="G35" s="10" t="s">
        <v>23</v>
      </c>
      <c r="H35" s="10" t="s">
        <v>24</v>
      </c>
      <c r="I35" s="12" t="s">
        <v>25</v>
      </c>
      <c r="J35" s="11" t="s">
        <v>15</v>
      </c>
      <c r="K35" s="5"/>
    </row>
    <row r="36" ht="15.75" customHeight="1">
      <c r="A36" s="19">
        <v>25.0</v>
      </c>
      <c r="B36" s="20">
        <v>1.0</v>
      </c>
      <c r="C36" s="20">
        <v>10.0</v>
      </c>
      <c r="D36" s="21" t="s">
        <v>10</v>
      </c>
      <c r="E36" s="21">
        <v>3.0</v>
      </c>
      <c r="F36" s="22"/>
      <c r="G36" s="10" t="s">
        <v>26</v>
      </c>
      <c r="H36" s="10" t="s">
        <v>27</v>
      </c>
      <c r="I36" s="12" t="s">
        <v>28</v>
      </c>
      <c r="J36" s="11" t="s">
        <v>15</v>
      </c>
      <c r="K36" s="5"/>
    </row>
    <row r="37" ht="15.75" customHeight="1">
      <c r="A37" s="19">
        <v>36.0</v>
      </c>
      <c r="B37" s="20">
        <v>5.5</v>
      </c>
      <c r="C37" s="20">
        <v>8.0</v>
      </c>
      <c r="D37" s="21" t="s">
        <v>10</v>
      </c>
      <c r="E37" s="21">
        <v>3.0</v>
      </c>
      <c r="F37" s="22"/>
      <c r="G37" s="10" t="s">
        <v>29</v>
      </c>
      <c r="H37" s="10" t="s">
        <v>30</v>
      </c>
      <c r="I37" s="12" t="s">
        <v>31</v>
      </c>
      <c r="J37" s="11" t="s">
        <v>15</v>
      </c>
      <c r="K37" s="5"/>
    </row>
    <row r="38" ht="15.75" customHeight="1">
      <c r="A38" s="19">
        <v>41.0</v>
      </c>
      <c r="B38" s="20">
        <v>8.0</v>
      </c>
      <c r="C38" s="20">
        <v>6.0</v>
      </c>
      <c r="D38" s="21" t="s">
        <v>10</v>
      </c>
      <c r="E38" s="21">
        <v>3.0</v>
      </c>
      <c r="F38" s="22"/>
      <c r="G38" s="10" t="s">
        <v>32</v>
      </c>
      <c r="H38" s="10" t="s">
        <v>33</v>
      </c>
      <c r="I38" s="12" t="s">
        <v>34</v>
      </c>
      <c r="J38" s="11" t="s">
        <v>15</v>
      </c>
      <c r="K38" s="5"/>
    </row>
    <row r="39" ht="15.75" customHeight="1">
      <c r="A39" s="19">
        <v>45.0</v>
      </c>
      <c r="B39" s="20">
        <v>9.5</v>
      </c>
      <c r="C39" s="20">
        <v>6.5</v>
      </c>
      <c r="D39" s="21" t="s">
        <v>10</v>
      </c>
      <c r="E39" s="21">
        <v>3.0</v>
      </c>
      <c r="F39" s="22"/>
      <c r="G39" s="11" t="s">
        <v>35</v>
      </c>
      <c r="H39" s="10" t="s">
        <v>36</v>
      </c>
      <c r="I39" s="12" t="s">
        <v>37</v>
      </c>
      <c r="J39" s="11" t="s">
        <v>15</v>
      </c>
      <c r="K39" s="5"/>
    </row>
    <row r="40" ht="15.75" customHeight="1">
      <c r="A40" s="19">
        <v>49.0</v>
      </c>
      <c r="B40" s="20">
        <v>9.5</v>
      </c>
      <c r="C40" s="20">
        <v>9.0</v>
      </c>
      <c r="D40" s="21" t="s">
        <v>10</v>
      </c>
      <c r="E40" s="21">
        <v>3.0</v>
      </c>
      <c r="F40" s="22"/>
      <c r="G40" s="10" t="s">
        <v>38</v>
      </c>
      <c r="H40" s="10" t="s">
        <v>39</v>
      </c>
      <c r="I40" s="12" t="s">
        <v>40</v>
      </c>
      <c r="J40" s="11" t="s">
        <v>15</v>
      </c>
      <c r="K40" s="5"/>
    </row>
    <row r="41" ht="15.75" customHeight="1">
      <c r="A41" s="19">
        <v>66.0</v>
      </c>
      <c r="B41" s="20">
        <v>1.0</v>
      </c>
      <c r="C41" s="20">
        <v>10.0</v>
      </c>
      <c r="D41" s="21" t="s">
        <v>10</v>
      </c>
      <c r="E41" s="21">
        <v>3.0</v>
      </c>
      <c r="F41" s="22"/>
      <c r="G41" s="10" t="s">
        <v>41</v>
      </c>
      <c r="H41" s="10" t="s">
        <v>42</v>
      </c>
      <c r="I41" s="12" t="s">
        <v>43</v>
      </c>
      <c r="J41" s="11" t="s">
        <v>15</v>
      </c>
      <c r="K41" s="5"/>
    </row>
    <row r="42" ht="15.75" customHeight="1">
      <c r="A42" s="19">
        <v>74.0</v>
      </c>
      <c r="B42" s="20">
        <v>6.0</v>
      </c>
      <c r="C42" s="20">
        <v>6.0</v>
      </c>
      <c r="D42" s="21" t="s">
        <v>10</v>
      </c>
      <c r="E42" s="21">
        <v>3.0</v>
      </c>
      <c r="F42" s="22"/>
      <c r="G42" s="10" t="s">
        <v>44</v>
      </c>
      <c r="H42" s="10" t="s">
        <v>45</v>
      </c>
      <c r="I42" s="12" t="s">
        <v>46</v>
      </c>
      <c r="J42" s="11" t="s">
        <v>15</v>
      </c>
      <c r="K42" s="5"/>
    </row>
    <row r="43" ht="15.75" customHeight="1">
      <c r="A43" s="19">
        <v>81.0</v>
      </c>
      <c r="B43" s="20">
        <v>5.5</v>
      </c>
      <c r="C43" s="20">
        <v>10.0</v>
      </c>
      <c r="D43" s="21" t="s">
        <v>10</v>
      </c>
      <c r="E43" s="21">
        <v>3.0</v>
      </c>
      <c r="F43" s="22"/>
      <c r="G43" s="10" t="s">
        <v>47</v>
      </c>
      <c r="H43" s="10" t="s">
        <v>48</v>
      </c>
      <c r="I43" s="12" t="s">
        <v>49</v>
      </c>
      <c r="J43" s="11" t="s">
        <v>15</v>
      </c>
      <c r="K43" s="5"/>
    </row>
    <row r="44" ht="15.75" customHeight="1">
      <c r="A44" s="19">
        <v>84.0</v>
      </c>
      <c r="B44" s="20">
        <v>9.0</v>
      </c>
      <c r="C44" s="20">
        <v>10.0</v>
      </c>
      <c r="D44" s="21" t="s">
        <v>10</v>
      </c>
      <c r="E44" s="21">
        <v>3.0</v>
      </c>
      <c r="F44" s="22"/>
      <c r="G44" s="10" t="s">
        <v>50</v>
      </c>
      <c r="H44" s="10" t="s">
        <v>51</v>
      </c>
      <c r="I44" s="12" t="s">
        <v>52</v>
      </c>
      <c r="J44" s="11" t="s">
        <v>15</v>
      </c>
      <c r="K44" s="5"/>
    </row>
    <row r="45" ht="15.75" customHeight="1">
      <c r="A45" s="19">
        <v>85.0</v>
      </c>
      <c r="B45" s="20">
        <v>7.0</v>
      </c>
      <c r="C45" s="20">
        <v>6.0</v>
      </c>
      <c r="D45" s="21" t="s">
        <v>10</v>
      </c>
      <c r="E45" s="21">
        <v>3.0</v>
      </c>
      <c r="F45" s="22"/>
      <c r="G45" s="10" t="s">
        <v>53</v>
      </c>
      <c r="H45" s="10" t="s">
        <v>54</v>
      </c>
      <c r="I45" s="12" t="s">
        <v>55</v>
      </c>
      <c r="J45" s="11" t="s">
        <v>15</v>
      </c>
      <c r="K45" s="5"/>
    </row>
    <row r="46" ht="15.75" customHeight="1">
      <c r="A46" s="19">
        <v>86.0</v>
      </c>
      <c r="B46" s="20">
        <v>7.0</v>
      </c>
      <c r="C46" s="20">
        <v>5.0</v>
      </c>
      <c r="D46" s="21" t="s">
        <v>10</v>
      </c>
      <c r="E46" s="21">
        <v>3.0</v>
      </c>
      <c r="F46" s="22"/>
      <c r="G46" s="10" t="s">
        <v>56</v>
      </c>
      <c r="H46" s="10" t="s">
        <v>57</v>
      </c>
      <c r="I46" s="12" t="s">
        <v>58</v>
      </c>
      <c r="J46" s="11" t="s">
        <v>15</v>
      </c>
      <c r="K46" s="5"/>
    </row>
    <row r="47" ht="15.75" customHeight="1">
      <c r="A47" s="6">
        <v>10.0</v>
      </c>
      <c r="B47" s="7">
        <v>6.0</v>
      </c>
      <c r="C47" s="7">
        <v>8.0</v>
      </c>
      <c r="D47" s="8" t="s">
        <v>59</v>
      </c>
      <c r="E47" s="8">
        <v>1.0</v>
      </c>
      <c r="F47" s="13"/>
      <c r="G47" s="10" t="s">
        <v>60</v>
      </c>
      <c r="H47" s="10" t="s">
        <v>61</v>
      </c>
      <c r="I47" s="12" t="s">
        <v>62</v>
      </c>
      <c r="J47" s="11" t="s">
        <v>15</v>
      </c>
      <c r="K47" s="5"/>
    </row>
    <row r="48" ht="15.75" customHeight="1">
      <c r="A48" s="6">
        <v>12.0</v>
      </c>
      <c r="B48" s="7">
        <v>1.0</v>
      </c>
      <c r="C48" s="7">
        <v>1.0</v>
      </c>
      <c r="D48" s="8" t="s">
        <v>59</v>
      </c>
      <c r="E48" s="8">
        <v>1.0</v>
      </c>
      <c r="F48" s="13"/>
      <c r="G48" s="10" t="s">
        <v>63</v>
      </c>
      <c r="H48" s="10" t="s">
        <v>64</v>
      </c>
      <c r="I48" s="12" t="s">
        <v>65</v>
      </c>
      <c r="J48" s="11" t="s">
        <v>15</v>
      </c>
      <c r="K48" s="5"/>
    </row>
    <row r="49" ht="15.75" customHeight="1">
      <c r="A49" s="6">
        <v>19.0</v>
      </c>
      <c r="B49" s="7">
        <v>5.0</v>
      </c>
      <c r="C49" s="7">
        <v>8.0</v>
      </c>
      <c r="D49" s="8" t="s">
        <v>59</v>
      </c>
      <c r="E49" s="8">
        <v>1.0</v>
      </c>
      <c r="F49" s="13"/>
      <c r="G49" s="10" t="s">
        <v>66</v>
      </c>
      <c r="H49" s="10" t="s">
        <v>67</v>
      </c>
      <c r="I49" s="12" t="s">
        <v>68</v>
      </c>
      <c r="J49" s="11" t="s">
        <v>15</v>
      </c>
      <c r="K49" s="5"/>
    </row>
    <row r="50" ht="15.75" customHeight="1">
      <c r="A50" s="6">
        <v>27.0</v>
      </c>
      <c r="B50" s="7">
        <v>9.5</v>
      </c>
      <c r="C50" s="7">
        <v>9.0</v>
      </c>
      <c r="D50" s="8" t="s">
        <v>59</v>
      </c>
      <c r="E50" s="8">
        <v>1.0</v>
      </c>
      <c r="F50" s="13"/>
      <c r="G50" s="10" t="s">
        <v>69</v>
      </c>
      <c r="H50" s="10" t="s">
        <v>70</v>
      </c>
      <c r="I50" s="12" t="s">
        <v>71</v>
      </c>
      <c r="J50" s="11" t="s">
        <v>15</v>
      </c>
      <c r="K50" s="5"/>
    </row>
    <row r="51" ht="15.75" customHeight="1">
      <c r="A51" s="6">
        <v>32.0</v>
      </c>
      <c r="B51" s="7">
        <v>5.0</v>
      </c>
      <c r="C51" s="7">
        <v>7.0</v>
      </c>
      <c r="D51" s="8" t="s">
        <v>59</v>
      </c>
      <c r="E51" s="8">
        <v>1.0</v>
      </c>
      <c r="F51" s="13"/>
      <c r="G51" s="10" t="s">
        <v>72</v>
      </c>
      <c r="H51" s="10" t="s">
        <v>73</v>
      </c>
      <c r="I51" s="12" t="s">
        <v>74</v>
      </c>
      <c r="J51" s="11" t="s">
        <v>15</v>
      </c>
      <c r="K51" s="5"/>
    </row>
    <row r="52" ht="15.75" customHeight="1">
      <c r="A52" s="6">
        <v>36.0</v>
      </c>
      <c r="B52" s="7">
        <v>2.5</v>
      </c>
      <c r="C52" s="7">
        <v>8.0</v>
      </c>
      <c r="D52" s="8" t="s">
        <v>59</v>
      </c>
      <c r="E52" s="8">
        <v>1.0</v>
      </c>
      <c r="F52" s="13"/>
      <c r="G52" s="10" t="s">
        <v>29</v>
      </c>
      <c r="H52" s="10" t="s">
        <v>30</v>
      </c>
      <c r="I52" s="12" t="s">
        <v>31</v>
      </c>
      <c r="J52" s="11" t="s">
        <v>15</v>
      </c>
      <c r="K52" s="5"/>
    </row>
    <row r="53" ht="15.75" customHeight="1">
      <c r="A53" s="6">
        <v>39.0</v>
      </c>
      <c r="B53" s="7">
        <v>3.0</v>
      </c>
      <c r="C53" s="7">
        <v>4.0</v>
      </c>
      <c r="D53" s="8" t="s">
        <v>59</v>
      </c>
      <c r="E53" s="8">
        <v>1.0</v>
      </c>
      <c r="F53" s="13"/>
      <c r="G53" s="10" t="s">
        <v>75</v>
      </c>
      <c r="H53" s="10" t="s">
        <v>76</v>
      </c>
      <c r="I53" s="12" t="s">
        <v>77</v>
      </c>
      <c r="J53" s="11" t="s">
        <v>15</v>
      </c>
      <c r="K53" s="5"/>
    </row>
    <row r="54" ht="15.75" customHeight="1">
      <c r="A54" s="6">
        <v>41.0</v>
      </c>
      <c r="B54" s="7">
        <v>6.0</v>
      </c>
      <c r="C54" s="7">
        <v>10.0</v>
      </c>
      <c r="D54" s="8" t="s">
        <v>59</v>
      </c>
      <c r="E54" s="8">
        <v>1.0</v>
      </c>
      <c r="F54" s="13"/>
      <c r="G54" s="10" t="s">
        <v>32</v>
      </c>
      <c r="H54" s="10" t="s">
        <v>33</v>
      </c>
      <c r="I54" s="12" t="s">
        <v>34</v>
      </c>
      <c r="J54" s="11" t="s">
        <v>15</v>
      </c>
      <c r="K54" s="5"/>
    </row>
    <row r="55" ht="15.75" customHeight="1">
      <c r="A55" s="6">
        <v>47.0</v>
      </c>
      <c r="B55" s="7">
        <v>2.0</v>
      </c>
      <c r="C55" s="7">
        <v>7.0</v>
      </c>
      <c r="D55" s="8" t="s">
        <v>59</v>
      </c>
      <c r="E55" s="8">
        <v>1.0</v>
      </c>
      <c r="F55" s="13"/>
      <c r="G55" s="10" t="s">
        <v>78</v>
      </c>
      <c r="H55" s="10" t="s">
        <v>79</v>
      </c>
      <c r="I55" s="12" t="s">
        <v>80</v>
      </c>
      <c r="J55" s="11" t="s">
        <v>15</v>
      </c>
      <c r="K55" s="5"/>
    </row>
    <row r="56" ht="15.75" customHeight="1">
      <c r="A56" s="6">
        <v>50.0</v>
      </c>
      <c r="B56" s="7">
        <v>4.0</v>
      </c>
      <c r="C56" s="7">
        <v>7.0</v>
      </c>
      <c r="D56" s="8" t="s">
        <v>59</v>
      </c>
      <c r="E56" s="8">
        <v>1.0</v>
      </c>
      <c r="F56" s="13"/>
      <c r="G56" s="10" t="s">
        <v>81</v>
      </c>
      <c r="H56" s="10" t="s">
        <v>82</v>
      </c>
      <c r="I56" s="12" t="s">
        <v>83</v>
      </c>
      <c r="J56" s="11" t="s">
        <v>15</v>
      </c>
      <c r="K56" s="5"/>
    </row>
    <row r="57" ht="15.75" customHeight="1">
      <c r="A57" s="6">
        <v>60.0</v>
      </c>
      <c r="B57" s="7">
        <v>7.5</v>
      </c>
      <c r="C57" s="7">
        <v>10.0</v>
      </c>
      <c r="D57" s="8" t="s">
        <v>59</v>
      </c>
      <c r="E57" s="8">
        <v>1.0</v>
      </c>
      <c r="F57" s="13"/>
      <c r="G57" s="10" t="s">
        <v>84</v>
      </c>
      <c r="H57" s="10" t="s">
        <v>85</v>
      </c>
      <c r="I57" s="12" t="s">
        <v>86</v>
      </c>
      <c r="J57" s="11" t="s">
        <v>15</v>
      </c>
      <c r="K57" s="5"/>
    </row>
    <row r="58" ht="15.75" customHeight="1">
      <c r="A58" s="6">
        <v>63.0</v>
      </c>
      <c r="B58" s="7">
        <v>4.5</v>
      </c>
      <c r="C58" s="7">
        <v>10.0</v>
      </c>
      <c r="D58" s="8" t="s">
        <v>59</v>
      </c>
      <c r="E58" s="8">
        <v>1.0</v>
      </c>
      <c r="F58" s="13"/>
      <c r="G58" s="10" t="s">
        <v>87</v>
      </c>
      <c r="H58" s="10" t="s">
        <v>88</v>
      </c>
      <c r="I58" s="12" t="s">
        <v>89</v>
      </c>
      <c r="J58" s="11" t="s">
        <v>15</v>
      </c>
      <c r="K58" s="5"/>
    </row>
    <row r="59" ht="15.75" customHeight="1">
      <c r="A59" s="6">
        <v>68.0</v>
      </c>
      <c r="B59" s="7">
        <v>7.0</v>
      </c>
      <c r="C59" s="7">
        <v>7.0</v>
      </c>
      <c r="D59" s="8" t="s">
        <v>59</v>
      </c>
      <c r="E59" s="8">
        <v>1.0</v>
      </c>
      <c r="F59" s="13"/>
      <c r="G59" s="10" t="s">
        <v>90</v>
      </c>
      <c r="H59" s="10" t="s">
        <v>91</v>
      </c>
      <c r="I59" s="12" t="s">
        <v>92</v>
      </c>
      <c r="J59" s="11" t="s">
        <v>15</v>
      </c>
      <c r="K59" s="5"/>
    </row>
    <row r="60" ht="15.75" customHeight="1">
      <c r="A60" s="6">
        <v>70.0</v>
      </c>
      <c r="B60" s="7">
        <v>7.5</v>
      </c>
      <c r="C60" s="7">
        <v>8.0</v>
      </c>
      <c r="D60" s="8" t="s">
        <v>59</v>
      </c>
      <c r="E60" s="8">
        <v>1.0</v>
      </c>
      <c r="F60" s="13"/>
      <c r="G60" s="10" t="s">
        <v>93</v>
      </c>
      <c r="H60" s="10" t="s">
        <v>94</v>
      </c>
      <c r="I60" s="12" t="s">
        <v>95</v>
      </c>
      <c r="J60" s="11" t="s">
        <v>15</v>
      </c>
      <c r="K60" s="5"/>
    </row>
    <row r="61" ht="15.75" customHeight="1">
      <c r="A61" s="6">
        <v>79.0</v>
      </c>
      <c r="B61" s="7">
        <v>1.0</v>
      </c>
      <c r="C61" s="7">
        <v>7.0</v>
      </c>
      <c r="D61" s="8" t="s">
        <v>59</v>
      </c>
      <c r="E61" s="8">
        <v>1.0</v>
      </c>
      <c r="F61" s="13"/>
      <c r="G61" s="10" t="s">
        <v>96</v>
      </c>
      <c r="H61" s="10" t="s">
        <v>97</v>
      </c>
      <c r="I61" s="12" t="s">
        <v>98</v>
      </c>
      <c r="J61" s="11" t="s">
        <v>15</v>
      </c>
      <c r="K61" s="5"/>
    </row>
    <row r="62" ht="15.75" customHeight="1">
      <c r="A62" s="6">
        <v>81.0</v>
      </c>
      <c r="B62" s="7">
        <v>1.0</v>
      </c>
      <c r="C62" s="7">
        <v>10.0</v>
      </c>
      <c r="D62" s="8" t="s">
        <v>59</v>
      </c>
      <c r="E62" s="8">
        <v>1.0</v>
      </c>
      <c r="F62" s="13"/>
      <c r="G62" s="10" t="s">
        <v>47</v>
      </c>
      <c r="H62" s="10" t="s">
        <v>48</v>
      </c>
      <c r="I62" s="12" t="s">
        <v>49</v>
      </c>
      <c r="J62" s="11" t="s">
        <v>15</v>
      </c>
      <c r="K62" s="5"/>
    </row>
    <row r="63" ht="15.75" customHeight="1">
      <c r="A63" s="6">
        <v>83.0</v>
      </c>
      <c r="B63" s="7">
        <v>1.0</v>
      </c>
      <c r="C63" s="7">
        <v>8.0</v>
      </c>
      <c r="D63" s="8" t="s">
        <v>59</v>
      </c>
      <c r="E63" s="8">
        <v>1.0</v>
      </c>
      <c r="F63" s="13"/>
      <c r="G63" s="10" t="s">
        <v>99</v>
      </c>
      <c r="H63" s="10" t="s">
        <v>100</v>
      </c>
      <c r="I63" s="12" t="s">
        <v>101</v>
      </c>
      <c r="J63" s="11" t="s">
        <v>15</v>
      </c>
      <c r="K63" s="5"/>
    </row>
    <row r="64" ht="15.75" customHeight="1">
      <c r="A64" s="6">
        <v>87.0</v>
      </c>
      <c r="B64" s="7">
        <v>4.0</v>
      </c>
      <c r="C64" s="7">
        <v>8.0</v>
      </c>
      <c r="D64" s="8" t="s">
        <v>59</v>
      </c>
      <c r="E64" s="8">
        <v>1.0</v>
      </c>
      <c r="F64" s="13"/>
      <c r="G64" s="10" t="s">
        <v>102</v>
      </c>
      <c r="H64" s="10" t="s">
        <v>103</v>
      </c>
      <c r="I64" s="12" t="s">
        <v>104</v>
      </c>
      <c r="J64" s="11" t="s">
        <v>15</v>
      </c>
      <c r="K64" s="5"/>
    </row>
    <row r="65" ht="15.75" customHeight="1">
      <c r="A65" s="6">
        <v>88.0</v>
      </c>
      <c r="B65" s="7">
        <v>3.5</v>
      </c>
      <c r="C65" s="7">
        <v>9.5</v>
      </c>
      <c r="D65" s="8" t="s">
        <v>59</v>
      </c>
      <c r="E65" s="8">
        <v>1.0</v>
      </c>
      <c r="F65" s="13"/>
      <c r="G65" s="10" t="s">
        <v>105</v>
      </c>
      <c r="H65" s="10" t="s">
        <v>106</v>
      </c>
      <c r="I65" s="12" t="s">
        <v>107</v>
      </c>
      <c r="J65" s="11" t="s">
        <v>15</v>
      </c>
      <c r="K65" s="5"/>
    </row>
    <row r="66" ht="15.75" customHeight="1">
      <c r="A66" s="15">
        <v>10.0</v>
      </c>
      <c r="B66" s="16">
        <v>6.0</v>
      </c>
      <c r="C66" s="16">
        <v>8.0</v>
      </c>
      <c r="D66" s="17" t="s">
        <v>59</v>
      </c>
      <c r="E66" s="17">
        <v>2.0</v>
      </c>
      <c r="F66" s="23" t="s">
        <v>108</v>
      </c>
      <c r="G66" s="10" t="s">
        <v>60</v>
      </c>
      <c r="H66" s="10" t="s">
        <v>61</v>
      </c>
      <c r="I66" s="12" t="s">
        <v>62</v>
      </c>
      <c r="J66" s="11" t="s">
        <v>15</v>
      </c>
      <c r="K66" s="5"/>
    </row>
    <row r="67" ht="15.75" customHeight="1">
      <c r="A67" s="15">
        <v>12.0</v>
      </c>
      <c r="B67" s="16">
        <v>1.0</v>
      </c>
      <c r="C67" s="16">
        <v>1.0</v>
      </c>
      <c r="D67" s="17" t="s">
        <v>59</v>
      </c>
      <c r="E67" s="17">
        <v>2.0</v>
      </c>
      <c r="F67" s="18"/>
      <c r="G67" s="10" t="s">
        <v>63</v>
      </c>
      <c r="H67" s="10" t="s">
        <v>64</v>
      </c>
      <c r="I67" s="12" t="s">
        <v>65</v>
      </c>
      <c r="J67" s="11" t="s">
        <v>15</v>
      </c>
      <c r="K67" s="5"/>
    </row>
    <row r="68" ht="15.75" customHeight="1">
      <c r="A68" s="15">
        <v>19.0</v>
      </c>
      <c r="B68" s="16">
        <v>5.0</v>
      </c>
      <c r="C68" s="16">
        <v>8.0</v>
      </c>
      <c r="D68" s="17" t="s">
        <v>59</v>
      </c>
      <c r="E68" s="17">
        <v>2.0</v>
      </c>
      <c r="F68" s="18"/>
      <c r="G68" s="10" t="s">
        <v>66</v>
      </c>
      <c r="H68" s="10" t="s">
        <v>67</v>
      </c>
      <c r="I68" s="12" t="s">
        <v>68</v>
      </c>
      <c r="J68" s="11" t="s">
        <v>15</v>
      </c>
      <c r="K68" s="5"/>
    </row>
    <row r="69" ht="15.75" customHeight="1">
      <c r="A69" s="15">
        <v>27.0</v>
      </c>
      <c r="B69" s="16">
        <v>9.5</v>
      </c>
      <c r="C69" s="16">
        <v>9.0</v>
      </c>
      <c r="D69" s="17" t="s">
        <v>59</v>
      </c>
      <c r="E69" s="17">
        <v>2.0</v>
      </c>
      <c r="F69" s="18"/>
      <c r="G69" s="10" t="s">
        <v>69</v>
      </c>
      <c r="H69" s="10" t="s">
        <v>70</v>
      </c>
      <c r="I69" s="12" t="s">
        <v>71</v>
      </c>
      <c r="J69" s="11" t="s">
        <v>15</v>
      </c>
      <c r="K69" s="5"/>
    </row>
    <row r="70" ht="15.75" customHeight="1">
      <c r="A70" s="15">
        <v>32.0</v>
      </c>
      <c r="B70" s="16">
        <v>5.0</v>
      </c>
      <c r="C70" s="16">
        <v>7.0</v>
      </c>
      <c r="D70" s="17" t="s">
        <v>59</v>
      </c>
      <c r="E70" s="17">
        <v>2.0</v>
      </c>
      <c r="F70" s="18"/>
      <c r="G70" s="10" t="s">
        <v>72</v>
      </c>
      <c r="H70" s="10" t="s">
        <v>73</v>
      </c>
      <c r="I70" s="12" t="s">
        <v>74</v>
      </c>
      <c r="J70" s="11" t="s">
        <v>15</v>
      </c>
      <c r="K70" s="5"/>
    </row>
    <row r="71" ht="15.75" customHeight="1">
      <c r="A71" s="15">
        <v>36.0</v>
      </c>
      <c r="B71" s="16">
        <v>2.5</v>
      </c>
      <c r="C71" s="16">
        <v>8.0</v>
      </c>
      <c r="D71" s="17" t="s">
        <v>59</v>
      </c>
      <c r="E71" s="17">
        <v>2.0</v>
      </c>
      <c r="F71" s="16"/>
      <c r="G71" s="10" t="s">
        <v>29</v>
      </c>
      <c r="H71" s="10" t="s">
        <v>30</v>
      </c>
      <c r="I71" s="12" t="s">
        <v>31</v>
      </c>
      <c r="J71" s="11" t="s">
        <v>15</v>
      </c>
      <c r="K71" s="5"/>
    </row>
    <row r="72" ht="15.75" customHeight="1">
      <c r="A72" s="15">
        <v>39.0</v>
      </c>
      <c r="B72" s="16">
        <v>3.0</v>
      </c>
      <c r="C72" s="16">
        <v>4.0</v>
      </c>
      <c r="D72" s="17" t="s">
        <v>59</v>
      </c>
      <c r="E72" s="17">
        <v>2.0</v>
      </c>
      <c r="F72" s="18"/>
      <c r="G72" s="10" t="s">
        <v>75</v>
      </c>
      <c r="H72" s="10" t="s">
        <v>76</v>
      </c>
      <c r="I72" s="12" t="s">
        <v>77</v>
      </c>
      <c r="J72" s="11" t="s">
        <v>15</v>
      </c>
      <c r="K72" s="5"/>
    </row>
    <row r="73" ht="15.75" customHeight="1">
      <c r="A73" s="15">
        <v>41.0</v>
      </c>
      <c r="B73" s="16">
        <v>6.0</v>
      </c>
      <c r="C73" s="16">
        <v>10.0</v>
      </c>
      <c r="D73" s="17" t="s">
        <v>59</v>
      </c>
      <c r="E73" s="17">
        <v>2.0</v>
      </c>
      <c r="F73" s="18"/>
      <c r="G73" s="10" t="s">
        <v>32</v>
      </c>
      <c r="H73" s="10" t="s">
        <v>33</v>
      </c>
      <c r="I73" s="12" t="s">
        <v>34</v>
      </c>
      <c r="J73" s="11" t="s">
        <v>15</v>
      </c>
      <c r="K73" s="5"/>
    </row>
    <row r="74" ht="15.75" customHeight="1">
      <c r="A74" s="15">
        <v>47.0</v>
      </c>
      <c r="B74" s="16">
        <v>2.0</v>
      </c>
      <c r="C74" s="16">
        <v>7.0</v>
      </c>
      <c r="D74" s="17" t="s">
        <v>59</v>
      </c>
      <c r="E74" s="17">
        <v>2.0</v>
      </c>
      <c r="F74" s="18"/>
      <c r="G74" s="10" t="s">
        <v>78</v>
      </c>
      <c r="H74" s="10" t="s">
        <v>79</v>
      </c>
      <c r="I74" s="12" t="s">
        <v>80</v>
      </c>
      <c r="J74" s="11" t="s">
        <v>15</v>
      </c>
      <c r="K74" s="5"/>
    </row>
    <row r="75" ht="15.75" customHeight="1">
      <c r="A75" s="15">
        <v>50.0</v>
      </c>
      <c r="B75" s="16">
        <v>4.0</v>
      </c>
      <c r="C75" s="16">
        <v>7.0</v>
      </c>
      <c r="D75" s="17" t="s">
        <v>59</v>
      </c>
      <c r="E75" s="17">
        <v>2.0</v>
      </c>
      <c r="F75" s="18"/>
      <c r="G75" s="10" t="s">
        <v>81</v>
      </c>
      <c r="H75" s="10" t="s">
        <v>82</v>
      </c>
      <c r="I75" s="12" t="s">
        <v>83</v>
      </c>
      <c r="J75" s="11" t="s">
        <v>15</v>
      </c>
      <c r="K75" s="5"/>
    </row>
    <row r="76" ht="15.75" customHeight="1">
      <c r="A76" s="15">
        <v>60.0</v>
      </c>
      <c r="B76" s="16">
        <v>7.5</v>
      </c>
      <c r="C76" s="16">
        <v>10.0</v>
      </c>
      <c r="D76" s="17" t="s">
        <v>59</v>
      </c>
      <c r="E76" s="17">
        <v>2.0</v>
      </c>
      <c r="F76" s="18"/>
      <c r="G76" s="10" t="s">
        <v>84</v>
      </c>
      <c r="H76" s="10" t="s">
        <v>85</v>
      </c>
      <c r="I76" s="12" t="s">
        <v>86</v>
      </c>
      <c r="J76" s="11" t="s">
        <v>15</v>
      </c>
      <c r="K76" s="5"/>
    </row>
    <row r="77" ht="15.75" customHeight="1">
      <c r="A77" s="15">
        <v>63.0</v>
      </c>
      <c r="B77" s="16">
        <v>4.5</v>
      </c>
      <c r="C77" s="16">
        <v>10.0</v>
      </c>
      <c r="D77" s="17" t="s">
        <v>59</v>
      </c>
      <c r="E77" s="17">
        <v>2.0</v>
      </c>
      <c r="F77" s="18"/>
      <c r="G77" s="10" t="s">
        <v>87</v>
      </c>
      <c r="H77" s="10" t="s">
        <v>88</v>
      </c>
      <c r="I77" s="12" t="s">
        <v>89</v>
      </c>
      <c r="J77" s="11" t="s">
        <v>15</v>
      </c>
      <c r="K77" s="5"/>
    </row>
    <row r="78" ht="15.75" customHeight="1">
      <c r="A78" s="15">
        <v>68.0</v>
      </c>
      <c r="B78" s="16">
        <v>6.5</v>
      </c>
      <c r="C78" s="16">
        <v>7.0</v>
      </c>
      <c r="D78" s="17" t="s">
        <v>59</v>
      </c>
      <c r="E78" s="17">
        <v>2.0</v>
      </c>
      <c r="F78" s="18"/>
      <c r="G78" s="10" t="s">
        <v>90</v>
      </c>
      <c r="H78" s="10" t="s">
        <v>91</v>
      </c>
      <c r="I78" s="12" t="s">
        <v>92</v>
      </c>
      <c r="J78" s="11" t="s">
        <v>15</v>
      </c>
      <c r="K78" s="5"/>
    </row>
    <row r="79" ht="15.75" customHeight="1">
      <c r="A79" s="15">
        <v>70.0</v>
      </c>
      <c r="B79" s="16">
        <v>7.5</v>
      </c>
      <c r="C79" s="16">
        <v>8.0</v>
      </c>
      <c r="D79" s="17" t="s">
        <v>59</v>
      </c>
      <c r="E79" s="17">
        <v>2.0</v>
      </c>
      <c r="F79" s="18"/>
      <c r="G79" s="10" t="s">
        <v>93</v>
      </c>
      <c r="H79" s="10" t="s">
        <v>94</v>
      </c>
      <c r="I79" s="12" t="s">
        <v>95</v>
      </c>
      <c r="J79" s="11" t="s">
        <v>15</v>
      </c>
      <c r="K79" s="5"/>
    </row>
    <row r="80" ht="15.75" customHeight="1">
      <c r="A80" s="15">
        <v>79.0</v>
      </c>
      <c r="B80" s="16">
        <v>1.0</v>
      </c>
      <c r="C80" s="16">
        <v>7.0</v>
      </c>
      <c r="D80" s="17" t="s">
        <v>59</v>
      </c>
      <c r="E80" s="17">
        <v>2.0</v>
      </c>
      <c r="F80" s="18"/>
      <c r="G80" s="10" t="s">
        <v>96</v>
      </c>
      <c r="H80" s="10" t="s">
        <v>97</v>
      </c>
      <c r="I80" s="12" t="s">
        <v>98</v>
      </c>
      <c r="J80" s="11" t="s">
        <v>15</v>
      </c>
      <c r="K80" s="5"/>
    </row>
    <row r="81" ht="15.75" customHeight="1">
      <c r="A81" s="15">
        <v>81.0</v>
      </c>
      <c r="B81" s="16">
        <v>1.0</v>
      </c>
      <c r="C81" s="16">
        <v>10.0</v>
      </c>
      <c r="D81" s="17" t="s">
        <v>59</v>
      </c>
      <c r="E81" s="17">
        <v>2.0</v>
      </c>
      <c r="F81" s="16"/>
      <c r="G81" s="10" t="s">
        <v>47</v>
      </c>
      <c r="H81" s="10" t="s">
        <v>48</v>
      </c>
      <c r="I81" s="12" t="s">
        <v>49</v>
      </c>
      <c r="J81" s="11" t="s">
        <v>15</v>
      </c>
      <c r="K81" s="5"/>
    </row>
    <row r="82" ht="15.75" customHeight="1">
      <c r="A82" s="15">
        <v>83.0</v>
      </c>
      <c r="B82" s="16">
        <v>1.0</v>
      </c>
      <c r="C82" s="16">
        <v>8.0</v>
      </c>
      <c r="D82" s="17" t="s">
        <v>59</v>
      </c>
      <c r="E82" s="17">
        <v>2.0</v>
      </c>
      <c r="F82" s="18"/>
      <c r="G82" s="10" t="s">
        <v>99</v>
      </c>
      <c r="H82" s="10" t="s">
        <v>100</v>
      </c>
      <c r="I82" s="12" t="s">
        <v>101</v>
      </c>
      <c r="J82" s="11" t="s">
        <v>15</v>
      </c>
      <c r="K82" s="5"/>
    </row>
    <row r="83" ht="15.75" customHeight="1">
      <c r="A83" s="15">
        <v>87.0</v>
      </c>
      <c r="B83" s="16">
        <v>4.0</v>
      </c>
      <c r="C83" s="16">
        <v>8.0</v>
      </c>
      <c r="D83" s="17" t="s">
        <v>59</v>
      </c>
      <c r="E83" s="17">
        <v>2.0</v>
      </c>
      <c r="F83" s="16"/>
      <c r="G83" s="10" t="s">
        <v>102</v>
      </c>
      <c r="H83" s="10" t="s">
        <v>103</v>
      </c>
      <c r="I83" s="12" t="s">
        <v>104</v>
      </c>
      <c r="J83" s="11" t="s">
        <v>15</v>
      </c>
      <c r="K83" s="5"/>
    </row>
    <row r="84" ht="15.75" customHeight="1">
      <c r="A84" s="15">
        <v>88.0</v>
      </c>
      <c r="B84" s="16">
        <v>3.5</v>
      </c>
      <c r="C84" s="16">
        <v>9.5</v>
      </c>
      <c r="D84" s="17" t="s">
        <v>59</v>
      </c>
      <c r="E84" s="17">
        <v>2.0</v>
      </c>
      <c r="F84" s="18"/>
      <c r="G84" s="10" t="s">
        <v>105</v>
      </c>
      <c r="H84" s="10" t="s">
        <v>106</v>
      </c>
      <c r="I84" s="12" t="s">
        <v>107</v>
      </c>
      <c r="J84" s="11" t="s">
        <v>15</v>
      </c>
      <c r="K84" s="5"/>
    </row>
    <row r="85" ht="15.75" customHeight="1">
      <c r="A85" s="19">
        <v>10.0</v>
      </c>
      <c r="B85" s="20">
        <v>6.0</v>
      </c>
      <c r="C85" s="20">
        <v>8.0</v>
      </c>
      <c r="D85" s="21" t="s">
        <v>59</v>
      </c>
      <c r="E85" s="21">
        <v>3.0</v>
      </c>
      <c r="F85" s="22"/>
      <c r="G85" s="10" t="s">
        <v>60</v>
      </c>
      <c r="H85" s="10" t="s">
        <v>61</v>
      </c>
      <c r="I85" s="12" t="s">
        <v>62</v>
      </c>
      <c r="J85" s="11" t="s">
        <v>15</v>
      </c>
      <c r="K85" s="5"/>
    </row>
    <row r="86" ht="15.75" customHeight="1">
      <c r="A86" s="19">
        <v>12.0</v>
      </c>
      <c r="B86" s="20">
        <v>5.0</v>
      </c>
      <c r="C86" s="20">
        <v>4.0</v>
      </c>
      <c r="D86" s="21" t="s">
        <v>59</v>
      </c>
      <c r="E86" s="21">
        <v>3.0</v>
      </c>
      <c r="F86" s="22"/>
      <c r="G86" s="10" t="s">
        <v>63</v>
      </c>
      <c r="H86" s="10" t="s">
        <v>64</v>
      </c>
      <c r="I86" s="12" t="s">
        <v>65</v>
      </c>
      <c r="J86" s="11" t="s">
        <v>15</v>
      </c>
      <c r="K86" s="5"/>
    </row>
    <row r="87" ht="15.75" customHeight="1">
      <c r="A87" s="19">
        <v>19.0</v>
      </c>
      <c r="B87" s="20">
        <v>5.0</v>
      </c>
      <c r="C87" s="20">
        <v>8.0</v>
      </c>
      <c r="D87" s="21" t="s">
        <v>59</v>
      </c>
      <c r="E87" s="21">
        <v>3.0</v>
      </c>
      <c r="F87" s="22"/>
      <c r="G87" s="10" t="s">
        <v>66</v>
      </c>
      <c r="H87" s="10" t="s">
        <v>67</v>
      </c>
      <c r="I87" s="12" t="s">
        <v>68</v>
      </c>
      <c r="J87" s="11" t="s">
        <v>15</v>
      </c>
      <c r="K87" s="5"/>
    </row>
    <row r="88" ht="15.75" customHeight="1">
      <c r="A88" s="19">
        <v>27.0</v>
      </c>
      <c r="B88" s="20">
        <v>9.5</v>
      </c>
      <c r="C88" s="20">
        <v>9.0</v>
      </c>
      <c r="D88" s="21" t="s">
        <v>59</v>
      </c>
      <c r="E88" s="21">
        <v>3.0</v>
      </c>
      <c r="F88" s="22"/>
      <c r="G88" s="10" t="s">
        <v>69</v>
      </c>
      <c r="H88" s="10" t="s">
        <v>70</v>
      </c>
      <c r="I88" s="12" t="s">
        <v>71</v>
      </c>
      <c r="J88" s="11" t="s">
        <v>15</v>
      </c>
      <c r="K88" s="5"/>
    </row>
    <row r="89" ht="15.75" customHeight="1">
      <c r="A89" s="19">
        <v>32.0</v>
      </c>
      <c r="B89" s="20">
        <v>5.0</v>
      </c>
      <c r="C89" s="20">
        <v>7.0</v>
      </c>
      <c r="D89" s="21" t="s">
        <v>59</v>
      </c>
      <c r="E89" s="21">
        <v>3.0</v>
      </c>
      <c r="F89" s="22"/>
      <c r="G89" s="10" t="s">
        <v>72</v>
      </c>
      <c r="H89" s="10" t="s">
        <v>73</v>
      </c>
      <c r="I89" s="12" t="s">
        <v>74</v>
      </c>
      <c r="J89" s="11" t="s">
        <v>15</v>
      </c>
      <c r="K89" s="5"/>
    </row>
    <row r="90" ht="15.75" customHeight="1">
      <c r="A90" s="19">
        <v>36.0</v>
      </c>
      <c r="B90" s="20">
        <v>2.0</v>
      </c>
      <c r="C90" s="20">
        <v>8.0</v>
      </c>
      <c r="D90" s="21" t="s">
        <v>59</v>
      </c>
      <c r="E90" s="21">
        <v>3.0</v>
      </c>
      <c r="F90" s="20"/>
      <c r="G90" s="10" t="s">
        <v>29</v>
      </c>
      <c r="H90" s="10" t="s">
        <v>30</v>
      </c>
      <c r="I90" s="12" t="s">
        <v>31</v>
      </c>
      <c r="J90" s="11" t="s">
        <v>15</v>
      </c>
      <c r="K90" s="5"/>
    </row>
    <row r="91" ht="15.75" customHeight="1">
      <c r="A91" s="19">
        <v>39.0</v>
      </c>
      <c r="B91" s="20">
        <v>3.0</v>
      </c>
      <c r="C91" s="20">
        <v>5.0</v>
      </c>
      <c r="D91" s="21" t="s">
        <v>59</v>
      </c>
      <c r="E91" s="21">
        <v>3.0</v>
      </c>
      <c r="F91" s="22"/>
      <c r="G91" s="10" t="s">
        <v>75</v>
      </c>
      <c r="H91" s="10" t="s">
        <v>76</v>
      </c>
      <c r="I91" s="12" t="s">
        <v>77</v>
      </c>
      <c r="J91" s="11" t="s">
        <v>15</v>
      </c>
      <c r="K91" s="5"/>
    </row>
    <row r="92" ht="15.75" customHeight="1">
      <c r="A92" s="19">
        <v>41.0</v>
      </c>
      <c r="B92" s="20">
        <v>6.0</v>
      </c>
      <c r="C92" s="20">
        <v>9.5</v>
      </c>
      <c r="D92" s="21" t="s">
        <v>59</v>
      </c>
      <c r="E92" s="21">
        <v>3.0</v>
      </c>
      <c r="F92" s="22"/>
      <c r="G92" s="10" t="s">
        <v>32</v>
      </c>
      <c r="H92" s="10" t="s">
        <v>33</v>
      </c>
      <c r="I92" s="12" t="s">
        <v>34</v>
      </c>
      <c r="J92" s="11" t="s">
        <v>15</v>
      </c>
      <c r="K92" s="5"/>
    </row>
    <row r="93" ht="15.75" customHeight="1">
      <c r="A93" s="19">
        <v>47.0</v>
      </c>
      <c r="B93" s="20">
        <v>2.5</v>
      </c>
      <c r="C93" s="20">
        <v>7.0</v>
      </c>
      <c r="D93" s="21" t="s">
        <v>59</v>
      </c>
      <c r="E93" s="21">
        <v>3.0</v>
      </c>
      <c r="F93" s="22"/>
      <c r="G93" s="10" t="s">
        <v>78</v>
      </c>
      <c r="H93" s="10" t="s">
        <v>79</v>
      </c>
      <c r="I93" s="12" t="s">
        <v>80</v>
      </c>
      <c r="J93" s="11" t="s">
        <v>15</v>
      </c>
      <c r="K93" s="5"/>
    </row>
    <row r="94" ht="15.75" customHeight="1">
      <c r="A94" s="19">
        <v>50.0</v>
      </c>
      <c r="B94" s="20">
        <v>4.0</v>
      </c>
      <c r="C94" s="20">
        <v>7.0</v>
      </c>
      <c r="D94" s="21" t="s">
        <v>59</v>
      </c>
      <c r="E94" s="21">
        <v>3.0</v>
      </c>
      <c r="F94" s="22"/>
      <c r="G94" s="10" t="s">
        <v>81</v>
      </c>
      <c r="H94" s="10" t="s">
        <v>82</v>
      </c>
      <c r="I94" s="12" t="s">
        <v>83</v>
      </c>
      <c r="J94" s="11" t="s">
        <v>15</v>
      </c>
      <c r="K94" s="5"/>
    </row>
    <row r="95" ht="15.75" customHeight="1">
      <c r="A95" s="19">
        <v>60.0</v>
      </c>
      <c r="B95" s="20">
        <v>8.0</v>
      </c>
      <c r="C95" s="20">
        <v>9.0</v>
      </c>
      <c r="D95" s="21" t="s">
        <v>59</v>
      </c>
      <c r="E95" s="21">
        <v>3.0</v>
      </c>
      <c r="F95" s="22"/>
      <c r="G95" s="10" t="s">
        <v>84</v>
      </c>
      <c r="H95" s="10" t="s">
        <v>85</v>
      </c>
      <c r="I95" s="12" t="s">
        <v>86</v>
      </c>
      <c r="J95" s="11" t="s">
        <v>15</v>
      </c>
      <c r="K95" s="5"/>
    </row>
    <row r="96" ht="15.75" customHeight="1">
      <c r="A96" s="24"/>
      <c r="B96" s="20"/>
      <c r="C96" s="20"/>
      <c r="D96" s="21" t="s">
        <v>59</v>
      </c>
      <c r="E96" s="21">
        <v>3.0</v>
      </c>
      <c r="F96" s="25" t="s">
        <v>109</v>
      </c>
      <c r="G96" s="10"/>
      <c r="H96" s="10"/>
      <c r="I96" s="12"/>
      <c r="J96" s="11"/>
      <c r="K96" s="5"/>
    </row>
    <row r="97" ht="15.75" customHeight="1">
      <c r="A97" s="19">
        <v>68.0</v>
      </c>
      <c r="B97" s="20">
        <v>6.0</v>
      </c>
      <c r="C97" s="20">
        <v>7.0</v>
      </c>
      <c r="D97" s="21" t="s">
        <v>59</v>
      </c>
      <c r="E97" s="21">
        <v>3.0</v>
      </c>
      <c r="F97" s="22"/>
      <c r="G97" s="10" t="s">
        <v>90</v>
      </c>
      <c r="H97" s="10" t="s">
        <v>91</v>
      </c>
      <c r="I97" s="12" t="s">
        <v>92</v>
      </c>
      <c r="J97" s="11" t="s">
        <v>15</v>
      </c>
      <c r="K97" s="5"/>
    </row>
    <row r="98" ht="15.75" customHeight="1">
      <c r="A98" s="19">
        <v>70.0</v>
      </c>
      <c r="B98" s="20">
        <v>7.5</v>
      </c>
      <c r="C98" s="20">
        <v>8.0</v>
      </c>
      <c r="D98" s="21" t="s">
        <v>59</v>
      </c>
      <c r="E98" s="21">
        <v>3.0</v>
      </c>
      <c r="F98" s="22"/>
      <c r="G98" s="10" t="s">
        <v>93</v>
      </c>
      <c r="H98" s="10" t="s">
        <v>94</v>
      </c>
      <c r="I98" s="12" t="s">
        <v>95</v>
      </c>
      <c r="J98" s="11" t="s">
        <v>15</v>
      </c>
      <c r="K98" s="5"/>
    </row>
    <row r="99" ht="15.75" customHeight="1">
      <c r="A99" s="19">
        <v>79.0</v>
      </c>
      <c r="B99" s="20">
        <v>5.5</v>
      </c>
      <c r="C99" s="20">
        <v>5.5</v>
      </c>
      <c r="D99" s="21" t="s">
        <v>59</v>
      </c>
      <c r="E99" s="21">
        <v>3.0</v>
      </c>
      <c r="F99" s="22"/>
      <c r="G99" s="10" t="s">
        <v>96</v>
      </c>
      <c r="H99" s="10" t="s">
        <v>97</v>
      </c>
      <c r="I99" s="12" t="s">
        <v>98</v>
      </c>
      <c r="J99" s="11" t="s">
        <v>15</v>
      </c>
      <c r="K99" s="5"/>
    </row>
    <row r="100" ht="15.75" customHeight="1">
      <c r="A100" s="19">
        <v>81.0</v>
      </c>
      <c r="B100" s="20">
        <v>1.0</v>
      </c>
      <c r="C100" s="20">
        <v>8.0</v>
      </c>
      <c r="D100" s="21" t="s">
        <v>59</v>
      </c>
      <c r="E100" s="21">
        <v>3.0</v>
      </c>
      <c r="F100" s="22"/>
      <c r="G100" s="10" t="s">
        <v>47</v>
      </c>
      <c r="H100" s="10" t="s">
        <v>48</v>
      </c>
      <c r="I100" s="12" t="s">
        <v>49</v>
      </c>
      <c r="J100" s="11" t="s">
        <v>15</v>
      </c>
      <c r="K100" s="5"/>
    </row>
    <row r="101" ht="15.75" customHeight="1">
      <c r="A101" s="19">
        <v>83.0</v>
      </c>
      <c r="B101" s="20">
        <v>1.0</v>
      </c>
      <c r="C101" s="20">
        <v>9.5</v>
      </c>
      <c r="D101" s="21" t="s">
        <v>59</v>
      </c>
      <c r="E101" s="21">
        <v>3.0</v>
      </c>
      <c r="F101" s="22"/>
      <c r="G101" s="10" t="s">
        <v>99</v>
      </c>
      <c r="H101" s="10" t="s">
        <v>100</v>
      </c>
      <c r="I101" s="12" t="s">
        <v>101</v>
      </c>
      <c r="J101" s="11" t="s">
        <v>15</v>
      </c>
      <c r="K101" s="5"/>
    </row>
    <row r="102" ht="15.75" customHeight="1">
      <c r="A102" s="19">
        <v>87.0</v>
      </c>
      <c r="B102" s="20">
        <v>3.5</v>
      </c>
      <c r="C102" s="20">
        <v>8.0</v>
      </c>
      <c r="D102" s="21" t="s">
        <v>59</v>
      </c>
      <c r="E102" s="21">
        <v>3.0</v>
      </c>
      <c r="F102" s="22"/>
      <c r="G102" s="10" t="s">
        <v>102</v>
      </c>
      <c r="H102" s="10" t="s">
        <v>103</v>
      </c>
      <c r="I102" s="12" t="s">
        <v>104</v>
      </c>
      <c r="J102" s="11" t="s">
        <v>15</v>
      </c>
      <c r="K102" s="5"/>
    </row>
    <row r="103" ht="15.75" customHeight="1">
      <c r="A103" s="19">
        <v>88.0</v>
      </c>
      <c r="B103" s="20">
        <v>3.5</v>
      </c>
      <c r="C103" s="20">
        <v>9.5</v>
      </c>
      <c r="D103" s="21" t="s">
        <v>59</v>
      </c>
      <c r="E103" s="21">
        <v>3.0</v>
      </c>
      <c r="F103" s="20"/>
      <c r="G103" s="10" t="s">
        <v>105</v>
      </c>
      <c r="H103" s="10" t="s">
        <v>106</v>
      </c>
      <c r="I103" s="12" t="s">
        <v>107</v>
      </c>
      <c r="J103" s="11" t="s">
        <v>15</v>
      </c>
      <c r="K103" s="5"/>
    </row>
    <row r="104" ht="15.75" customHeight="1">
      <c r="A104" s="6">
        <v>9.0</v>
      </c>
      <c r="B104" s="7">
        <v>8.5</v>
      </c>
      <c r="C104" s="7">
        <v>4.0</v>
      </c>
      <c r="D104" s="8" t="s">
        <v>110</v>
      </c>
      <c r="E104" s="8">
        <v>1.0</v>
      </c>
      <c r="F104" s="13"/>
      <c r="G104" s="10" t="s">
        <v>111</v>
      </c>
      <c r="H104" s="10" t="s">
        <v>112</v>
      </c>
      <c r="I104" s="12" t="s">
        <v>113</v>
      </c>
      <c r="J104" s="11" t="s">
        <v>15</v>
      </c>
      <c r="K104" s="5"/>
    </row>
    <row r="105" ht="15.75" customHeight="1">
      <c r="A105" s="6">
        <v>22.0</v>
      </c>
      <c r="B105" s="7">
        <v>9.5</v>
      </c>
      <c r="C105" s="7">
        <v>5.0</v>
      </c>
      <c r="D105" s="8" t="s">
        <v>110</v>
      </c>
      <c r="E105" s="8">
        <v>1.0</v>
      </c>
      <c r="F105" s="13"/>
      <c r="G105" s="10" t="s">
        <v>114</v>
      </c>
      <c r="H105" s="10" t="s">
        <v>115</v>
      </c>
      <c r="I105" s="12" t="s">
        <v>116</v>
      </c>
      <c r="J105" s="11" t="s">
        <v>15</v>
      </c>
      <c r="K105" s="5"/>
    </row>
    <row r="106" ht="15.75" customHeight="1">
      <c r="A106" s="6">
        <v>26.0</v>
      </c>
      <c r="B106" s="7">
        <v>3.0</v>
      </c>
      <c r="C106" s="7">
        <v>6.0</v>
      </c>
      <c r="D106" s="8" t="s">
        <v>110</v>
      </c>
      <c r="E106" s="8">
        <v>1.0</v>
      </c>
      <c r="F106" s="13"/>
      <c r="G106" s="10" t="s">
        <v>117</v>
      </c>
      <c r="H106" s="10" t="s">
        <v>118</v>
      </c>
      <c r="I106" s="12" t="s">
        <v>119</v>
      </c>
      <c r="J106" s="11" t="s">
        <v>15</v>
      </c>
      <c r="K106" s="5"/>
    </row>
    <row r="107" ht="15.75" customHeight="1">
      <c r="A107" s="6">
        <v>27.0</v>
      </c>
      <c r="B107" s="7">
        <v>8.0</v>
      </c>
      <c r="C107" s="7">
        <v>5.0</v>
      </c>
      <c r="D107" s="8" t="s">
        <v>110</v>
      </c>
      <c r="E107" s="8">
        <v>1.0</v>
      </c>
      <c r="F107" s="13"/>
      <c r="G107" s="10" t="s">
        <v>69</v>
      </c>
      <c r="H107" s="10" t="s">
        <v>70</v>
      </c>
      <c r="I107" s="12" t="s">
        <v>71</v>
      </c>
      <c r="J107" s="11" t="s">
        <v>15</v>
      </c>
      <c r="K107" s="5"/>
    </row>
    <row r="108" ht="15.75" customHeight="1">
      <c r="A108" s="6">
        <v>34.0</v>
      </c>
      <c r="B108" s="7">
        <v>4.0</v>
      </c>
      <c r="C108" s="7">
        <v>4.0</v>
      </c>
      <c r="D108" s="8" t="s">
        <v>110</v>
      </c>
      <c r="E108" s="8">
        <v>1.0</v>
      </c>
      <c r="F108" s="13"/>
      <c r="G108" s="10" t="s">
        <v>120</v>
      </c>
      <c r="H108" s="10" t="s">
        <v>121</v>
      </c>
      <c r="I108" s="12" t="s">
        <v>122</v>
      </c>
      <c r="J108" s="11" t="s">
        <v>15</v>
      </c>
      <c r="K108" s="5"/>
    </row>
    <row r="109" ht="15.75" customHeight="1">
      <c r="A109" s="6">
        <v>40.0</v>
      </c>
      <c r="B109" s="7">
        <v>9.5</v>
      </c>
      <c r="C109" s="7">
        <v>7.0</v>
      </c>
      <c r="D109" s="8" t="s">
        <v>110</v>
      </c>
      <c r="E109" s="8">
        <v>1.0</v>
      </c>
      <c r="F109" s="13"/>
      <c r="G109" s="10" t="s">
        <v>123</v>
      </c>
      <c r="H109" s="10" t="s">
        <v>124</v>
      </c>
      <c r="I109" s="12" t="s">
        <v>125</v>
      </c>
      <c r="J109" s="11" t="s">
        <v>15</v>
      </c>
      <c r="K109" s="5"/>
    </row>
    <row r="110" ht="15.75" customHeight="1">
      <c r="A110" s="6">
        <v>47.0</v>
      </c>
      <c r="B110" s="7">
        <v>6.0</v>
      </c>
      <c r="C110" s="7">
        <v>3.0</v>
      </c>
      <c r="D110" s="8" t="s">
        <v>110</v>
      </c>
      <c r="E110" s="8">
        <v>1.0</v>
      </c>
      <c r="F110" s="13"/>
      <c r="G110" s="10" t="s">
        <v>78</v>
      </c>
      <c r="H110" s="10" t="s">
        <v>79</v>
      </c>
      <c r="I110" s="12" t="s">
        <v>80</v>
      </c>
      <c r="J110" s="11" t="s">
        <v>15</v>
      </c>
      <c r="K110" s="5"/>
    </row>
    <row r="111" ht="15.75" customHeight="1">
      <c r="A111" s="6">
        <v>49.0</v>
      </c>
      <c r="B111" s="7">
        <v>8.0</v>
      </c>
      <c r="C111" s="7">
        <v>8.0</v>
      </c>
      <c r="D111" s="8" t="s">
        <v>110</v>
      </c>
      <c r="E111" s="8">
        <v>1.0</v>
      </c>
      <c r="F111" s="13"/>
      <c r="G111" s="10" t="s">
        <v>38</v>
      </c>
      <c r="H111" s="10" t="s">
        <v>39</v>
      </c>
      <c r="I111" s="12" t="s">
        <v>40</v>
      </c>
      <c r="J111" s="11" t="s">
        <v>15</v>
      </c>
      <c r="K111" s="5"/>
    </row>
    <row r="112" ht="15.75" customHeight="1">
      <c r="A112" s="6">
        <v>50.0</v>
      </c>
      <c r="B112" s="7">
        <v>4.0</v>
      </c>
      <c r="C112" s="7">
        <v>5.0</v>
      </c>
      <c r="D112" s="8" t="s">
        <v>110</v>
      </c>
      <c r="E112" s="8">
        <v>1.0</v>
      </c>
      <c r="F112" s="13"/>
      <c r="G112" s="10" t="s">
        <v>81</v>
      </c>
      <c r="H112" s="10" t="s">
        <v>82</v>
      </c>
      <c r="I112" s="12" t="s">
        <v>83</v>
      </c>
      <c r="J112" s="11" t="s">
        <v>15</v>
      </c>
      <c r="K112" s="5"/>
    </row>
    <row r="113" ht="15.75" customHeight="1">
      <c r="A113" s="6">
        <v>56.0</v>
      </c>
      <c r="B113" s="7">
        <v>8.0</v>
      </c>
      <c r="C113" s="7">
        <v>7.0</v>
      </c>
      <c r="D113" s="8" t="s">
        <v>110</v>
      </c>
      <c r="E113" s="8">
        <v>1.0</v>
      </c>
      <c r="F113" s="13"/>
      <c r="G113" s="10" t="s">
        <v>126</v>
      </c>
      <c r="H113" s="10" t="s">
        <v>127</v>
      </c>
      <c r="I113" s="12" t="s">
        <v>128</v>
      </c>
      <c r="J113" s="11" t="s">
        <v>15</v>
      </c>
      <c r="K113" s="5"/>
    </row>
    <row r="114" ht="15.75" customHeight="1">
      <c r="A114" s="6">
        <v>59.0</v>
      </c>
      <c r="B114" s="7">
        <v>3.0</v>
      </c>
      <c r="C114" s="7">
        <v>4.0</v>
      </c>
      <c r="D114" s="8" t="s">
        <v>110</v>
      </c>
      <c r="E114" s="8">
        <v>1.0</v>
      </c>
      <c r="F114" s="13"/>
      <c r="G114" s="10" t="s">
        <v>129</v>
      </c>
      <c r="H114" s="10" t="s">
        <v>130</v>
      </c>
      <c r="I114" s="12" t="s">
        <v>131</v>
      </c>
      <c r="J114" s="11" t="s">
        <v>15</v>
      </c>
      <c r="K114" s="5"/>
    </row>
    <row r="115" ht="15.75" customHeight="1">
      <c r="A115" s="6">
        <v>72.0</v>
      </c>
      <c r="B115" s="7">
        <v>3.0</v>
      </c>
      <c r="C115" s="7">
        <v>4.5</v>
      </c>
      <c r="D115" s="8" t="s">
        <v>110</v>
      </c>
      <c r="E115" s="8">
        <v>1.0</v>
      </c>
      <c r="F115" s="13"/>
      <c r="G115" s="10" t="s">
        <v>132</v>
      </c>
      <c r="H115" s="10" t="s">
        <v>133</v>
      </c>
      <c r="I115" s="12" t="s">
        <v>134</v>
      </c>
      <c r="J115" s="11" t="s">
        <v>15</v>
      </c>
      <c r="K115" s="5"/>
    </row>
    <row r="116" ht="15.75" customHeight="1">
      <c r="A116" s="6">
        <v>81.0</v>
      </c>
      <c r="B116" s="7">
        <v>4.5</v>
      </c>
      <c r="C116" s="7">
        <v>6.5</v>
      </c>
      <c r="D116" s="8" t="s">
        <v>110</v>
      </c>
      <c r="E116" s="8">
        <v>1.0</v>
      </c>
      <c r="F116" s="13"/>
      <c r="G116" s="10" t="s">
        <v>47</v>
      </c>
      <c r="H116" s="10" t="s">
        <v>48</v>
      </c>
      <c r="I116" s="12" t="s">
        <v>49</v>
      </c>
      <c r="J116" s="11" t="s">
        <v>15</v>
      </c>
      <c r="K116" s="5"/>
    </row>
    <row r="117" ht="15.75" customHeight="1">
      <c r="A117" s="6">
        <v>84.0</v>
      </c>
      <c r="B117" s="7">
        <v>4.0</v>
      </c>
      <c r="C117" s="7">
        <v>6.5</v>
      </c>
      <c r="D117" s="8" t="s">
        <v>110</v>
      </c>
      <c r="E117" s="8">
        <v>1.0</v>
      </c>
      <c r="F117" s="13"/>
      <c r="G117" s="10" t="s">
        <v>50</v>
      </c>
      <c r="H117" s="10" t="s">
        <v>51</v>
      </c>
      <c r="I117" s="12" t="s">
        <v>52</v>
      </c>
      <c r="J117" s="11" t="s">
        <v>15</v>
      </c>
      <c r="K117" s="5"/>
    </row>
    <row r="118" ht="15.75" customHeight="1">
      <c r="A118" s="6">
        <v>85.0</v>
      </c>
      <c r="B118" s="7">
        <v>7.0</v>
      </c>
      <c r="C118" s="7">
        <v>5.0</v>
      </c>
      <c r="D118" s="8" t="s">
        <v>110</v>
      </c>
      <c r="E118" s="8">
        <v>1.0</v>
      </c>
      <c r="F118" s="13"/>
      <c r="G118" s="10" t="s">
        <v>53</v>
      </c>
      <c r="H118" s="10" t="s">
        <v>54</v>
      </c>
      <c r="I118" s="12" t="s">
        <v>55</v>
      </c>
      <c r="J118" s="11" t="s">
        <v>15</v>
      </c>
      <c r="K118" s="5"/>
    </row>
    <row r="119" ht="15.75" customHeight="1">
      <c r="A119" s="6">
        <v>87.0</v>
      </c>
      <c r="B119" s="7">
        <v>6.0</v>
      </c>
      <c r="C119" s="7">
        <v>5.0</v>
      </c>
      <c r="D119" s="8" t="s">
        <v>110</v>
      </c>
      <c r="E119" s="8">
        <v>1.0</v>
      </c>
      <c r="F119" s="13"/>
      <c r="G119" s="10" t="s">
        <v>102</v>
      </c>
      <c r="H119" s="10" t="s">
        <v>103</v>
      </c>
      <c r="I119" s="12" t="s">
        <v>104</v>
      </c>
      <c r="J119" s="11" t="s">
        <v>15</v>
      </c>
      <c r="K119" s="5"/>
    </row>
    <row r="120" ht="15.75" customHeight="1">
      <c r="A120" s="26">
        <v>9.0</v>
      </c>
      <c r="B120" s="27">
        <v>10.0</v>
      </c>
      <c r="C120" s="27">
        <v>6.0</v>
      </c>
      <c r="D120" s="17" t="s">
        <v>110</v>
      </c>
      <c r="E120" s="17">
        <v>2.0</v>
      </c>
      <c r="F120" s="23" t="s">
        <v>135</v>
      </c>
      <c r="G120" s="10" t="s">
        <v>111</v>
      </c>
      <c r="H120" s="10" t="s">
        <v>112</v>
      </c>
      <c r="I120" s="12" t="s">
        <v>113</v>
      </c>
      <c r="J120" s="11" t="s">
        <v>15</v>
      </c>
      <c r="K120" s="5"/>
    </row>
    <row r="121" ht="15.75" customHeight="1">
      <c r="A121" s="26">
        <v>22.0</v>
      </c>
      <c r="B121" s="27">
        <v>9.5</v>
      </c>
      <c r="C121" s="27">
        <v>5.0</v>
      </c>
      <c r="D121" s="17" t="s">
        <v>110</v>
      </c>
      <c r="E121" s="17">
        <v>2.0</v>
      </c>
      <c r="F121" s="18"/>
      <c r="G121" s="10" t="s">
        <v>114</v>
      </c>
      <c r="H121" s="10" t="s">
        <v>115</v>
      </c>
      <c r="I121" s="12" t="s">
        <v>116</v>
      </c>
      <c r="J121" s="11" t="s">
        <v>15</v>
      </c>
      <c r="K121" s="5"/>
    </row>
    <row r="122" ht="15.75" customHeight="1">
      <c r="A122" s="26">
        <v>26.0</v>
      </c>
      <c r="B122" s="27">
        <v>3.0</v>
      </c>
      <c r="C122" s="27">
        <v>6.0</v>
      </c>
      <c r="D122" s="17" t="s">
        <v>110</v>
      </c>
      <c r="E122" s="17">
        <v>2.0</v>
      </c>
      <c r="F122" s="18"/>
      <c r="G122" s="10" t="s">
        <v>117</v>
      </c>
      <c r="H122" s="10" t="s">
        <v>118</v>
      </c>
      <c r="I122" s="12" t="s">
        <v>119</v>
      </c>
      <c r="J122" s="11" t="s">
        <v>15</v>
      </c>
      <c r="K122" s="5"/>
    </row>
    <row r="123" ht="15.75" customHeight="1">
      <c r="A123" s="26">
        <v>27.0</v>
      </c>
      <c r="B123" s="27">
        <v>8.0</v>
      </c>
      <c r="C123" s="27">
        <v>5.0</v>
      </c>
      <c r="D123" s="17" t="s">
        <v>110</v>
      </c>
      <c r="E123" s="17">
        <v>2.0</v>
      </c>
      <c r="F123" s="18"/>
      <c r="G123" s="10" t="s">
        <v>69</v>
      </c>
      <c r="H123" s="10" t="s">
        <v>70</v>
      </c>
      <c r="I123" s="12" t="s">
        <v>71</v>
      </c>
      <c r="J123" s="11" t="s">
        <v>15</v>
      </c>
      <c r="K123" s="5"/>
    </row>
    <row r="124" ht="15.75" customHeight="1">
      <c r="A124" s="26">
        <v>34.0</v>
      </c>
      <c r="B124" s="27">
        <v>4.0</v>
      </c>
      <c r="C124" s="27">
        <v>4.0</v>
      </c>
      <c r="D124" s="17" t="s">
        <v>110</v>
      </c>
      <c r="E124" s="17">
        <v>2.0</v>
      </c>
      <c r="F124" s="18"/>
      <c r="G124" s="10" t="s">
        <v>120</v>
      </c>
      <c r="H124" s="10" t="s">
        <v>121</v>
      </c>
      <c r="I124" s="12" t="s">
        <v>122</v>
      </c>
      <c r="J124" s="11" t="s">
        <v>15</v>
      </c>
      <c r="K124" s="5"/>
    </row>
    <row r="125" ht="15.75" customHeight="1">
      <c r="A125" s="26">
        <v>40.0</v>
      </c>
      <c r="B125" s="27">
        <v>9.5</v>
      </c>
      <c r="C125" s="27">
        <v>7.0</v>
      </c>
      <c r="D125" s="17" t="s">
        <v>110</v>
      </c>
      <c r="E125" s="17">
        <v>2.0</v>
      </c>
      <c r="F125" s="18"/>
      <c r="G125" s="10" t="s">
        <v>123</v>
      </c>
      <c r="H125" s="10" t="s">
        <v>124</v>
      </c>
      <c r="I125" s="12" t="s">
        <v>125</v>
      </c>
      <c r="J125" s="11" t="s">
        <v>15</v>
      </c>
      <c r="K125" s="5"/>
    </row>
    <row r="126" ht="15.75" customHeight="1">
      <c r="A126" s="26">
        <v>47.0</v>
      </c>
      <c r="B126" s="27">
        <v>6.0</v>
      </c>
      <c r="C126" s="27">
        <v>3.0</v>
      </c>
      <c r="D126" s="17" t="s">
        <v>110</v>
      </c>
      <c r="E126" s="17">
        <v>2.0</v>
      </c>
      <c r="F126" s="18"/>
      <c r="G126" s="10" t="s">
        <v>78</v>
      </c>
      <c r="H126" s="10" t="s">
        <v>79</v>
      </c>
      <c r="I126" s="12" t="s">
        <v>80</v>
      </c>
      <c r="J126" s="11" t="s">
        <v>15</v>
      </c>
      <c r="K126" s="5"/>
    </row>
    <row r="127" ht="15.75" customHeight="1">
      <c r="A127" s="26">
        <v>49.0</v>
      </c>
      <c r="B127" s="27">
        <v>8.0</v>
      </c>
      <c r="C127" s="27">
        <v>8.0</v>
      </c>
      <c r="D127" s="17" t="s">
        <v>110</v>
      </c>
      <c r="E127" s="17">
        <v>2.0</v>
      </c>
      <c r="F127" s="18"/>
      <c r="G127" s="10" t="s">
        <v>38</v>
      </c>
      <c r="H127" s="10" t="s">
        <v>39</v>
      </c>
      <c r="I127" s="12" t="s">
        <v>40</v>
      </c>
      <c r="J127" s="11" t="s">
        <v>15</v>
      </c>
      <c r="K127" s="5"/>
    </row>
    <row r="128" ht="15.75" customHeight="1">
      <c r="A128" s="26">
        <v>50.0</v>
      </c>
      <c r="B128" s="27">
        <v>4.0</v>
      </c>
      <c r="C128" s="27">
        <v>5.0</v>
      </c>
      <c r="D128" s="17" t="s">
        <v>110</v>
      </c>
      <c r="E128" s="17">
        <v>2.0</v>
      </c>
      <c r="F128" s="18"/>
      <c r="G128" s="10" t="s">
        <v>81</v>
      </c>
      <c r="H128" s="10" t="s">
        <v>82</v>
      </c>
      <c r="I128" s="12" t="s">
        <v>83</v>
      </c>
      <c r="J128" s="11" t="s">
        <v>15</v>
      </c>
      <c r="K128" s="5"/>
    </row>
    <row r="129" ht="15.75" customHeight="1">
      <c r="A129" s="26">
        <v>56.0</v>
      </c>
      <c r="B129" s="27">
        <v>8.0</v>
      </c>
      <c r="C129" s="27">
        <v>7.0</v>
      </c>
      <c r="D129" s="17" t="s">
        <v>110</v>
      </c>
      <c r="E129" s="17">
        <v>2.0</v>
      </c>
      <c r="F129" s="18"/>
      <c r="G129" s="10" t="s">
        <v>126</v>
      </c>
      <c r="H129" s="10" t="s">
        <v>127</v>
      </c>
      <c r="I129" s="12" t="s">
        <v>128</v>
      </c>
      <c r="J129" s="11" t="s">
        <v>15</v>
      </c>
      <c r="K129" s="5"/>
    </row>
    <row r="130" ht="15.75" customHeight="1">
      <c r="A130" s="26">
        <v>59.0</v>
      </c>
      <c r="B130" s="27">
        <v>3.0</v>
      </c>
      <c r="C130" s="27">
        <v>4.0</v>
      </c>
      <c r="D130" s="17" t="s">
        <v>110</v>
      </c>
      <c r="E130" s="17">
        <v>2.0</v>
      </c>
      <c r="F130" s="18"/>
      <c r="G130" s="10" t="s">
        <v>129</v>
      </c>
      <c r="H130" s="10" t="s">
        <v>130</v>
      </c>
      <c r="I130" s="12" t="s">
        <v>131</v>
      </c>
      <c r="J130" s="11" t="s">
        <v>15</v>
      </c>
      <c r="K130" s="5"/>
    </row>
    <row r="131" ht="15.75" customHeight="1">
      <c r="A131" s="26">
        <v>72.0</v>
      </c>
      <c r="B131" s="27">
        <v>3.0</v>
      </c>
      <c r="C131" s="27">
        <v>4.5</v>
      </c>
      <c r="D131" s="17" t="s">
        <v>110</v>
      </c>
      <c r="E131" s="17">
        <v>2.0</v>
      </c>
      <c r="F131" s="18"/>
      <c r="G131" s="10" t="s">
        <v>132</v>
      </c>
      <c r="H131" s="10" t="s">
        <v>133</v>
      </c>
      <c r="I131" s="12" t="s">
        <v>134</v>
      </c>
      <c r="J131" s="11" t="s">
        <v>15</v>
      </c>
      <c r="K131" s="5"/>
    </row>
    <row r="132" ht="15.75" customHeight="1">
      <c r="A132" s="26">
        <v>81.0</v>
      </c>
      <c r="B132" s="27">
        <v>4.5</v>
      </c>
      <c r="C132" s="27">
        <v>6.5</v>
      </c>
      <c r="D132" s="17" t="s">
        <v>110</v>
      </c>
      <c r="E132" s="17">
        <v>2.0</v>
      </c>
      <c r="F132" s="18"/>
      <c r="G132" s="10" t="s">
        <v>47</v>
      </c>
      <c r="H132" s="10" t="s">
        <v>48</v>
      </c>
      <c r="I132" s="12" t="s">
        <v>49</v>
      </c>
      <c r="J132" s="11" t="s">
        <v>15</v>
      </c>
      <c r="K132" s="5"/>
    </row>
    <row r="133" ht="15.75" customHeight="1">
      <c r="A133" s="26">
        <v>84.0</v>
      </c>
      <c r="B133" s="27">
        <v>4.0</v>
      </c>
      <c r="C133" s="27">
        <v>6.5</v>
      </c>
      <c r="D133" s="17" t="s">
        <v>110</v>
      </c>
      <c r="E133" s="17">
        <v>2.0</v>
      </c>
      <c r="F133" s="18"/>
      <c r="G133" s="10" t="s">
        <v>50</v>
      </c>
      <c r="H133" s="10" t="s">
        <v>51</v>
      </c>
      <c r="I133" s="12" t="s">
        <v>52</v>
      </c>
      <c r="J133" s="11" t="s">
        <v>15</v>
      </c>
      <c r="K133" s="5"/>
    </row>
    <row r="134" ht="15.75" customHeight="1">
      <c r="A134" s="26">
        <v>85.0</v>
      </c>
      <c r="B134" s="27">
        <v>7.0</v>
      </c>
      <c r="C134" s="27">
        <v>5.0</v>
      </c>
      <c r="D134" s="17" t="s">
        <v>110</v>
      </c>
      <c r="E134" s="17">
        <v>2.0</v>
      </c>
      <c r="F134" s="18"/>
      <c r="G134" s="10" t="s">
        <v>53</v>
      </c>
      <c r="H134" s="10" t="s">
        <v>54</v>
      </c>
      <c r="I134" s="12" t="s">
        <v>55</v>
      </c>
      <c r="J134" s="11" t="s">
        <v>15</v>
      </c>
      <c r="K134" s="5"/>
    </row>
    <row r="135" ht="15.75" customHeight="1">
      <c r="A135" s="26">
        <v>87.0</v>
      </c>
      <c r="B135" s="27">
        <v>6.0</v>
      </c>
      <c r="C135" s="27">
        <v>5.0</v>
      </c>
      <c r="D135" s="17" t="s">
        <v>110</v>
      </c>
      <c r="E135" s="17">
        <v>2.0</v>
      </c>
      <c r="F135" s="18"/>
      <c r="G135" s="10" t="s">
        <v>102</v>
      </c>
      <c r="H135" s="10" t="s">
        <v>103</v>
      </c>
      <c r="I135" s="12" t="s">
        <v>104</v>
      </c>
      <c r="J135" s="11" t="s">
        <v>15</v>
      </c>
      <c r="K135" s="5"/>
    </row>
    <row r="136" ht="15.75" customHeight="1">
      <c r="A136" s="19"/>
      <c r="B136" s="20"/>
      <c r="C136" s="20"/>
      <c r="D136" s="21" t="s">
        <v>110</v>
      </c>
      <c r="E136" s="21">
        <v>3.0</v>
      </c>
      <c r="F136" s="22" t="s">
        <v>136</v>
      </c>
      <c r="G136" s="5"/>
      <c r="H136" s="5"/>
      <c r="I136" s="5"/>
      <c r="J136" s="5"/>
      <c r="K136" s="5"/>
    </row>
    <row r="137" ht="15.75" customHeight="1">
      <c r="A137" s="19"/>
      <c r="B137" s="20"/>
      <c r="C137" s="20"/>
      <c r="D137" s="21" t="s">
        <v>110</v>
      </c>
      <c r="E137" s="21">
        <v>3.0</v>
      </c>
      <c r="F137" s="22"/>
      <c r="G137" s="5"/>
      <c r="H137" s="5"/>
      <c r="I137" s="5"/>
      <c r="J137" s="5"/>
      <c r="K137" s="5"/>
    </row>
    <row r="138" ht="15.75" customHeight="1">
      <c r="A138" s="19"/>
      <c r="B138" s="20"/>
      <c r="C138" s="20"/>
      <c r="D138" s="21" t="s">
        <v>110</v>
      </c>
      <c r="E138" s="21">
        <v>3.0</v>
      </c>
      <c r="F138" s="22"/>
      <c r="G138" s="5"/>
      <c r="H138" s="5"/>
      <c r="I138" s="5"/>
      <c r="J138" s="5"/>
      <c r="K138" s="5"/>
    </row>
    <row r="139" ht="15.75" customHeight="1">
      <c r="A139" s="19"/>
      <c r="B139" s="20"/>
      <c r="C139" s="20"/>
      <c r="D139" s="21" t="s">
        <v>110</v>
      </c>
      <c r="E139" s="21">
        <v>3.0</v>
      </c>
      <c r="F139" s="22"/>
      <c r="G139" s="5"/>
      <c r="H139" s="5"/>
      <c r="I139" s="5"/>
      <c r="J139" s="5"/>
      <c r="K139" s="5"/>
    </row>
    <row r="140" ht="15.75" customHeight="1">
      <c r="A140" s="19"/>
      <c r="B140" s="20"/>
      <c r="C140" s="20"/>
      <c r="D140" s="21" t="s">
        <v>110</v>
      </c>
      <c r="E140" s="21">
        <v>3.0</v>
      </c>
      <c r="F140" s="22"/>
      <c r="G140" s="5"/>
      <c r="H140" s="5"/>
      <c r="I140" s="5"/>
      <c r="J140" s="5"/>
      <c r="K140" s="5"/>
    </row>
    <row r="141" ht="15.75" customHeight="1">
      <c r="A141" s="19"/>
      <c r="B141" s="20"/>
      <c r="C141" s="20"/>
      <c r="D141" s="21" t="s">
        <v>110</v>
      </c>
      <c r="E141" s="21">
        <v>3.0</v>
      </c>
      <c r="F141" s="22"/>
      <c r="G141" s="5"/>
      <c r="H141" s="5"/>
      <c r="I141" s="5"/>
      <c r="J141" s="5"/>
      <c r="K141" s="5"/>
    </row>
    <row r="142" ht="15.75" customHeight="1">
      <c r="A142" s="19"/>
      <c r="B142" s="20"/>
      <c r="C142" s="20"/>
      <c r="D142" s="21" t="s">
        <v>110</v>
      </c>
      <c r="E142" s="21">
        <v>3.0</v>
      </c>
      <c r="F142" s="22"/>
      <c r="G142" s="5"/>
      <c r="H142" s="5"/>
      <c r="I142" s="5"/>
      <c r="J142" s="5"/>
      <c r="K142" s="5"/>
    </row>
    <row r="143" ht="15.75" customHeight="1">
      <c r="A143" s="19"/>
      <c r="B143" s="20"/>
      <c r="C143" s="20"/>
      <c r="D143" s="21" t="s">
        <v>110</v>
      </c>
      <c r="E143" s="21">
        <v>3.0</v>
      </c>
      <c r="F143" s="22"/>
      <c r="G143" s="5"/>
      <c r="H143" s="5"/>
      <c r="I143" s="5"/>
      <c r="J143" s="5"/>
      <c r="K143" s="5"/>
    </row>
    <row r="144" ht="15.75" customHeight="1">
      <c r="A144" s="19"/>
      <c r="B144" s="20"/>
      <c r="C144" s="20"/>
      <c r="D144" s="21" t="s">
        <v>110</v>
      </c>
      <c r="E144" s="21">
        <v>3.0</v>
      </c>
      <c r="F144" s="22"/>
      <c r="G144" s="5"/>
      <c r="H144" s="5"/>
      <c r="I144" s="5"/>
      <c r="J144" s="5"/>
      <c r="K144" s="5"/>
    </row>
    <row r="145" ht="15.75" customHeight="1">
      <c r="A145" s="19"/>
      <c r="B145" s="20"/>
      <c r="C145" s="20"/>
      <c r="D145" s="21" t="s">
        <v>110</v>
      </c>
      <c r="E145" s="21">
        <v>3.0</v>
      </c>
      <c r="F145" s="22"/>
      <c r="G145" s="5"/>
      <c r="H145" s="5"/>
      <c r="I145" s="5"/>
      <c r="J145" s="5"/>
      <c r="K145" s="5"/>
    </row>
    <row r="146" ht="15.75" customHeight="1">
      <c r="A146" s="19"/>
      <c r="B146" s="20"/>
      <c r="C146" s="20"/>
      <c r="D146" s="21" t="s">
        <v>110</v>
      </c>
      <c r="E146" s="21">
        <v>3.0</v>
      </c>
      <c r="F146" s="22"/>
      <c r="G146" s="5"/>
      <c r="H146" s="5"/>
      <c r="I146" s="5"/>
      <c r="J146" s="5"/>
      <c r="K146" s="5"/>
    </row>
    <row r="147" ht="15.75" customHeight="1">
      <c r="A147" s="19"/>
      <c r="B147" s="20"/>
      <c r="C147" s="20"/>
      <c r="D147" s="21" t="s">
        <v>110</v>
      </c>
      <c r="E147" s="21">
        <v>3.0</v>
      </c>
      <c r="F147" s="22"/>
      <c r="G147" s="5"/>
      <c r="H147" s="5"/>
      <c r="I147" s="5"/>
      <c r="J147" s="5"/>
      <c r="K147" s="5"/>
    </row>
    <row r="148" ht="15.75" customHeight="1">
      <c r="A148" s="19"/>
      <c r="B148" s="20"/>
      <c r="C148" s="20"/>
      <c r="D148" s="21" t="s">
        <v>110</v>
      </c>
      <c r="E148" s="21">
        <v>3.0</v>
      </c>
      <c r="F148" s="22"/>
      <c r="G148" s="5"/>
      <c r="H148" s="5"/>
      <c r="I148" s="5"/>
      <c r="J148" s="5"/>
      <c r="K148" s="5"/>
    </row>
    <row r="149" ht="15.75" customHeight="1">
      <c r="A149" s="19"/>
      <c r="B149" s="20"/>
      <c r="C149" s="20"/>
      <c r="D149" s="21" t="s">
        <v>110</v>
      </c>
      <c r="E149" s="21">
        <v>3.0</v>
      </c>
      <c r="F149" s="22"/>
      <c r="G149" s="5"/>
      <c r="H149" s="5"/>
      <c r="I149" s="5"/>
      <c r="J149" s="5"/>
      <c r="K149" s="5"/>
    </row>
    <row r="150" ht="15.75" customHeight="1">
      <c r="A150" s="19"/>
      <c r="B150" s="20"/>
      <c r="C150" s="20"/>
      <c r="D150" s="21" t="s">
        <v>110</v>
      </c>
      <c r="E150" s="21">
        <v>3.0</v>
      </c>
      <c r="F150" s="22"/>
      <c r="G150" s="5"/>
      <c r="H150" s="5"/>
      <c r="I150" s="5"/>
      <c r="J150" s="5"/>
      <c r="K150" s="5"/>
    </row>
    <row r="151" ht="15.75" customHeight="1">
      <c r="A151" s="19"/>
      <c r="B151" s="20"/>
      <c r="C151" s="20"/>
      <c r="D151" s="21" t="s">
        <v>110</v>
      </c>
      <c r="E151" s="21">
        <v>3.0</v>
      </c>
      <c r="F151" s="22"/>
      <c r="G151" s="5"/>
      <c r="H151" s="5"/>
      <c r="I151" s="5"/>
      <c r="J151" s="5"/>
      <c r="K151" s="5"/>
    </row>
    <row r="152" ht="15.75" customHeight="1">
      <c r="A152" s="6">
        <v>3.0</v>
      </c>
      <c r="B152" s="7">
        <v>3.0</v>
      </c>
      <c r="C152" s="7">
        <v>7.0</v>
      </c>
      <c r="D152" s="8" t="s">
        <v>137</v>
      </c>
      <c r="E152" s="8">
        <v>1.0</v>
      </c>
      <c r="F152" s="13"/>
      <c r="G152" s="10" t="s">
        <v>138</v>
      </c>
      <c r="H152" s="10" t="s">
        <v>139</v>
      </c>
      <c r="I152" s="12" t="s">
        <v>140</v>
      </c>
      <c r="J152" s="11" t="s">
        <v>15</v>
      </c>
      <c r="K152" s="5"/>
    </row>
    <row r="153" ht="15.75" customHeight="1">
      <c r="A153" s="6">
        <v>6.0</v>
      </c>
      <c r="B153" s="7">
        <v>5.0</v>
      </c>
      <c r="C153" s="7">
        <v>8.5</v>
      </c>
      <c r="D153" s="8" t="s">
        <v>137</v>
      </c>
      <c r="E153" s="8">
        <v>1.0</v>
      </c>
      <c r="F153" s="13"/>
      <c r="G153" s="10" t="s">
        <v>20</v>
      </c>
      <c r="H153" s="10" t="s">
        <v>21</v>
      </c>
      <c r="I153" s="14" t="s">
        <v>22</v>
      </c>
      <c r="J153" s="11" t="s">
        <v>15</v>
      </c>
      <c r="K153" s="5"/>
    </row>
    <row r="154" ht="15.75" customHeight="1">
      <c r="A154" s="6">
        <v>9.0</v>
      </c>
      <c r="B154" s="7">
        <v>4.5</v>
      </c>
      <c r="C154" s="7">
        <v>5.0</v>
      </c>
      <c r="D154" s="8" t="s">
        <v>137</v>
      </c>
      <c r="E154" s="8">
        <v>1.0</v>
      </c>
      <c r="F154" s="13"/>
      <c r="G154" s="10" t="s">
        <v>111</v>
      </c>
      <c r="H154" s="10" t="s">
        <v>112</v>
      </c>
      <c r="I154" s="12" t="s">
        <v>113</v>
      </c>
      <c r="J154" s="11" t="s">
        <v>15</v>
      </c>
      <c r="K154" s="5"/>
    </row>
    <row r="155" ht="15.75" customHeight="1">
      <c r="A155" s="6">
        <v>12.0</v>
      </c>
      <c r="B155" s="7">
        <v>1.5</v>
      </c>
      <c r="C155" s="7">
        <v>8.0</v>
      </c>
      <c r="D155" s="8" t="s">
        <v>137</v>
      </c>
      <c r="E155" s="8">
        <v>1.0</v>
      </c>
      <c r="F155" s="13"/>
      <c r="G155" s="10" t="s">
        <v>63</v>
      </c>
      <c r="H155" s="10" t="s">
        <v>64</v>
      </c>
      <c r="I155" s="12" t="s">
        <v>65</v>
      </c>
      <c r="J155" s="11" t="s">
        <v>15</v>
      </c>
      <c r="K155" s="5"/>
    </row>
    <row r="156" ht="15.75" customHeight="1">
      <c r="A156" s="6">
        <v>16.0</v>
      </c>
      <c r="B156" s="7">
        <v>1.0</v>
      </c>
      <c r="C156" s="7">
        <v>6.0</v>
      </c>
      <c r="D156" s="8" t="s">
        <v>137</v>
      </c>
      <c r="E156" s="8">
        <v>1.0</v>
      </c>
      <c r="F156" s="13"/>
      <c r="G156" s="10" t="s">
        <v>141</v>
      </c>
      <c r="H156" s="10" t="s">
        <v>142</v>
      </c>
      <c r="I156" s="12" t="s">
        <v>143</v>
      </c>
      <c r="J156" s="11" t="s">
        <v>15</v>
      </c>
      <c r="K156" s="5"/>
    </row>
    <row r="157" ht="15.75" customHeight="1">
      <c r="A157" s="6">
        <v>25.0</v>
      </c>
      <c r="B157" s="7">
        <v>4.0</v>
      </c>
      <c r="C157" s="7">
        <v>5.0</v>
      </c>
      <c r="D157" s="8" t="s">
        <v>137</v>
      </c>
      <c r="E157" s="8">
        <v>1.0</v>
      </c>
      <c r="F157" s="13"/>
      <c r="G157" s="10" t="s">
        <v>26</v>
      </c>
      <c r="H157" s="10" t="s">
        <v>27</v>
      </c>
      <c r="I157" s="12" t="s">
        <v>28</v>
      </c>
      <c r="J157" s="11" t="s">
        <v>15</v>
      </c>
      <c r="K157" s="5"/>
    </row>
    <row r="158" ht="15.75" customHeight="1">
      <c r="A158" s="6">
        <v>33.0</v>
      </c>
      <c r="B158" s="7">
        <v>8.5</v>
      </c>
      <c r="C158" s="7">
        <v>10.0</v>
      </c>
      <c r="D158" s="8" t="s">
        <v>137</v>
      </c>
      <c r="E158" s="8">
        <v>1.0</v>
      </c>
      <c r="F158" s="13"/>
      <c r="G158" s="10" t="s">
        <v>144</v>
      </c>
      <c r="H158" s="10" t="s">
        <v>145</v>
      </c>
      <c r="I158" s="12" t="s">
        <v>146</v>
      </c>
      <c r="J158" s="11" t="s">
        <v>15</v>
      </c>
      <c r="K158" s="5"/>
    </row>
    <row r="159" ht="15.75" customHeight="1">
      <c r="A159" s="6">
        <v>36.0</v>
      </c>
      <c r="B159" s="7">
        <v>1.0</v>
      </c>
      <c r="C159" s="7">
        <v>7.5</v>
      </c>
      <c r="D159" s="8" t="s">
        <v>137</v>
      </c>
      <c r="E159" s="8">
        <v>1.0</v>
      </c>
      <c r="F159" s="13"/>
      <c r="G159" s="10" t="s">
        <v>29</v>
      </c>
      <c r="H159" s="10" t="s">
        <v>30</v>
      </c>
      <c r="I159" s="12" t="s">
        <v>31</v>
      </c>
      <c r="J159" s="11" t="s">
        <v>15</v>
      </c>
      <c r="K159" s="5"/>
    </row>
    <row r="160" ht="15.75" customHeight="1">
      <c r="A160" s="6">
        <v>40.0</v>
      </c>
      <c r="B160" s="7">
        <v>4.0</v>
      </c>
      <c r="C160" s="7">
        <v>7.0</v>
      </c>
      <c r="D160" s="8" t="s">
        <v>137</v>
      </c>
      <c r="E160" s="8">
        <v>1.0</v>
      </c>
      <c r="F160" s="13"/>
      <c r="G160" s="10" t="s">
        <v>123</v>
      </c>
      <c r="H160" s="10" t="s">
        <v>124</v>
      </c>
      <c r="I160" s="12" t="s">
        <v>125</v>
      </c>
      <c r="J160" s="11" t="s">
        <v>15</v>
      </c>
      <c r="K160" s="5"/>
    </row>
    <row r="161" ht="15.75" customHeight="1">
      <c r="A161" s="6">
        <v>41.0</v>
      </c>
      <c r="B161" s="7">
        <v>1.0</v>
      </c>
      <c r="C161" s="7">
        <v>8.5</v>
      </c>
      <c r="D161" s="8" t="s">
        <v>137</v>
      </c>
      <c r="E161" s="8">
        <v>1.0</v>
      </c>
      <c r="F161" s="13"/>
      <c r="G161" s="10" t="s">
        <v>32</v>
      </c>
      <c r="H161" s="10" t="s">
        <v>33</v>
      </c>
      <c r="I161" s="12" t="s">
        <v>34</v>
      </c>
      <c r="J161" s="11" t="s">
        <v>15</v>
      </c>
      <c r="K161" s="5"/>
    </row>
    <row r="162" ht="15.75" customHeight="1">
      <c r="A162" s="6">
        <v>60.0</v>
      </c>
      <c r="B162" s="7">
        <v>5.0</v>
      </c>
      <c r="C162" s="7">
        <v>7.0</v>
      </c>
      <c r="D162" s="8" t="s">
        <v>137</v>
      </c>
      <c r="E162" s="8">
        <v>1.0</v>
      </c>
      <c r="F162" s="13"/>
      <c r="G162" s="10" t="s">
        <v>84</v>
      </c>
      <c r="H162" s="10" t="s">
        <v>85</v>
      </c>
      <c r="I162" s="12" t="s">
        <v>86</v>
      </c>
      <c r="J162" s="11" t="s">
        <v>15</v>
      </c>
      <c r="K162" s="5"/>
    </row>
    <row r="163" ht="15.75" customHeight="1">
      <c r="A163" s="6">
        <v>68.0</v>
      </c>
      <c r="B163" s="7">
        <v>1.0</v>
      </c>
      <c r="C163" s="7">
        <v>9.5</v>
      </c>
      <c r="D163" s="8" t="s">
        <v>137</v>
      </c>
      <c r="E163" s="8">
        <v>1.0</v>
      </c>
      <c r="F163" s="13"/>
      <c r="G163" s="10" t="s">
        <v>90</v>
      </c>
      <c r="H163" s="10" t="s">
        <v>91</v>
      </c>
      <c r="I163" s="12" t="s">
        <v>92</v>
      </c>
      <c r="J163" s="11" t="s">
        <v>15</v>
      </c>
      <c r="K163" s="5"/>
    </row>
    <row r="164" ht="15.75" customHeight="1">
      <c r="A164" s="6">
        <v>71.0</v>
      </c>
      <c r="B164" s="7">
        <v>2.5</v>
      </c>
      <c r="C164" s="7">
        <v>1.0</v>
      </c>
      <c r="D164" s="8" t="s">
        <v>137</v>
      </c>
      <c r="E164" s="8">
        <v>1.0</v>
      </c>
      <c r="F164" s="13"/>
      <c r="G164" s="10" t="s">
        <v>147</v>
      </c>
      <c r="H164" s="10" t="s">
        <v>148</v>
      </c>
      <c r="I164" s="12" t="s">
        <v>149</v>
      </c>
      <c r="J164" s="11" t="s">
        <v>15</v>
      </c>
      <c r="K164" s="5"/>
    </row>
    <row r="165" ht="15.75" customHeight="1">
      <c r="A165" s="6">
        <v>76.0</v>
      </c>
      <c r="B165" s="7">
        <v>9.0</v>
      </c>
      <c r="C165" s="7">
        <v>7.0</v>
      </c>
      <c r="D165" s="8" t="s">
        <v>137</v>
      </c>
      <c r="E165" s="8">
        <v>1.0</v>
      </c>
      <c r="F165" s="13"/>
      <c r="G165" s="10" t="s">
        <v>150</v>
      </c>
      <c r="H165" s="10" t="s">
        <v>151</v>
      </c>
      <c r="I165" s="12" t="s">
        <v>152</v>
      </c>
      <c r="J165" s="11" t="s">
        <v>15</v>
      </c>
      <c r="K165" s="5"/>
    </row>
    <row r="166" ht="15.75" customHeight="1">
      <c r="A166" s="6">
        <v>79.0</v>
      </c>
      <c r="B166" s="7">
        <v>3.5</v>
      </c>
      <c r="C166" s="7">
        <v>2.0</v>
      </c>
      <c r="D166" s="8" t="s">
        <v>137</v>
      </c>
      <c r="E166" s="8">
        <v>1.0</v>
      </c>
      <c r="F166" s="13"/>
      <c r="G166" s="10" t="s">
        <v>96</v>
      </c>
      <c r="H166" s="10" t="s">
        <v>97</v>
      </c>
      <c r="I166" s="12" t="s">
        <v>98</v>
      </c>
      <c r="J166" s="11" t="s">
        <v>15</v>
      </c>
      <c r="K166" s="5"/>
    </row>
    <row r="167" ht="15.75" customHeight="1">
      <c r="A167" s="6">
        <v>84.0</v>
      </c>
      <c r="B167" s="7">
        <v>6.5</v>
      </c>
      <c r="C167" s="7">
        <v>5.0</v>
      </c>
      <c r="D167" s="8" t="s">
        <v>137</v>
      </c>
      <c r="E167" s="8">
        <v>1.0</v>
      </c>
      <c r="F167" s="13"/>
      <c r="G167" s="10" t="s">
        <v>50</v>
      </c>
      <c r="H167" s="10" t="s">
        <v>51</v>
      </c>
      <c r="I167" s="12" t="s">
        <v>52</v>
      </c>
      <c r="J167" s="11" t="s">
        <v>15</v>
      </c>
      <c r="K167" s="5"/>
    </row>
    <row r="168" ht="15.75" customHeight="1">
      <c r="A168" s="15">
        <v>3.0</v>
      </c>
      <c r="B168" s="16">
        <v>3.0</v>
      </c>
      <c r="C168" s="16">
        <v>7.0</v>
      </c>
      <c r="D168" s="17" t="s">
        <v>137</v>
      </c>
      <c r="E168" s="17">
        <v>2.0</v>
      </c>
      <c r="F168" s="18"/>
      <c r="G168" s="10" t="s">
        <v>138</v>
      </c>
      <c r="H168" s="10" t="s">
        <v>139</v>
      </c>
      <c r="I168" s="12" t="s">
        <v>140</v>
      </c>
      <c r="J168" s="11" t="s">
        <v>15</v>
      </c>
      <c r="K168" s="5"/>
    </row>
    <row r="169" ht="15.75" customHeight="1">
      <c r="A169" s="15">
        <v>6.0</v>
      </c>
      <c r="B169" s="16">
        <v>5.0</v>
      </c>
      <c r="C169" s="16">
        <v>8.0</v>
      </c>
      <c r="D169" s="17" t="s">
        <v>137</v>
      </c>
      <c r="E169" s="17">
        <v>2.0</v>
      </c>
      <c r="F169" s="18"/>
      <c r="G169" s="10" t="s">
        <v>20</v>
      </c>
      <c r="H169" s="10" t="s">
        <v>21</v>
      </c>
      <c r="I169" s="14" t="s">
        <v>22</v>
      </c>
      <c r="J169" s="11" t="s">
        <v>15</v>
      </c>
      <c r="K169" s="5"/>
    </row>
    <row r="170" ht="15.75" customHeight="1">
      <c r="A170" s="15">
        <v>9.0</v>
      </c>
      <c r="B170" s="16">
        <v>5.0</v>
      </c>
      <c r="C170" s="16">
        <v>6.0</v>
      </c>
      <c r="D170" s="17" t="s">
        <v>137</v>
      </c>
      <c r="E170" s="17">
        <v>2.0</v>
      </c>
      <c r="F170" s="18"/>
      <c r="G170" s="10" t="s">
        <v>111</v>
      </c>
      <c r="H170" s="10" t="s">
        <v>112</v>
      </c>
      <c r="I170" s="12" t="s">
        <v>113</v>
      </c>
      <c r="J170" s="11" t="s">
        <v>15</v>
      </c>
      <c r="K170" s="5"/>
    </row>
    <row r="171" ht="15.75" customHeight="1">
      <c r="A171" s="15">
        <v>12.0</v>
      </c>
      <c r="B171" s="16">
        <v>2.0</v>
      </c>
      <c r="C171" s="16">
        <v>8.0</v>
      </c>
      <c r="D171" s="17" t="s">
        <v>137</v>
      </c>
      <c r="E171" s="17">
        <v>2.0</v>
      </c>
      <c r="F171" s="18"/>
      <c r="G171" s="10" t="s">
        <v>63</v>
      </c>
      <c r="H171" s="10" t="s">
        <v>64</v>
      </c>
      <c r="I171" s="12" t="s">
        <v>65</v>
      </c>
      <c r="J171" s="11" t="s">
        <v>15</v>
      </c>
      <c r="K171" s="5"/>
    </row>
    <row r="172" ht="15.75" customHeight="1">
      <c r="A172" s="28">
        <v>13.0</v>
      </c>
      <c r="B172" s="29">
        <v>2.0</v>
      </c>
      <c r="C172" s="29">
        <v>8.0</v>
      </c>
      <c r="D172" s="30" t="s">
        <v>137</v>
      </c>
      <c r="E172" s="30">
        <v>2.0</v>
      </c>
      <c r="F172" s="29" t="s">
        <v>153</v>
      </c>
      <c r="G172" s="10" t="s">
        <v>23</v>
      </c>
      <c r="H172" s="31" t="s">
        <v>24</v>
      </c>
      <c r="I172" s="32" t="s">
        <v>25</v>
      </c>
      <c r="J172" s="11" t="s">
        <v>15</v>
      </c>
      <c r="K172" s="5"/>
    </row>
    <row r="173" ht="15.75" customHeight="1">
      <c r="A173" s="15">
        <v>16.0</v>
      </c>
      <c r="B173" s="16">
        <v>1.0</v>
      </c>
      <c r="C173" s="16">
        <v>6.0</v>
      </c>
      <c r="D173" s="17" t="s">
        <v>137</v>
      </c>
      <c r="E173" s="17">
        <v>2.0</v>
      </c>
      <c r="F173" s="18"/>
      <c r="G173" s="10" t="s">
        <v>141</v>
      </c>
      <c r="H173" s="10" t="s">
        <v>142</v>
      </c>
      <c r="I173" s="12" t="s">
        <v>143</v>
      </c>
      <c r="J173" s="11" t="s">
        <v>15</v>
      </c>
      <c r="K173" s="5"/>
    </row>
    <row r="174" ht="15.75" customHeight="1">
      <c r="A174" s="15">
        <v>25.0</v>
      </c>
      <c r="B174" s="16">
        <v>3.5</v>
      </c>
      <c r="C174" s="16">
        <v>5.0</v>
      </c>
      <c r="D174" s="17" t="s">
        <v>137</v>
      </c>
      <c r="E174" s="17">
        <v>2.0</v>
      </c>
      <c r="F174" s="18"/>
      <c r="G174" s="10" t="s">
        <v>26</v>
      </c>
      <c r="H174" s="10" t="s">
        <v>27</v>
      </c>
      <c r="I174" s="12" t="s">
        <v>28</v>
      </c>
      <c r="J174" s="11" t="s">
        <v>15</v>
      </c>
      <c r="K174" s="5"/>
    </row>
    <row r="175" ht="15.75" customHeight="1">
      <c r="A175" s="28">
        <v>26.0</v>
      </c>
      <c r="B175" s="29">
        <v>5.0</v>
      </c>
      <c r="C175" s="29">
        <v>3.0</v>
      </c>
      <c r="D175" s="30" t="s">
        <v>137</v>
      </c>
      <c r="E175" s="30">
        <v>2.0</v>
      </c>
      <c r="F175" s="29" t="s">
        <v>153</v>
      </c>
      <c r="G175" s="10" t="s">
        <v>117</v>
      </c>
      <c r="H175" s="31" t="s">
        <v>118</v>
      </c>
      <c r="I175" s="32" t="s">
        <v>119</v>
      </c>
      <c r="J175" s="11" t="s">
        <v>15</v>
      </c>
      <c r="K175" s="5"/>
    </row>
    <row r="176" ht="15.75" customHeight="1">
      <c r="A176" s="15">
        <v>33.0</v>
      </c>
      <c r="B176" s="16">
        <v>9.0</v>
      </c>
      <c r="C176" s="16">
        <v>10.0</v>
      </c>
      <c r="D176" s="17" t="s">
        <v>137</v>
      </c>
      <c r="E176" s="17">
        <v>2.0</v>
      </c>
      <c r="F176" s="18"/>
      <c r="G176" s="10" t="s">
        <v>144</v>
      </c>
      <c r="H176" s="10" t="s">
        <v>145</v>
      </c>
      <c r="I176" s="12" t="s">
        <v>146</v>
      </c>
      <c r="J176" s="11" t="s">
        <v>15</v>
      </c>
      <c r="K176" s="5"/>
    </row>
    <row r="177" ht="15.75" customHeight="1">
      <c r="A177" s="15">
        <v>36.0</v>
      </c>
      <c r="B177" s="16">
        <v>1.0</v>
      </c>
      <c r="C177" s="16">
        <v>7.0</v>
      </c>
      <c r="D177" s="17" t="s">
        <v>137</v>
      </c>
      <c r="E177" s="17">
        <v>2.0</v>
      </c>
      <c r="F177" s="18"/>
      <c r="G177" s="10" t="s">
        <v>29</v>
      </c>
      <c r="H177" s="10" t="s">
        <v>30</v>
      </c>
      <c r="I177" s="12" t="s">
        <v>31</v>
      </c>
      <c r="J177" s="11" t="s">
        <v>15</v>
      </c>
      <c r="K177" s="5"/>
    </row>
    <row r="178" ht="15.75" customHeight="1">
      <c r="A178" s="15">
        <v>40.0</v>
      </c>
      <c r="B178" s="16">
        <v>4.0</v>
      </c>
      <c r="C178" s="16">
        <v>7.0</v>
      </c>
      <c r="D178" s="17" t="s">
        <v>137</v>
      </c>
      <c r="E178" s="17">
        <v>2.0</v>
      </c>
      <c r="F178" s="18"/>
      <c r="G178" s="10" t="s">
        <v>123</v>
      </c>
      <c r="H178" s="10" t="s">
        <v>124</v>
      </c>
      <c r="I178" s="12" t="s">
        <v>125</v>
      </c>
      <c r="J178" s="11" t="s">
        <v>15</v>
      </c>
      <c r="K178" s="5"/>
    </row>
    <row r="179" ht="15.75" customHeight="1">
      <c r="A179" s="15">
        <v>41.0</v>
      </c>
      <c r="B179" s="16">
        <v>1.0</v>
      </c>
      <c r="C179" s="16">
        <v>8.5</v>
      </c>
      <c r="D179" s="17" t="s">
        <v>137</v>
      </c>
      <c r="E179" s="17">
        <v>2.0</v>
      </c>
      <c r="F179" s="18"/>
      <c r="G179" s="10" t="s">
        <v>32</v>
      </c>
      <c r="H179" s="10" t="s">
        <v>33</v>
      </c>
      <c r="I179" s="12" t="s">
        <v>34</v>
      </c>
      <c r="J179" s="11" t="s">
        <v>15</v>
      </c>
      <c r="K179" s="5"/>
    </row>
    <row r="180" ht="15.75" customHeight="1">
      <c r="A180" s="28">
        <v>44.0</v>
      </c>
      <c r="B180" s="29">
        <v>3.0</v>
      </c>
      <c r="C180" s="29">
        <v>9.5</v>
      </c>
      <c r="D180" s="30" t="s">
        <v>137</v>
      </c>
      <c r="E180" s="30">
        <v>2.0</v>
      </c>
      <c r="F180" s="29" t="s">
        <v>153</v>
      </c>
      <c r="G180" s="10" t="s">
        <v>154</v>
      </c>
      <c r="H180" s="10" t="s">
        <v>155</v>
      </c>
      <c r="I180" s="12" t="s">
        <v>156</v>
      </c>
      <c r="J180" s="11" t="s">
        <v>15</v>
      </c>
      <c r="K180" s="5"/>
    </row>
    <row r="181" ht="15.75" customHeight="1">
      <c r="A181" s="15">
        <v>60.0</v>
      </c>
      <c r="B181" s="16">
        <v>5.0</v>
      </c>
      <c r="C181" s="16">
        <v>7.0</v>
      </c>
      <c r="D181" s="17" t="s">
        <v>137</v>
      </c>
      <c r="E181" s="17">
        <v>2.0</v>
      </c>
      <c r="F181" s="18"/>
      <c r="G181" s="10" t="s">
        <v>84</v>
      </c>
      <c r="H181" s="10" t="s">
        <v>85</v>
      </c>
      <c r="I181" s="12" t="s">
        <v>86</v>
      </c>
      <c r="J181" s="11" t="s">
        <v>15</v>
      </c>
      <c r="K181" s="5"/>
    </row>
    <row r="182" ht="15.75" customHeight="1">
      <c r="A182" s="15">
        <v>68.0</v>
      </c>
      <c r="B182" s="16">
        <v>1.0</v>
      </c>
      <c r="C182" s="16">
        <v>9.5</v>
      </c>
      <c r="D182" s="17" t="s">
        <v>137</v>
      </c>
      <c r="E182" s="17">
        <v>2.0</v>
      </c>
      <c r="F182" s="18"/>
      <c r="G182" s="10" t="s">
        <v>90</v>
      </c>
      <c r="H182" s="10" t="s">
        <v>91</v>
      </c>
      <c r="I182" s="12" t="s">
        <v>92</v>
      </c>
      <c r="J182" s="11" t="s">
        <v>15</v>
      </c>
      <c r="K182" s="5"/>
    </row>
    <row r="183" ht="15.75" customHeight="1">
      <c r="A183" s="15">
        <v>71.0</v>
      </c>
      <c r="B183" s="16">
        <v>2.0</v>
      </c>
      <c r="C183" s="16">
        <v>1.0</v>
      </c>
      <c r="D183" s="17" t="s">
        <v>137</v>
      </c>
      <c r="E183" s="17">
        <v>2.0</v>
      </c>
      <c r="F183" s="18"/>
      <c r="G183" s="10" t="s">
        <v>147</v>
      </c>
      <c r="H183" s="10" t="s">
        <v>148</v>
      </c>
      <c r="I183" s="12" t="s">
        <v>149</v>
      </c>
      <c r="J183" s="11" t="s">
        <v>15</v>
      </c>
      <c r="K183" s="5"/>
    </row>
    <row r="184" ht="15.75" customHeight="1">
      <c r="A184" s="15">
        <v>76.0</v>
      </c>
      <c r="B184" s="16">
        <v>9.0</v>
      </c>
      <c r="C184" s="16">
        <v>7.0</v>
      </c>
      <c r="D184" s="17" t="s">
        <v>137</v>
      </c>
      <c r="E184" s="17">
        <v>2.0</v>
      </c>
      <c r="F184" s="18"/>
      <c r="G184" s="10" t="s">
        <v>150</v>
      </c>
      <c r="H184" s="10" t="s">
        <v>151</v>
      </c>
      <c r="I184" s="12" t="s">
        <v>152</v>
      </c>
      <c r="J184" s="11" t="s">
        <v>15</v>
      </c>
      <c r="K184" s="5"/>
    </row>
    <row r="185" ht="15.75" customHeight="1">
      <c r="A185" s="28">
        <v>78.0</v>
      </c>
      <c r="B185" s="29">
        <v>2.0</v>
      </c>
      <c r="C185" s="29">
        <v>9.5</v>
      </c>
      <c r="D185" s="30" t="s">
        <v>137</v>
      </c>
      <c r="E185" s="30">
        <v>2.0</v>
      </c>
      <c r="F185" s="29" t="s">
        <v>153</v>
      </c>
      <c r="G185" s="10" t="s">
        <v>157</v>
      </c>
      <c r="H185" s="10" t="s">
        <v>158</v>
      </c>
      <c r="I185" s="12" t="s">
        <v>159</v>
      </c>
      <c r="J185" s="11" t="s">
        <v>15</v>
      </c>
      <c r="K185" s="5"/>
    </row>
    <row r="186" ht="15.75" customHeight="1">
      <c r="A186" s="15">
        <v>79.0</v>
      </c>
      <c r="B186" s="16">
        <v>3.5</v>
      </c>
      <c r="C186" s="16">
        <v>2.0</v>
      </c>
      <c r="D186" s="17" t="s">
        <v>137</v>
      </c>
      <c r="E186" s="17">
        <v>2.0</v>
      </c>
      <c r="F186" s="18"/>
      <c r="G186" s="10" t="s">
        <v>96</v>
      </c>
      <c r="H186" s="10" t="s">
        <v>97</v>
      </c>
      <c r="I186" s="12" t="s">
        <v>98</v>
      </c>
      <c r="J186" s="11" t="s">
        <v>15</v>
      </c>
      <c r="K186" s="5"/>
    </row>
    <row r="187" ht="15.75" customHeight="1">
      <c r="A187" s="15">
        <v>84.0</v>
      </c>
      <c r="B187" s="16">
        <v>7.0</v>
      </c>
      <c r="C187" s="16">
        <v>5.0</v>
      </c>
      <c r="D187" s="17" t="s">
        <v>137</v>
      </c>
      <c r="E187" s="17">
        <v>2.0</v>
      </c>
      <c r="F187" s="18"/>
      <c r="G187" s="10" t="s">
        <v>50</v>
      </c>
      <c r="H187" s="10" t="s">
        <v>51</v>
      </c>
      <c r="I187" s="12" t="s">
        <v>52</v>
      </c>
      <c r="J187" s="11" t="s">
        <v>15</v>
      </c>
      <c r="K187" s="5"/>
    </row>
    <row r="188" ht="15.75" customHeight="1">
      <c r="A188" s="28">
        <v>87.0</v>
      </c>
      <c r="B188" s="29">
        <v>3.5</v>
      </c>
      <c r="C188" s="29">
        <v>8.0</v>
      </c>
      <c r="D188" s="30" t="s">
        <v>137</v>
      </c>
      <c r="E188" s="30">
        <v>2.0</v>
      </c>
      <c r="F188" s="29" t="s">
        <v>153</v>
      </c>
      <c r="G188" s="10" t="s">
        <v>102</v>
      </c>
      <c r="H188" s="10" t="s">
        <v>103</v>
      </c>
      <c r="I188" s="12" t="s">
        <v>104</v>
      </c>
      <c r="J188" s="11" t="s">
        <v>15</v>
      </c>
      <c r="K188" s="5"/>
    </row>
    <row r="189" ht="15.75" customHeight="1">
      <c r="A189" s="19">
        <v>3.0</v>
      </c>
      <c r="B189" s="20">
        <v>3.0</v>
      </c>
      <c r="C189" s="20">
        <v>7.0</v>
      </c>
      <c r="D189" s="21" t="s">
        <v>137</v>
      </c>
      <c r="E189" s="21">
        <v>3.0</v>
      </c>
      <c r="F189" s="22"/>
      <c r="G189" s="10" t="s">
        <v>138</v>
      </c>
      <c r="H189" s="10" t="s">
        <v>139</v>
      </c>
      <c r="I189" s="12" t="s">
        <v>140</v>
      </c>
      <c r="J189" s="11" t="s">
        <v>15</v>
      </c>
      <c r="K189" s="5"/>
    </row>
    <row r="190" ht="15.75" customHeight="1">
      <c r="A190" s="19">
        <v>6.0</v>
      </c>
      <c r="B190" s="20">
        <v>5.0</v>
      </c>
      <c r="C190" s="20">
        <v>8.0</v>
      </c>
      <c r="D190" s="21" t="s">
        <v>137</v>
      </c>
      <c r="E190" s="21">
        <v>3.0</v>
      </c>
      <c r="F190" s="22"/>
      <c r="G190" s="10" t="s">
        <v>20</v>
      </c>
      <c r="H190" s="10" t="s">
        <v>21</v>
      </c>
      <c r="I190" s="14" t="s">
        <v>22</v>
      </c>
      <c r="J190" s="11" t="s">
        <v>15</v>
      </c>
      <c r="K190" s="5"/>
    </row>
    <row r="191" ht="15.75" customHeight="1">
      <c r="A191" s="19">
        <v>9.0</v>
      </c>
      <c r="B191" s="20">
        <v>5.0</v>
      </c>
      <c r="C191" s="20">
        <v>6.0</v>
      </c>
      <c r="D191" s="21" t="s">
        <v>137</v>
      </c>
      <c r="E191" s="21">
        <v>3.0</v>
      </c>
      <c r="F191" s="22"/>
      <c r="G191" s="10" t="s">
        <v>111</v>
      </c>
      <c r="H191" s="10" t="s">
        <v>112</v>
      </c>
      <c r="I191" s="12" t="s">
        <v>113</v>
      </c>
      <c r="J191" s="11" t="s">
        <v>15</v>
      </c>
      <c r="K191" s="5"/>
    </row>
    <row r="192" ht="15.75" customHeight="1">
      <c r="A192" s="19">
        <v>12.0</v>
      </c>
      <c r="B192" s="20">
        <v>2.0</v>
      </c>
      <c r="C192" s="20">
        <v>8.0</v>
      </c>
      <c r="D192" s="21" t="s">
        <v>137</v>
      </c>
      <c r="E192" s="21">
        <v>3.0</v>
      </c>
      <c r="F192" s="22"/>
      <c r="G192" s="10" t="s">
        <v>63</v>
      </c>
      <c r="H192" s="10" t="s">
        <v>64</v>
      </c>
      <c r="I192" s="12" t="s">
        <v>65</v>
      </c>
      <c r="J192" s="11" t="s">
        <v>15</v>
      </c>
      <c r="K192" s="5"/>
    </row>
    <row r="193" ht="15.75" customHeight="1">
      <c r="A193" s="33">
        <v>13.0</v>
      </c>
      <c r="B193" s="34">
        <v>2.0</v>
      </c>
      <c r="C193" s="34">
        <v>8.0</v>
      </c>
      <c r="D193" s="21" t="s">
        <v>137</v>
      </c>
      <c r="E193" s="21">
        <v>3.0</v>
      </c>
      <c r="F193" s="22"/>
      <c r="G193" s="10" t="s">
        <v>23</v>
      </c>
      <c r="H193" s="31" t="s">
        <v>24</v>
      </c>
      <c r="I193" s="32" t="s">
        <v>25</v>
      </c>
      <c r="J193" s="35" t="s">
        <v>15</v>
      </c>
      <c r="K193" s="5"/>
    </row>
    <row r="194" ht="15.75" customHeight="1">
      <c r="A194" s="19">
        <v>16.0</v>
      </c>
      <c r="B194" s="20">
        <v>1.0</v>
      </c>
      <c r="C194" s="20">
        <v>6.0</v>
      </c>
      <c r="D194" s="21" t="s">
        <v>137</v>
      </c>
      <c r="E194" s="21">
        <v>3.0</v>
      </c>
      <c r="F194" s="22"/>
      <c r="G194" s="10" t="s">
        <v>141</v>
      </c>
      <c r="H194" s="10" t="s">
        <v>142</v>
      </c>
      <c r="I194" s="12" t="s">
        <v>143</v>
      </c>
      <c r="J194" s="11" t="s">
        <v>15</v>
      </c>
      <c r="K194" s="5"/>
    </row>
    <row r="195" ht="15.75" customHeight="1">
      <c r="A195" s="19">
        <v>25.0</v>
      </c>
      <c r="B195" s="20">
        <v>3.5</v>
      </c>
      <c r="C195" s="20">
        <v>5.5</v>
      </c>
      <c r="D195" s="21" t="s">
        <v>137</v>
      </c>
      <c r="E195" s="21">
        <v>3.0</v>
      </c>
      <c r="F195" s="22"/>
      <c r="G195" s="10" t="s">
        <v>26</v>
      </c>
      <c r="H195" s="10" t="s">
        <v>27</v>
      </c>
      <c r="I195" s="12" t="s">
        <v>28</v>
      </c>
      <c r="J195" s="11" t="s">
        <v>15</v>
      </c>
      <c r="K195" s="5"/>
    </row>
    <row r="196" ht="15.75" customHeight="1">
      <c r="A196" s="33">
        <v>26.0</v>
      </c>
      <c r="B196" s="34">
        <v>5.0</v>
      </c>
      <c r="C196" s="34">
        <v>3.0</v>
      </c>
      <c r="D196" s="21" t="s">
        <v>137</v>
      </c>
      <c r="E196" s="21">
        <v>3.0</v>
      </c>
      <c r="F196" s="22"/>
      <c r="G196" s="10" t="s">
        <v>117</v>
      </c>
      <c r="H196" s="31" t="s">
        <v>118</v>
      </c>
      <c r="I196" s="32" t="s">
        <v>119</v>
      </c>
      <c r="J196" s="11" t="s">
        <v>15</v>
      </c>
      <c r="K196" s="5"/>
    </row>
    <row r="197" ht="15.75" customHeight="1">
      <c r="A197" s="19">
        <v>33.0</v>
      </c>
      <c r="B197" s="20">
        <v>9.0</v>
      </c>
      <c r="C197" s="20">
        <v>9.0</v>
      </c>
      <c r="D197" s="21" t="s">
        <v>137</v>
      </c>
      <c r="E197" s="21">
        <v>3.0</v>
      </c>
      <c r="F197" s="22"/>
      <c r="G197" s="10" t="s">
        <v>144</v>
      </c>
      <c r="H197" s="10" t="s">
        <v>145</v>
      </c>
      <c r="I197" s="12" t="s">
        <v>146</v>
      </c>
      <c r="J197" s="11" t="s">
        <v>15</v>
      </c>
      <c r="K197" s="5"/>
    </row>
    <row r="198" ht="15.75" customHeight="1">
      <c r="A198" s="19">
        <v>36.0</v>
      </c>
      <c r="B198" s="20">
        <v>1.0</v>
      </c>
      <c r="C198" s="20">
        <v>7.0</v>
      </c>
      <c r="D198" s="21" t="s">
        <v>137</v>
      </c>
      <c r="E198" s="21">
        <v>3.0</v>
      </c>
      <c r="F198" s="22"/>
      <c r="G198" s="10" t="s">
        <v>29</v>
      </c>
      <c r="H198" s="10" t="s">
        <v>30</v>
      </c>
      <c r="I198" s="12" t="s">
        <v>31</v>
      </c>
      <c r="J198" s="11" t="s">
        <v>15</v>
      </c>
      <c r="K198" s="5"/>
    </row>
    <row r="199" ht="15.75" customHeight="1">
      <c r="A199" s="19">
        <v>40.0</v>
      </c>
      <c r="B199" s="20">
        <v>4.0</v>
      </c>
      <c r="C199" s="20">
        <v>7.0</v>
      </c>
      <c r="D199" s="21" t="s">
        <v>137</v>
      </c>
      <c r="E199" s="21">
        <v>3.0</v>
      </c>
      <c r="F199" s="22"/>
      <c r="G199" s="10" t="s">
        <v>123</v>
      </c>
      <c r="H199" s="10" t="s">
        <v>124</v>
      </c>
      <c r="I199" s="12" t="s">
        <v>125</v>
      </c>
      <c r="J199" s="11" t="s">
        <v>15</v>
      </c>
      <c r="K199" s="5"/>
    </row>
    <row r="200" ht="15.75" customHeight="1">
      <c r="A200" s="19">
        <v>41.0</v>
      </c>
      <c r="B200" s="20">
        <v>1.0</v>
      </c>
      <c r="C200" s="20">
        <v>8.0</v>
      </c>
      <c r="D200" s="21" t="s">
        <v>137</v>
      </c>
      <c r="E200" s="21">
        <v>3.0</v>
      </c>
      <c r="F200" s="22"/>
      <c r="G200" s="10" t="s">
        <v>32</v>
      </c>
      <c r="H200" s="10" t="s">
        <v>33</v>
      </c>
      <c r="I200" s="12" t="s">
        <v>34</v>
      </c>
      <c r="J200" s="11" t="s">
        <v>15</v>
      </c>
      <c r="K200" s="5"/>
    </row>
    <row r="201" ht="15.75" customHeight="1">
      <c r="A201" s="33">
        <v>44.0</v>
      </c>
      <c r="B201" s="34">
        <v>2.0</v>
      </c>
      <c r="C201" s="34">
        <v>9.5</v>
      </c>
      <c r="D201" s="21" t="s">
        <v>137</v>
      </c>
      <c r="E201" s="21">
        <v>3.0</v>
      </c>
      <c r="F201" s="22"/>
      <c r="G201" s="10" t="s">
        <v>154</v>
      </c>
      <c r="H201" s="10" t="s">
        <v>155</v>
      </c>
      <c r="I201" s="12" t="s">
        <v>156</v>
      </c>
      <c r="J201" s="11" t="s">
        <v>15</v>
      </c>
      <c r="K201" s="5"/>
    </row>
    <row r="202" ht="15.75" customHeight="1">
      <c r="A202" s="19">
        <v>60.0</v>
      </c>
      <c r="B202" s="20">
        <v>5.0</v>
      </c>
      <c r="C202" s="20">
        <v>7.0</v>
      </c>
      <c r="D202" s="21" t="s">
        <v>137</v>
      </c>
      <c r="E202" s="21">
        <v>3.0</v>
      </c>
      <c r="F202" s="22"/>
      <c r="G202" s="10" t="s">
        <v>84</v>
      </c>
      <c r="H202" s="10" t="s">
        <v>85</v>
      </c>
      <c r="I202" s="12" t="s">
        <v>86</v>
      </c>
      <c r="J202" s="11" t="s">
        <v>15</v>
      </c>
      <c r="K202" s="5"/>
    </row>
    <row r="203" ht="15.75" customHeight="1">
      <c r="A203" s="19">
        <v>68.0</v>
      </c>
      <c r="B203" s="20">
        <v>1.0</v>
      </c>
      <c r="C203" s="20">
        <v>9.5</v>
      </c>
      <c r="D203" s="21" t="s">
        <v>137</v>
      </c>
      <c r="E203" s="21">
        <v>3.0</v>
      </c>
      <c r="F203" s="22"/>
      <c r="G203" s="10" t="s">
        <v>90</v>
      </c>
      <c r="H203" s="10" t="s">
        <v>91</v>
      </c>
      <c r="I203" s="12" t="s">
        <v>92</v>
      </c>
      <c r="J203" s="11" t="s">
        <v>15</v>
      </c>
      <c r="K203" s="5"/>
    </row>
    <row r="204" ht="15.75" customHeight="1">
      <c r="A204" s="19">
        <v>71.0</v>
      </c>
      <c r="B204" s="20">
        <v>2.0</v>
      </c>
      <c r="C204" s="20">
        <v>1.0</v>
      </c>
      <c r="D204" s="21" t="s">
        <v>137</v>
      </c>
      <c r="E204" s="21">
        <v>3.0</v>
      </c>
      <c r="F204" s="22"/>
      <c r="G204" s="10" t="s">
        <v>147</v>
      </c>
      <c r="H204" s="10" t="s">
        <v>148</v>
      </c>
      <c r="I204" s="12" t="s">
        <v>149</v>
      </c>
      <c r="J204" s="11" t="s">
        <v>15</v>
      </c>
      <c r="K204" s="5"/>
    </row>
    <row r="205" ht="15.75" customHeight="1">
      <c r="A205" s="19">
        <v>76.0</v>
      </c>
      <c r="B205" s="20">
        <v>9.0</v>
      </c>
      <c r="C205" s="20">
        <v>7.0</v>
      </c>
      <c r="D205" s="21" t="s">
        <v>137</v>
      </c>
      <c r="E205" s="21">
        <v>3.0</v>
      </c>
      <c r="F205" s="22"/>
      <c r="G205" s="10" t="s">
        <v>150</v>
      </c>
      <c r="H205" s="10" t="s">
        <v>151</v>
      </c>
      <c r="I205" s="12" t="s">
        <v>152</v>
      </c>
      <c r="J205" s="11" t="s">
        <v>15</v>
      </c>
      <c r="K205" s="5"/>
    </row>
    <row r="206" ht="15.75" customHeight="1">
      <c r="A206" s="33">
        <v>78.0</v>
      </c>
      <c r="B206" s="34">
        <v>4.0</v>
      </c>
      <c r="C206" s="34">
        <v>8.5</v>
      </c>
      <c r="D206" s="21" t="s">
        <v>137</v>
      </c>
      <c r="E206" s="21">
        <v>3.0</v>
      </c>
      <c r="F206" s="22"/>
      <c r="G206" s="10" t="s">
        <v>157</v>
      </c>
      <c r="H206" s="10" t="s">
        <v>158</v>
      </c>
      <c r="I206" s="12" t="s">
        <v>159</v>
      </c>
      <c r="J206" s="11" t="s">
        <v>15</v>
      </c>
      <c r="K206" s="5"/>
    </row>
    <row r="207" ht="15.75" customHeight="1">
      <c r="A207" s="19">
        <v>79.0</v>
      </c>
      <c r="B207" s="20">
        <v>3.5</v>
      </c>
      <c r="C207" s="20">
        <v>2.0</v>
      </c>
      <c r="D207" s="21" t="s">
        <v>137</v>
      </c>
      <c r="E207" s="21">
        <v>3.0</v>
      </c>
      <c r="F207" s="22"/>
      <c r="G207" s="10" t="s">
        <v>96</v>
      </c>
      <c r="H207" s="10" t="s">
        <v>97</v>
      </c>
      <c r="I207" s="12" t="s">
        <v>98</v>
      </c>
      <c r="J207" s="11" t="s">
        <v>15</v>
      </c>
      <c r="K207" s="5"/>
    </row>
    <row r="208" ht="15.75" customHeight="1">
      <c r="A208" s="19">
        <v>84.0</v>
      </c>
      <c r="B208" s="20">
        <v>6.5</v>
      </c>
      <c r="C208" s="20">
        <v>5.0</v>
      </c>
      <c r="D208" s="21" t="s">
        <v>137</v>
      </c>
      <c r="E208" s="21">
        <v>3.0</v>
      </c>
      <c r="F208" s="22"/>
      <c r="G208" s="10" t="s">
        <v>50</v>
      </c>
      <c r="H208" s="10" t="s">
        <v>51</v>
      </c>
      <c r="I208" s="12" t="s">
        <v>52</v>
      </c>
      <c r="J208" s="11" t="s">
        <v>15</v>
      </c>
      <c r="K208" s="5"/>
    </row>
    <row r="209" ht="15.75" customHeight="1">
      <c r="A209" s="33">
        <v>87.0</v>
      </c>
      <c r="B209" s="34">
        <v>3.0</v>
      </c>
      <c r="C209" s="34">
        <v>8.0</v>
      </c>
      <c r="D209" s="21" t="s">
        <v>137</v>
      </c>
      <c r="E209" s="21">
        <v>3.0</v>
      </c>
      <c r="F209" s="22"/>
      <c r="G209" s="10" t="s">
        <v>102</v>
      </c>
      <c r="H209" s="10" t="s">
        <v>103</v>
      </c>
      <c r="I209" s="12" t="s">
        <v>104</v>
      </c>
      <c r="J209" s="11" t="s">
        <v>15</v>
      </c>
      <c r="K209" s="5"/>
    </row>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D2:D209">
      <formula1>"A,B,C,D,E,F,G,H,I,J,K,L,X,Y"</formula1>
    </dataValidation>
    <dataValidation type="list" allowBlank="1" showErrorMessage="1" sqref="E2:E209">
      <formula1>"1,2,3"</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7"/>
    <hyperlink r:id="rId96" ref="I98"/>
    <hyperlink r:id="rId97" ref="I99"/>
    <hyperlink r:id="rId98" ref="I100"/>
    <hyperlink r:id="rId99" ref="I101"/>
    <hyperlink r:id="rId100" ref="I102"/>
    <hyperlink r:id="rId101" ref="I103"/>
    <hyperlink r:id="rId102" ref="I104"/>
    <hyperlink r:id="rId103" ref="I105"/>
    <hyperlink r:id="rId104" ref="I106"/>
    <hyperlink r:id="rId105" ref="I107"/>
    <hyperlink r:id="rId106" ref="I108"/>
    <hyperlink r:id="rId107" ref="I109"/>
    <hyperlink r:id="rId108" ref="I110"/>
    <hyperlink r:id="rId109" ref="I111"/>
    <hyperlink r:id="rId110" ref="I112"/>
    <hyperlink r:id="rId111" ref="I113"/>
    <hyperlink r:id="rId112" ref="I114"/>
    <hyperlink r:id="rId113" ref="I115"/>
    <hyperlink r:id="rId114" ref="I116"/>
    <hyperlink r:id="rId115" ref="I117"/>
    <hyperlink r:id="rId116" ref="I118"/>
    <hyperlink r:id="rId117" ref="I119"/>
    <hyperlink r:id="rId118" ref="I120"/>
    <hyperlink r:id="rId119" ref="I121"/>
    <hyperlink r:id="rId120" ref="I122"/>
    <hyperlink r:id="rId121" ref="I123"/>
    <hyperlink r:id="rId122" ref="I124"/>
    <hyperlink r:id="rId123" ref="I125"/>
    <hyperlink r:id="rId124" ref="I126"/>
    <hyperlink r:id="rId125" ref="I127"/>
    <hyperlink r:id="rId126" ref="I128"/>
    <hyperlink r:id="rId127" ref="I129"/>
    <hyperlink r:id="rId128" ref="I130"/>
    <hyperlink r:id="rId129" ref="I131"/>
    <hyperlink r:id="rId130" ref="I132"/>
    <hyperlink r:id="rId131" ref="I133"/>
    <hyperlink r:id="rId132" ref="I134"/>
    <hyperlink r:id="rId133" ref="I135"/>
    <hyperlink r:id="rId134" ref="I152"/>
    <hyperlink r:id="rId135" ref="I153"/>
    <hyperlink r:id="rId136" ref="I154"/>
    <hyperlink r:id="rId137" ref="I155"/>
    <hyperlink r:id="rId138" ref="I156"/>
    <hyperlink r:id="rId139" ref="I157"/>
    <hyperlink r:id="rId140" ref="I158"/>
    <hyperlink r:id="rId141" ref="I159"/>
    <hyperlink r:id="rId142" ref="I160"/>
    <hyperlink r:id="rId143" ref="I161"/>
    <hyperlink r:id="rId144" ref="I162"/>
    <hyperlink r:id="rId145" ref="I163"/>
    <hyperlink r:id="rId146" ref="I164"/>
    <hyperlink r:id="rId147" ref="I165"/>
    <hyperlink r:id="rId148" ref="I166"/>
    <hyperlink r:id="rId149" ref="I167"/>
    <hyperlink r:id="rId150" ref="I168"/>
    <hyperlink r:id="rId151" ref="I169"/>
    <hyperlink r:id="rId152" ref="I170"/>
    <hyperlink r:id="rId153" ref="I171"/>
    <hyperlink r:id="rId154" ref="I172"/>
    <hyperlink r:id="rId155" ref="I173"/>
    <hyperlink r:id="rId156" ref="I174"/>
    <hyperlink r:id="rId157" ref="I175"/>
    <hyperlink r:id="rId158" ref="I176"/>
    <hyperlink r:id="rId159" ref="I177"/>
    <hyperlink r:id="rId160" ref="I178"/>
    <hyperlink r:id="rId161" ref="I179"/>
    <hyperlink r:id="rId162" ref="I180"/>
    <hyperlink r:id="rId163" ref="I181"/>
    <hyperlink r:id="rId164" ref="I182"/>
    <hyperlink r:id="rId165" ref="I183"/>
    <hyperlink r:id="rId166" ref="I184"/>
    <hyperlink r:id="rId167" ref="I185"/>
    <hyperlink r:id="rId168" ref="I186"/>
    <hyperlink r:id="rId169" ref="I187"/>
    <hyperlink r:id="rId170" ref="I188"/>
    <hyperlink r:id="rId171" ref="I189"/>
    <hyperlink r:id="rId172" ref="I190"/>
    <hyperlink r:id="rId173" ref="I191"/>
    <hyperlink r:id="rId174" ref="I192"/>
    <hyperlink r:id="rId175" ref="I193"/>
    <hyperlink r:id="rId176" ref="I194"/>
    <hyperlink r:id="rId177" ref="I195"/>
    <hyperlink r:id="rId178" ref="I196"/>
    <hyperlink r:id="rId179" ref="I197"/>
    <hyperlink r:id="rId180" ref="I198"/>
    <hyperlink r:id="rId181" ref="I199"/>
    <hyperlink r:id="rId182" ref="I200"/>
    <hyperlink r:id="rId183" ref="I201"/>
    <hyperlink r:id="rId184" ref="I202"/>
    <hyperlink r:id="rId185" ref="I203"/>
    <hyperlink r:id="rId186" ref="I204"/>
    <hyperlink r:id="rId187" ref="I205"/>
    <hyperlink r:id="rId188" ref="I206"/>
    <hyperlink r:id="rId189" ref="I207"/>
    <hyperlink r:id="rId190" ref="I208"/>
    <hyperlink r:id="rId191" ref="I209"/>
  </hyperlinks>
  <drawing r:id="rId19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88"/>
    <col customWidth="1" min="2" max="2" width="8.75"/>
    <col customWidth="1" min="3" max="3" width="7.5"/>
    <col customWidth="1" min="4" max="6" width="12.63"/>
    <col customWidth="1" min="11" max="11" width="7.5"/>
    <col customWidth="1" min="12" max="12" width="9.13"/>
    <col customWidth="1" min="13" max="13" width="12.38"/>
    <col customWidth="1" min="14" max="15" width="7.63"/>
    <col customWidth="1" min="16" max="16" width="9.0"/>
  </cols>
  <sheetData>
    <row r="1" ht="15.75" customHeight="1">
      <c r="A1" s="36" t="s">
        <v>0</v>
      </c>
      <c r="B1" s="36" t="s">
        <v>1</v>
      </c>
      <c r="C1" s="36" t="s">
        <v>2</v>
      </c>
      <c r="D1" s="36" t="s">
        <v>3</v>
      </c>
      <c r="E1" s="36" t="s">
        <v>4</v>
      </c>
      <c r="F1" s="36" t="s">
        <v>160</v>
      </c>
      <c r="G1" s="37" t="s">
        <v>6</v>
      </c>
      <c r="H1" s="38" t="s">
        <v>7</v>
      </c>
      <c r="I1" s="38" t="s">
        <v>8</v>
      </c>
      <c r="J1" s="38" t="s">
        <v>9</v>
      </c>
      <c r="K1" s="38" t="s">
        <v>161</v>
      </c>
      <c r="L1" s="38" t="s">
        <v>162</v>
      </c>
      <c r="M1" s="39" t="s">
        <v>163</v>
      </c>
      <c r="N1" s="40"/>
      <c r="O1" s="40"/>
      <c r="P1" s="40"/>
      <c r="Q1" s="41"/>
      <c r="R1" s="41"/>
      <c r="S1" s="41"/>
      <c r="T1" s="41"/>
      <c r="U1" s="41"/>
      <c r="V1" s="41"/>
      <c r="W1" s="41"/>
      <c r="X1" s="41"/>
      <c r="Y1" s="41"/>
      <c r="Z1" s="41"/>
      <c r="AA1" s="41"/>
      <c r="AB1" s="41"/>
    </row>
    <row r="2" ht="15.75" customHeight="1">
      <c r="A2" s="42">
        <v>1.0</v>
      </c>
      <c r="B2" s="43">
        <v>4.0</v>
      </c>
      <c r="C2" s="43">
        <v>7.0</v>
      </c>
      <c r="D2" s="44" t="s">
        <v>164</v>
      </c>
      <c r="E2" s="44">
        <v>1.0</v>
      </c>
      <c r="F2" s="45" t="s">
        <v>165</v>
      </c>
      <c r="G2" s="45" t="s">
        <v>166</v>
      </c>
      <c r="H2" s="45" t="s">
        <v>167</v>
      </c>
      <c r="I2" s="46" t="s">
        <v>168</v>
      </c>
      <c r="J2" s="45" t="s">
        <v>169</v>
      </c>
      <c r="K2" s="47">
        <f t="array" ref="K2:K49">IF((B2:B49&lt;&gt;"")*(C2:C49&lt;&gt;""),1,)</f>
        <v>1</v>
      </c>
      <c r="L2" s="47">
        <f t="array" ref="L2:L49">IF(K2:K49="",,IF((B2:B49&gt;5)*(C2:C49&gt;5),1,0))</f>
        <v>0</v>
      </c>
      <c r="M2" s="47">
        <f t="array" ref="M2:M49">IF(A2:A49="",,
    IFERROR(
      SQRT(
        (10 - IFERROR(VALEUR(B2:B49), B2:B49))^2 +
        (10 - IFERROR(VALEUR(C2:C49), C2:C49))^2
      ),
      ""
    )
  )</f>
        <v>6.708203932</v>
      </c>
      <c r="N2" s="47"/>
      <c r="O2" s="47"/>
      <c r="P2" s="47"/>
      <c r="Q2" s="48"/>
      <c r="R2" s="48"/>
      <c r="S2" s="48"/>
      <c r="T2" s="48"/>
      <c r="U2" s="48"/>
      <c r="V2" s="48"/>
      <c r="W2" s="48"/>
      <c r="X2" s="48"/>
      <c r="Y2" s="48"/>
      <c r="Z2" s="48"/>
      <c r="AA2" s="48"/>
      <c r="AB2" s="48"/>
    </row>
    <row r="3" ht="15.75" customHeight="1">
      <c r="A3" s="42">
        <v>2.0</v>
      </c>
      <c r="B3" s="43"/>
      <c r="C3" s="43"/>
      <c r="D3" s="44" t="s">
        <v>164</v>
      </c>
      <c r="E3" s="44">
        <v>2.0</v>
      </c>
      <c r="F3" s="49" t="s">
        <v>170</v>
      </c>
      <c r="G3" s="45" t="s">
        <v>171</v>
      </c>
      <c r="H3" s="45" t="s">
        <v>172</v>
      </c>
      <c r="I3" s="50" t="s">
        <v>173</v>
      </c>
      <c r="J3" s="45" t="s">
        <v>169</v>
      </c>
      <c r="K3" s="51"/>
      <c r="L3" s="47"/>
      <c r="M3" s="47">
        <v>14.142135623730951</v>
      </c>
      <c r="N3" s="47"/>
      <c r="O3" s="47"/>
      <c r="P3" s="47"/>
      <c r="Q3" s="48"/>
      <c r="R3" s="48"/>
      <c r="S3" s="48"/>
      <c r="T3" s="48"/>
      <c r="U3" s="48"/>
      <c r="V3" s="48"/>
      <c r="W3" s="48"/>
      <c r="X3" s="48"/>
      <c r="Y3" s="48"/>
      <c r="Z3" s="48"/>
      <c r="AA3" s="48"/>
      <c r="AB3" s="48"/>
    </row>
    <row r="4" ht="15.75" customHeight="1">
      <c r="A4" s="42">
        <v>3.0</v>
      </c>
      <c r="B4" s="43"/>
      <c r="C4" s="43"/>
      <c r="D4" s="44" t="s">
        <v>164</v>
      </c>
      <c r="E4" s="44">
        <v>3.0</v>
      </c>
      <c r="F4" s="49" t="s">
        <v>170</v>
      </c>
      <c r="G4" s="45" t="s">
        <v>174</v>
      </c>
      <c r="H4" s="45" t="s">
        <v>175</v>
      </c>
      <c r="I4" s="50" t="s">
        <v>176</v>
      </c>
      <c r="J4" s="45" t="s">
        <v>169</v>
      </c>
      <c r="K4" s="47"/>
      <c r="L4" s="47"/>
      <c r="M4" s="47">
        <v>14.142135623730951</v>
      </c>
      <c r="N4" s="47"/>
      <c r="O4" s="47"/>
      <c r="P4" s="47"/>
      <c r="Q4" s="48"/>
      <c r="R4" s="48"/>
      <c r="S4" s="48"/>
      <c r="T4" s="48"/>
      <c r="U4" s="48"/>
      <c r="V4" s="48"/>
      <c r="W4" s="48"/>
      <c r="X4" s="48"/>
      <c r="Y4" s="48"/>
      <c r="Z4" s="48"/>
      <c r="AA4" s="48"/>
      <c r="AB4" s="48"/>
    </row>
    <row r="5" ht="15.75" customHeight="1">
      <c r="A5" s="42">
        <v>4.0</v>
      </c>
      <c r="B5" s="43">
        <v>6.0</v>
      </c>
      <c r="C5" s="43">
        <v>9.0</v>
      </c>
      <c r="D5" s="44" t="s">
        <v>164</v>
      </c>
      <c r="E5" s="44">
        <v>4.0</v>
      </c>
      <c r="F5" s="49"/>
      <c r="G5" s="45" t="s">
        <v>177</v>
      </c>
      <c r="H5" s="45" t="s">
        <v>178</v>
      </c>
      <c r="I5" s="50" t="s">
        <v>179</v>
      </c>
      <c r="J5" s="45" t="s">
        <v>169</v>
      </c>
      <c r="K5" s="47">
        <v>1.0</v>
      </c>
      <c r="L5" s="47">
        <v>1.0</v>
      </c>
      <c r="M5" s="47">
        <v>4.123105625617661</v>
      </c>
      <c r="N5" s="47"/>
      <c r="O5" s="47"/>
      <c r="P5" s="47"/>
      <c r="Q5" s="48"/>
      <c r="R5" s="48"/>
      <c r="S5" s="48"/>
      <c r="T5" s="48"/>
      <c r="U5" s="48"/>
      <c r="V5" s="48"/>
      <c r="W5" s="48"/>
      <c r="X5" s="48"/>
      <c r="Y5" s="48"/>
      <c r="Z5" s="48"/>
      <c r="AA5" s="48"/>
      <c r="AB5" s="48"/>
    </row>
    <row r="6" ht="15.75" customHeight="1">
      <c r="A6" s="42">
        <v>5.0</v>
      </c>
      <c r="B6" s="43">
        <v>5.0</v>
      </c>
      <c r="C6" s="43">
        <v>8.0</v>
      </c>
      <c r="D6" s="44" t="s">
        <v>164</v>
      </c>
      <c r="E6" s="44">
        <v>5.0</v>
      </c>
      <c r="F6" s="49"/>
      <c r="G6" s="45" t="s">
        <v>180</v>
      </c>
      <c r="H6" s="45" t="s">
        <v>181</v>
      </c>
      <c r="I6" s="52" t="s">
        <v>182</v>
      </c>
      <c r="J6" s="45" t="s">
        <v>169</v>
      </c>
      <c r="K6" s="47">
        <v>1.0</v>
      </c>
      <c r="L6" s="47">
        <v>0.0</v>
      </c>
      <c r="M6" s="47">
        <v>5.385164807134504</v>
      </c>
      <c r="N6" s="47"/>
      <c r="O6" s="47"/>
      <c r="P6" s="47"/>
      <c r="Q6" s="48"/>
      <c r="R6" s="48"/>
      <c r="S6" s="48"/>
      <c r="T6" s="48"/>
      <c r="U6" s="48"/>
      <c r="V6" s="48"/>
      <c r="W6" s="48"/>
      <c r="X6" s="48"/>
      <c r="Y6" s="48"/>
      <c r="Z6" s="48"/>
      <c r="AA6" s="48"/>
      <c r="AB6" s="48"/>
    </row>
    <row r="7" ht="15.75" customHeight="1">
      <c r="A7" s="42">
        <v>6.0</v>
      </c>
      <c r="B7" s="43">
        <v>7.0</v>
      </c>
      <c r="C7" s="43">
        <v>8.0</v>
      </c>
      <c r="D7" s="44" t="s">
        <v>164</v>
      </c>
      <c r="E7" s="44">
        <v>6.0</v>
      </c>
      <c r="F7" s="49"/>
      <c r="G7" s="45" t="s">
        <v>183</v>
      </c>
      <c r="H7" s="45" t="s">
        <v>184</v>
      </c>
      <c r="I7" s="50" t="s">
        <v>185</v>
      </c>
      <c r="J7" s="45" t="s">
        <v>169</v>
      </c>
      <c r="K7" s="47">
        <v>1.0</v>
      </c>
      <c r="L7" s="47">
        <v>1.0</v>
      </c>
      <c r="M7" s="47">
        <v>3.605551275463989</v>
      </c>
      <c r="N7" s="47"/>
      <c r="O7" s="47"/>
      <c r="P7" s="47"/>
      <c r="Q7" s="48"/>
      <c r="R7" s="48"/>
      <c r="S7" s="48"/>
      <c r="T7" s="48"/>
      <c r="U7" s="48"/>
      <c r="V7" s="48"/>
      <c r="W7" s="48"/>
      <c r="X7" s="48"/>
      <c r="Y7" s="48"/>
      <c r="Z7" s="48"/>
      <c r="AA7" s="48"/>
      <c r="AB7" s="48"/>
    </row>
    <row r="8" ht="15.75" customHeight="1">
      <c r="A8" s="42">
        <v>7.0</v>
      </c>
      <c r="B8" s="43">
        <v>3.0</v>
      </c>
      <c r="C8" s="43">
        <v>10.0</v>
      </c>
      <c r="D8" s="44" t="s">
        <v>164</v>
      </c>
      <c r="E8" s="44">
        <v>7.0</v>
      </c>
      <c r="F8" s="49" t="s">
        <v>186</v>
      </c>
      <c r="G8" s="45" t="s">
        <v>187</v>
      </c>
      <c r="H8" s="45" t="s">
        <v>188</v>
      </c>
      <c r="I8" s="52"/>
      <c r="J8" s="45" t="s">
        <v>169</v>
      </c>
      <c r="K8" s="47">
        <v>1.0</v>
      </c>
      <c r="L8" s="47">
        <v>0.0</v>
      </c>
      <c r="M8" s="47">
        <v>7.0</v>
      </c>
      <c r="N8" s="47"/>
      <c r="O8" s="47"/>
      <c r="P8" s="47"/>
      <c r="Q8" s="48"/>
      <c r="R8" s="48"/>
      <c r="S8" s="48"/>
      <c r="T8" s="48"/>
      <c r="U8" s="48"/>
      <c r="V8" s="48"/>
      <c r="W8" s="48"/>
      <c r="X8" s="48"/>
      <c r="Y8" s="48"/>
      <c r="Z8" s="48"/>
      <c r="AA8" s="48"/>
      <c r="AB8" s="48"/>
    </row>
    <row r="9" ht="15.75" customHeight="1">
      <c r="A9" s="42">
        <v>8.0</v>
      </c>
      <c r="B9" s="43">
        <v>7.0</v>
      </c>
      <c r="C9" s="43">
        <v>7.0</v>
      </c>
      <c r="D9" s="44" t="s">
        <v>164</v>
      </c>
      <c r="E9" s="44">
        <v>8.0</v>
      </c>
      <c r="F9" s="49"/>
      <c r="G9" s="45" t="s">
        <v>189</v>
      </c>
      <c r="H9" s="45" t="s">
        <v>190</v>
      </c>
      <c r="I9" s="50" t="s">
        <v>191</v>
      </c>
      <c r="J9" s="45" t="s">
        <v>169</v>
      </c>
      <c r="K9" s="47">
        <v>1.0</v>
      </c>
      <c r="L9" s="47">
        <v>1.0</v>
      </c>
      <c r="M9" s="47">
        <v>4.242640687119285</v>
      </c>
      <c r="N9" s="47"/>
      <c r="O9" s="47"/>
      <c r="P9" s="47"/>
      <c r="Q9" s="48"/>
      <c r="R9" s="48"/>
      <c r="S9" s="48"/>
      <c r="T9" s="48"/>
      <c r="U9" s="48"/>
      <c r="V9" s="48"/>
      <c r="W9" s="48"/>
      <c r="X9" s="48"/>
      <c r="Y9" s="48"/>
      <c r="Z9" s="48"/>
      <c r="AA9" s="48"/>
      <c r="AB9" s="48"/>
    </row>
    <row r="10" ht="15.75" customHeight="1">
      <c r="A10" s="42">
        <v>9.0</v>
      </c>
      <c r="B10" s="43">
        <v>7.0</v>
      </c>
      <c r="C10" s="43">
        <v>8.0</v>
      </c>
      <c r="D10" s="44" t="s">
        <v>164</v>
      </c>
      <c r="E10" s="44">
        <v>9.0</v>
      </c>
      <c r="F10" s="49"/>
      <c r="G10" s="45" t="s">
        <v>192</v>
      </c>
      <c r="H10" s="45" t="s">
        <v>193</v>
      </c>
      <c r="I10" s="50" t="s">
        <v>194</v>
      </c>
      <c r="J10" s="45" t="s">
        <v>169</v>
      </c>
      <c r="K10" s="47">
        <v>1.0</v>
      </c>
      <c r="L10" s="47">
        <v>1.0</v>
      </c>
      <c r="M10" s="47">
        <v>3.605551275463989</v>
      </c>
      <c r="N10" s="47"/>
      <c r="O10" s="47"/>
      <c r="P10" s="47"/>
      <c r="Q10" s="48"/>
      <c r="R10" s="48"/>
      <c r="S10" s="48"/>
      <c r="T10" s="48"/>
      <c r="U10" s="48"/>
      <c r="V10" s="48"/>
      <c r="W10" s="48"/>
      <c r="X10" s="48"/>
      <c r="Y10" s="48"/>
      <c r="Z10" s="48"/>
      <c r="AA10" s="48"/>
      <c r="AB10" s="48"/>
    </row>
    <row r="11" ht="15.75" customHeight="1">
      <c r="A11" s="42">
        <v>10.0</v>
      </c>
      <c r="B11" s="43"/>
      <c r="C11" s="43"/>
      <c r="D11" s="44" t="s">
        <v>164</v>
      </c>
      <c r="E11" s="44">
        <v>10.0</v>
      </c>
      <c r="F11" s="49" t="s">
        <v>195</v>
      </c>
      <c r="G11" s="45" t="s">
        <v>196</v>
      </c>
      <c r="H11" s="45" t="s">
        <v>197</v>
      </c>
      <c r="I11" s="52" t="s">
        <v>198</v>
      </c>
      <c r="J11" s="45" t="s">
        <v>169</v>
      </c>
      <c r="K11" s="47"/>
      <c r="L11" s="47"/>
      <c r="M11" s="47">
        <v>14.142135623730951</v>
      </c>
      <c r="N11" s="47"/>
      <c r="O11" s="47"/>
      <c r="P11" s="47"/>
      <c r="Q11" s="48"/>
      <c r="R11" s="48"/>
      <c r="S11" s="48"/>
      <c r="T11" s="48"/>
      <c r="U11" s="48"/>
      <c r="V11" s="48"/>
      <c r="W11" s="48"/>
      <c r="X11" s="48"/>
      <c r="Y11" s="48"/>
      <c r="Z11" s="48"/>
      <c r="AA11" s="48"/>
      <c r="AB11" s="48"/>
    </row>
    <row r="12" ht="15.75" customHeight="1">
      <c r="A12" s="42">
        <v>11.0</v>
      </c>
      <c r="B12" s="43"/>
      <c r="C12" s="43"/>
      <c r="D12" s="44" t="s">
        <v>164</v>
      </c>
      <c r="E12" s="44">
        <v>11.0</v>
      </c>
      <c r="F12" s="49" t="s">
        <v>195</v>
      </c>
      <c r="G12" s="45" t="s">
        <v>199</v>
      </c>
      <c r="H12" s="45" t="s">
        <v>200</v>
      </c>
      <c r="I12" s="50" t="s">
        <v>201</v>
      </c>
      <c r="J12" s="45" t="s">
        <v>169</v>
      </c>
      <c r="K12" s="47"/>
      <c r="L12" s="47"/>
      <c r="M12" s="47">
        <v>14.142135623730951</v>
      </c>
      <c r="N12" s="47"/>
      <c r="O12" s="47"/>
      <c r="P12" s="47"/>
      <c r="Q12" s="48"/>
      <c r="R12" s="48"/>
      <c r="S12" s="48"/>
      <c r="T12" s="48"/>
      <c r="U12" s="48"/>
      <c r="V12" s="48"/>
      <c r="W12" s="48"/>
      <c r="X12" s="48"/>
      <c r="Y12" s="48"/>
      <c r="Z12" s="48"/>
      <c r="AA12" s="48"/>
      <c r="AB12" s="48"/>
    </row>
    <row r="13" ht="15.75" customHeight="1">
      <c r="A13" s="42">
        <v>12.0</v>
      </c>
      <c r="B13" s="43"/>
      <c r="C13" s="43"/>
      <c r="D13" s="44" t="s">
        <v>164</v>
      </c>
      <c r="E13" s="44">
        <v>12.0</v>
      </c>
      <c r="F13" s="49" t="s">
        <v>195</v>
      </c>
      <c r="G13" s="45" t="s">
        <v>202</v>
      </c>
      <c r="H13" s="45" t="s">
        <v>203</v>
      </c>
      <c r="I13" s="50" t="s">
        <v>204</v>
      </c>
      <c r="J13" s="45" t="s">
        <v>169</v>
      </c>
      <c r="K13" s="47"/>
      <c r="L13" s="47"/>
      <c r="M13" s="47">
        <v>14.142135623730951</v>
      </c>
      <c r="N13" s="47"/>
      <c r="O13" s="47"/>
      <c r="P13" s="47"/>
      <c r="Q13" s="48"/>
      <c r="R13" s="48"/>
      <c r="S13" s="48"/>
      <c r="T13" s="48"/>
      <c r="U13" s="48"/>
      <c r="V13" s="48"/>
      <c r="W13" s="48"/>
      <c r="X13" s="48"/>
      <c r="Y13" s="48"/>
      <c r="Z13" s="48"/>
      <c r="AA13" s="48"/>
      <c r="AB13" s="48"/>
    </row>
    <row r="14" ht="15.75" customHeight="1">
      <c r="A14" s="42">
        <v>13.0</v>
      </c>
      <c r="B14" s="43"/>
      <c r="C14" s="43"/>
      <c r="D14" s="44" t="s">
        <v>164</v>
      </c>
      <c r="E14" s="44">
        <v>13.0</v>
      </c>
      <c r="F14" s="49" t="s">
        <v>195</v>
      </c>
      <c r="G14" s="45" t="s">
        <v>205</v>
      </c>
      <c r="H14" s="45" t="s">
        <v>206</v>
      </c>
      <c r="I14" s="52" t="s">
        <v>207</v>
      </c>
      <c r="J14" s="45" t="s">
        <v>169</v>
      </c>
      <c r="K14" s="47"/>
      <c r="L14" s="47"/>
      <c r="M14" s="47">
        <v>14.142135623730951</v>
      </c>
      <c r="N14" s="47"/>
      <c r="O14" s="47"/>
      <c r="P14" s="47"/>
      <c r="Q14" s="48"/>
      <c r="R14" s="48"/>
      <c r="S14" s="48"/>
      <c r="T14" s="48"/>
      <c r="U14" s="48"/>
      <c r="V14" s="48"/>
      <c r="W14" s="48"/>
      <c r="X14" s="48"/>
      <c r="Y14" s="48"/>
      <c r="Z14" s="48"/>
      <c r="AA14" s="48"/>
      <c r="AB14" s="48"/>
    </row>
    <row r="15" ht="15.75" customHeight="1">
      <c r="A15" s="42">
        <v>14.0</v>
      </c>
      <c r="B15" s="43"/>
      <c r="C15" s="43"/>
      <c r="D15" s="44" t="s">
        <v>164</v>
      </c>
      <c r="E15" s="44">
        <v>14.0</v>
      </c>
      <c r="F15" s="49" t="s">
        <v>195</v>
      </c>
      <c r="G15" s="45" t="s">
        <v>208</v>
      </c>
      <c r="H15" s="45" t="s">
        <v>209</v>
      </c>
      <c r="I15" s="50" t="s">
        <v>210</v>
      </c>
      <c r="J15" s="45" t="s">
        <v>169</v>
      </c>
      <c r="K15" s="47"/>
      <c r="L15" s="47"/>
      <c r="M15" s="47">
        <v>14.142135623730951</v>
      </c>
      <c r="N15" s="47"/>
      <c r="O15" s="47"/>
      <c r="P15" s="47"/>
      <c r="Q15" s="48"/>
      <c r="R15" s="48"/>
      <c r="S15" s="48"/>
      <c r="T15" s="48"/>
      <c r="U15" s="48"/>
      <c r="V15" s="48"/>
      <c r="W15" s="48"/>
      <c r="X15" s="48"/>
      <c r="Y15" s="48"/>
      <c r="Z15" s="48"/>
      <c r="AA15" s="48"/>
      <c r="AB15" s="48"/>
    </row>
    <row r="16" ht="15.75" customHeight="1">
      <c r="A16" s="42">
        <v>15.0</v>
      </c>
      <c r="B16" s="43">
        <v>5.0</v>
      </c>
      <c r="C16" s="43"/>
      <c r="D16" s="44" t="s">
        <v>164</v>
      </c>
      <c r="E16" s="44">
        <v>15.0</v>
      </c>
      <c r="F16" s="49" t="s">
        <v>211</v>
      </c>
      <c r="G16" s="45" t="s">
        <v>212</v>
      </c>
      <c r="H16" s="45"/>
      <c r="I16" s="50" t="s">
        <v>213</v>
      </c>
      <c r="J16" s="45" t="s">
        <v>169</v>
      </c>
      <c r="K16" s="47"/>
      <c r="L16" s="47"/>
      <c r="M16" s="47">
        <v>11.180339887498949</v>
      </c>
      <c r="N16" s="47"/>
      <c r="O16" s="47"/>
      <c r="P16" s="47"/>
      <c r="Q16" s="48"/>
      <c r="R16" s="48"/>
      <c r="S16" s="48"/>
      <c r="T16" s="48"/>
      <c r="U16" s="48"/>
      <c r="V16" s="48"/>
      <c r="W16" s="48"/>
      <c r="X16" s="48"/>
      <c r="Y16" s="48"/>
      <c r="Z16" s="48"/>
      <c r="AA16" s="48"/>
      <c r="AB16" s="48"/>
    </row>
    <row r="17" ht="15.75" customHeight="1">
      <c r="A17" s="42">
        <v>16.0</v>
      </c>
      <c r="B17" s="43">
        <v>7.0</v>
      </c>
      <c r="C17" s="43"/>
      <c r="D17" s="44" t="s">
        <v>164</v>
      </c>
      <c r="E17" s="44">
        <v>16.0</v>
      </c>
      <c r="F17" s="49" t="s">
        <v>211</v>
      </c>
      <c r="G17" s="45" t="s">
        <v>214</v>
      </c>
      <c r="H17" s="45"/>
      <c r="I17" s="52" t="s">
        <v>213</v>
      </c>
      <c r="J17" s="45" t="s">
        <v>169</v>
      </c>
      <c r="K17" s="47"/>
      <c r="L17" s="47"/>
      <c r="M17" s="47">
        <v>10.44030650891055</v>
      </c>
      <c r="N17" s="47"/>
      <c r="O17" s="47"/>
      <c r="P17" s="47"/>
      <c r="Q17" s="48"/>
      <c r="R17" s="48"/>
      <c r="S17" s="48"/>
      <c r="T17" s="48"/>
      <c r="U17" s="48"/>
      <c r="V17" s="48"/>
      <c r="W17" s="48"/>
      <c r="X17" s="48"/>
      <c r="Y17" s="48"/>
      <c r="Z17" s="48"/>
      <c r="AA17" s="48"/>
      <c r="AB17" s="48"/>
    </row>
    <row r="18" ht="15.75" customHeight="1">
      <c r="A18" s="42">
        <v>17.0</v>
      </c>
      <c r="B18" s="43">
        <v>8.0</v>
      </c>
      <c r="C18" s="43">
        <v>7.0</v>
      </c>
      <c r="D18" s="44" t="s">
        <v>164</v>
      </c>
      <c r="E18" s="44">
        <v>17.0</v>
      </c>
      <c r="F18" s="49"/>
      <c r="G18" s="45" t="s">
        <v>215</v>
      </c>
      <c r="H18" s="45" t="s">
        <v>216</v>
      </c>
      <c r="I18" s="50" t="s">
        <v>217</v>
      </c>
      <c r="J18" s="45" t="s">
        <v>169</v>
      </c>
      <c r="K18" s="47">
        <v>1.0</v>
      </c>
      <c r="L18" s="47">
        <v>1.0</v>
      </c>
      <c r="M18" s="47">
        <v>3.605551275463989</v>
      </c>
      <c r="N18" s="47"/>
      <c r="O18" s="47"/>
      <c r="P18" s="47"/>
      <c r="Q18" s="48"/>
      <c r="R18" s="48"/>
      <c r="S18" s="48"/>
      <c r="T18" s="48"/>
      <c r="U18" s="48"/>
      <c r="V18" s="48"/>
      <c r="W18" s="48"/>
      <c r="X18" s="48"/>
      <c r="Y18" s="48"/>
      <c r="Z18" s="48"/>
      <c r="AA18" s="48"/>
      <c r="AB18" s="48"/>
    </row>
    <row r="19" ht="15.75" customHeight="1">
      <c r="A19" s="42">
        <v>18.0</v>
      </c>
      <c r="B19" s="43"/>
      <c r="C19" s="43"/>
      <c r="D19" s="44" t="s">
        <v>164</v>
      </c>
      <c r="E19" s="44">
        <v>18.0</v>
      </c>
      <c r="F19" s="49" t="s">
        <v>195</v>
      </c>
      <c r="G19" s="45" t="s">
        <v>218</v>
      </c>
      <c r="H19" s="45" t="s">
        <v>218</v>
      </c>
      <c r="I19" s="50" t="s">
        <v>219</v>
      </c>
      <c r="J19" s="45" t="s">
        <v>169</v>
      </c>
      <c r="K19" s="47"/>
      <c r="L19" s="47"/>
      <c r="M19" s="47">
        <v>14.142135623730951</v>
      </c>
      <c r="N19" s="47"/>
      <c r="O19" s="47"/>
      <c r="P19" s="47"/>
      <c r="Q19" s="48"/>
      <c r="R19" s="48"/>
      <c r="S19" s="48"/>
      <c r="T19" s="48"/>
      <c r="U19" s="48"/>
      <c r="V19" s="48"/>
      <c r="W19" s="48"/>
      <c r="X19" s="48"/>
      <c r="Y19" s="48"/>
      <c r="Z19" s="48"/>
      <c r="AA19" s="48"/>
      <c r="AB19" s="48"/>
    </row>
    <row r="20" ht="15.75" customHeight="1">
      <c r="A20" s="42">
        <v>19.0</v>
      </c>
      <c r="B20" s="43"/>
      <c r="C20" s="43"/>
      <c r="D20" s="44" t="s">
        <v>164</v>
      </c>
      <c r="E20" s="44">
        <v>19.0</v>
      </c>
      <c r="F20" s="49" t="s">
        <v>195</v>
      </c>
      <c r="G20" s="45" t="s">
        <v>220</v>
      </c>
      <c r="H20" s="45" t="s">
        <v>221</v>
      </c>
      <c r="I20" s="50" t="s">
        <v>222</v>
      </c>
      <c r="J20" s="45" t="s">
        <v>223</v>
      </c>
      <c r="K20" s="47"/>
      <c r="L20" s="47"/>
      <c r="M20" s="47">
        <v>14.142135623730951</v>
      </c>
      <c r="N20" s="47"/>
      <c r="O20" s="47"/>
      <c r="P20" s="47"/>
      <c r="Q20" s="48"/>
      <c r="R20" s="48"/>
      <c r="S20" s="48"/>
      <c r="T20" s="48"/>
      <c r="U20" s="48"/>
      <c r="V20" s="48"/>
      <c r="W20" s="48"/>
      <c r="X20" s="48"/>
      <c r="Y20" s="48"/>
      <c r="Z20" s="48"/>
      <c r="AA20" s="48"/>
      <c r="AB20" s="48"/>
    </row>
    <row r="21" ht="15.75" customHeight="1">
      <c r="A21" s="42">
        <v>20.0</v>
      </c>
      <c r="B21" s="43"/>
      <c r="C21" s="43"/>
      <c r="D21" s="44" t="s">
        <v>164</v>
      </c>
      <c r="E21" s="44">
        <v>20.0</v>
      </c>
      <c r="F21" s="49" t="s">
        <v>195</v>
      </c>
      <c r="G21" s="45" t="s">
        <v>224</v>
      </c>
      <c r="H21" s="45" t="s">
        <v>224</v>
      </c>
      <c r="I21" s="50" t="s">
        <v>225</v>
      </c>
      <c r="J21" s="45" t="s">
        <v>169</v>
      </c>
      <c r="K21" s="47"/>
      <c r="L21" s="47"/>
      <c r="M21" s="47">
        <v>14.142135623730951</v>
      </c>
      <c r="N21" s="47"/>
      <c r="O21" s="47"/>
      <c r="P21" s="47"/>
      <c r="Q21" s="48"/>
      <c r="R21" s="48"/>
      <c r="S21" s="48"/>
      <c r="T21" s="48"/>
      <c r="U21" s="48"/>
      <c r="V21" s="48"/>
      <c r="W21" s="48"/>
      <c r="X21" s="48"/>
      <c r="Y21" s="48"/>
      <c r="Z21" s="48"/>
      <c r="AA21" s="48"/>
      <c r="AB21" s="48"/>
    </row>
    <row r="22" ht="15.75" customHeight="1">
      <c r="A22" s="42">
        <v>21.0</v>
      </c>
      <c r="B22" s="43">
        <v>1.0</v>
      </c>
      <c r="C22" s="43">
        <v>0.0</v>
      </c>
      <c r="D22" s="44" t="s">
        <v>226</v>
      </c>
      <c r="E22" s="44">
        <v>1.0</v>
      </c>
      <c r="F22" s="49"/>
      <c r="G22" s="45" t="s">
        <v>227</v>
      </c>
      <c r="H22" s="45" t="s">
        <v>228</v>
      </c>
      <c r="I22" s="50" t="s">
        <v>229</v>
      </c>
      <c r="J22" s="45" t="s">
        <v>169</v>
      </c>
      <c r="K22" s="47">
        <v>1.0</v>
      </c>
      <c r="L22" s="47">
        <v>0.0</v>
      </c>
      <c r="M22" s="47">
        <v>13.45362404707371</v>
      </c>
      <c r="N22" s="47"/>
      <c r="O22" s="47"/>
      <c r="P22" s="47"/>
      <c r="Q22" s="48"/>
      <c r="R22" s="48"/>
      <c r="S22" s="48"/>
      <c r="T22" s="48"/>
      <c r="U22" s="48"/>
      <c r="V22" s="48"/>
      <c r="W22" s="48"/>
      <c r="X22" s="48"/>
      <c r="Y22" s="48"/>
      <c r="Z22" s="48"/>
      <c r="AA22" s="48"/>
      <c r="AB22" s="48"/>
    </row>
    <row r="23" ht="15.75" customHeight="1">
      <c r="A23" s="42">
        <v>22.0</v>
      </c>
      <c r="B23" s="43">
        <v>2.0</v>
      </c>
      <c r="C23" s="43">
        <v>4.0</v>
      </c>
      <c r="D23" s="44" t="s">
        <v>226</v>
      </c>
      <c r="E23" s="44">
        <v>2.0</v>
      </c>
      <c r="F23" s="49"/>
      <c r="G23" s="45" t="s">
        <v>230</v>
      </c>
      <c r="H23" s="45" t="s">
        <v>231</v>
      </c>
      <c r="I23" s="50" t="s">
        <v>232</v>
      </c>
      <c r="J23" s="45" t="s">
        <v>169</v>
      </c>
      <c r="K23" s="47">
        <v>1.0</v>
      </c>
      <c r="L23" s="47">
        <v>0.0</v>
      </c>
      <c r="M23" s="47">
        <v>10.0</v>
      </c>
      <c r="N23" s="47"/>
      <c r="O23" s="47"/>
      <c r="P23" s="47"/>
      <c r="Q23" s="48"/>
      <c r="R23" s="48"/>
      <c r="S23" s="48"/>
      <c r="T23" s="48"/>
      <c r="U23" s="48"/>
      <c r="V23" s="48"/>
      <c r="W23" s="48"/>
      <c r="X23" s="48"/>
      <c r="Y23" s="48"/>
      <c r="Z23" s="48"/>
      <c r="AA23" s="48"/>
      <c r="AB23" s="48"/>
    </row>
    <row r="24" ht="15.75" customHeight="1">
      <c r="A24" s="42">
        <v>23.0</v>
      </c>
      <c r="B24" s="43">
        <v>4.0</v>
      </c>
      <c r="C24" s="43">
        <v>0.0</v>
      </c>
      <c r="D24" s="44" t="s">
        <v>226</v>
      </c>
      <c r="E24" s="44">
        <v>3.0</v>
      </c>
      <c r="F24" s="49"/>
      <c r="G24" s="45" t="s">
        <v>233</v>
      </c>
      <c r="H24" s="45" t="s">
        <v>234</v>
      </c>
      <c r="I24" s="50" t="s">
        <v>235</v>
      </c>
      <c r="J24" s="45" t="s">
        <v>169</v>
      </c>
      <c r="K24" s="47">
        <v>1.0</v>
      </c>
      <c r="L24" s="47">
        <v>0.0</v>
      </c>
      <c r="M24" s="47">
        <v>11.661903789690601</v>
      </c>
      <c r="N24" s="47"/>
      <c r="O24" s="47"/>
      <c r="P24" s="47"/>
      <c r="Q24" s="48"/>
      <c r="R24" s="48"/>
      <c r="S24" s="48"/>
      <c r="T24" s="48"/>
      <c r="U24" s="48"/>
      <c r="V24" s="48"/>
      <c r="W24" s="48"/>
      <c r="X24" s="48"/>
      <c r="Y24" s="48"/>
      <c r="Z24" s="48"/>
      <c r="AA24" s="48"/>
      <c r="AB24" s="48"/>
    </row>
    <row r="25" ht="15.75" customHeight="1">
      <c r="A25" s="42">
        <v>24.0</v>
      </c>
      <c r="B25" s="43">
        <v>3.0</v>
      </c>
      <c r="C25" s="43">
        <v>3.0</v>
      </c>
      <c r="D25" s="44" t="s">
        <v>226</v>
      </c>
      <c r="E25" s="44">
        <v>4.0</v>
      </c>
      <c r="F25" s="49"/>
      <c r="G25" s="45" t="s">
        <v>236</v>
      </c>
      <c r="H25" s="45" t="s">
        <v>237</v>
      </c>
      <c r="I25" s="50" t="s">
        <v>238</v>
      </c>
      <c r="J25" s="45" t="s">
        <v>169</v>
      </c>
      <c r="K25" s="47">
        <v>1.0</v>
      </c>
      <c r="L25" s="47">
        <v>0.0</v>
      </c>
      <c r="M25" s="47">
        <v>9.899494936611665</v>
      </c>
      <c r="N25" s="47"/>
      <c r="O25" s="47"/>
      <c r="P25" s="47"/>
      <c r="Q25" s="48"/>
      <c r="R25" s="48"/>
      <c r="S25" s="48"/>
      <c r="T25" s="48"/>
      <c r="U25" s="48"/>
      <c r="V25" s="48"/>
      <c r="W25" s="48"/>
      <c r="X25" s="48"/>
      <c r="Y25" s="48"/>
      <c r="Z25" s="48"/>
      <c r="AA25" s="48"/>
      <c r="AB25" s="48"/>
    </row>
    <row r="26" ht="15.75" customHeight="1">
      <c r="A26" s="42">
        <v>25.0</v>
      </c>
      <c r="B26" s="43">
        <v>2.0</v>
      </c>
      <c r="C26" s="43">
        <v>2.0</v>
      </c>
      <c r="D26" s="44" t="s">
        <v>226</v>
      </c>
      <c r="E26" s="44">
        <v>5.0</v>
      </c>
      <c r="F26" s="49"/>
      <c r="G26" s="45" t="s">
        <v>239</v>
      </c>
      <c r="H26" s="45" t="s">
        <v>240</v>
      </c>
      <c r="I26" s="50" t="s">
        <v>241</v>
      </c>
      <c r="J26" s="45" t="s">
        <v>169</v>
      </c>
      <c r="K26" s="47">
        <v>1.0</v>
      </c>
      <c r="L26" s="47">
        <v>0.0</v>
      </c>
      <c r="M26" s="47">
        <v>11.313708498984761</v>
      </c>
      <c r="N26" s="47"/>
      <c r="O26" s="47"/>
      <c r="P26" s="47"/>
      <c r="Q26" s="48"/>
      <c r="R26" s="48"/>
      <c r="S26" s="48"/>
      <c r="T26" s="48"/>
      <c r="U26" s="48"/>
      <c r="V26" s="48"/>
      <c r="W26" s="48"/>
      <c r="X26" s="48"/>
      <c r="Y26" s="48"/>
      <c r="Z26" s="48"/>
      <c r="AA26" s="48"/>
      <c r="AB26" s="48"/>
    </row>
    <row r="27" ht="15.75" customHeight="1">
      <c r="A27" s="42">
        <v>26.0</v>
      </c>
      <c r="B27" s="43">
        <v>4.0</v>
      </c>
      <c r="C27" s="43">
        <v>3.0</v>
      </c>
      <c r="D27" s="44" t="s">
        <v>226</v>
      </c>
      <c r="E27" s="44">
        <v>6.0</v>
      </c>
      <c r="F27" s="49"/>
      <c r="G27" s="53" t="s">
        <v>242</v>
      </c>
      <c r="H27" s="45" t="s">
        <v>243</v>
      </c>
      <c r="I27" s="50" t="s">
        <v>244</v>
      </c>
      <c r="J27" s="45" t="s">
        <v>169</v>
      </c>
      <c r="K27" s="47">
        <v>1.0</v>
      </c>
      <c r="L27" s="47">
        <v>0.0</v>
      </c>
      <c r="M27" s="47">
        <v>9.219544457292887</v>
      </c>
      <c r="N27" s="47"/>
      <c r="O27" s="47"/>
      <c r="P27" s="47"/>
      <c r="Q27" s="48"/>
      <c r="R27" s="48"/>
      <c r="S27" s="48"/>
      <c r="T27" s="48"/>
      <c r="U27" s="48"/>
      <c r="V27" s="48"/>
      <c r="W27" s="48"/>
      <c r="X27" s="48"/>
      <c r="Y27" s="48"/>
      <c r="Z27" s="48"/>
      <c r="AA27" s="48"/>
      <c r="AB27" s="48"/>
    </row>
    <row r="28" ht="15.75" customHeight="1">
      <c r="A28" s="42">
        <v>27.0</v>
      </c>
      <c r="B28" s="43">
        <v>2.0</v>
      </c>
      <c r="C28" s="43">
        <v>1.0</v>
      </c>
      <c r="D28" s="44" t="s">
        <v>226</v>
      </c>
      <c r="E28" s="44">
        <v>7.0</v>
      </c>
      <c r="F28" s="49"/>
      <c r="G28" s="53" t="s">
        <v>245</v>
      </c>
      <c r="H28" s="45" t="s">
        <v>246</v>
      </c>
      <c r="I28" s="50" t="s">
        <v>247</v>
      </c>
      <c r="J28" s="45" t="s">
        <v>169</v>
      </c>
      <c r="K28" s="47">
        <v>1.0</v>
      </c>
      <c r="L28" s="47">
        <v>0.0</v>
      </c>
      <c r="M28" s="47">
        <v>12.041594578792296</v>
      </c>
      <c r="N28" s="47"/>
      <c r="O28" s="47"/>
      <c r="P28" s="47"/>
      <c r="Q28" s="48"/>
      <c r="R28" s="48"/>
      <c r="S28" s="48"/>
      <c r="T28" s="48"/>
      <c r="U28" s="48"/>
      <c r="V28" s="48"/>
      <c r="W28" s="48"/>
      <c r="X28" s="48"/>
      <c r="Y28" s="48"/>
      <c r="Z28" s="48"/>
      <c r="AA28" s="48"/>
      <c r="AB28" s="48"/>
    </row>
    <row r="29" ht="15.75" customHeight="1">
      <c r="A29" s="42">
        <v>28.0</v>
      </c>
      <c r="B29" s="43">
        <v>3.0</v>
      </c>
      <c r="C29" s="43">
        <v>3.0</v>
      </c>
      <c r="D29" s="44" t="s">
        <v>226</v>
      </c>
      <c r="E29" s="44">
        <v>8.0</v>
      </c>
      <c r="F29" s="49"/>
      <c r="G29" s="53" t="s">
        <v>248</v>
      </c>
      <c r="H29" s="45" t="s">
        <v>249</v>
      </c>
      <c r="I29" s="50" t="s">
        <v>250</v>
      </c>
      <c r="J29" s="45" t="s">
        <v>169</v>
      </c>
      <c r="K29" s="47">
        <v>1.0</v>
      </c>
      <c r="L29" s="47">
        <v>0.0</v>
      </c>
      <c r="M29" s="47">
        <v>9.899494936611665</v>
      </c>
      <c r="N29" s="47"/>
      <c r="O29" s="47"/>
      <c r="P29" s="47"/>
      <c r="Q29" s="48"/>
      <c r="R29" s="48"/>
      <c r="S29" s="48"/>
      <c r="T29" s="48"/>
      <c r="U29" s="48"/>
      <c r="V29" s="48"/>
      <c r="W29" s="48"/>
      <c r="X29" s="48"/>
      <c r="Y29" s="48"/>
      <c r="Z29" s="48"/>
      <c r="AA29" s="48"/>
      <c r="AB29" s="48"/>
    </row>
    <row r="30" ht="15.75" customHeight="1">
      <c r="A30" s="42">
        <v>29.0</v>
      </c>
      <c r="B30" s="43">
        <v>5.0</v>
      </c>
      <c r="C30" s="43">
        <v>4.0</v>
      </c>
      <c r="D30" s="44" t="s">
        <v>226</v>
      </c>
      <c r="E30" s="44">
        <v>9.0</v>
      </c>
      <c r="F30" s="49"/>
      <c r="G30" s="53" t="s">
        <v>251</v>
      </c>
      <c r="H30" s="45" t="s">
        <v>252</v>
      </c>
      <c r="I30" s="50" t="s">
        <v>253</v>
      </c>
      <c r="J30" s="45" t="s">
        <v>169</v>
      </c>
      <c r="K30" s="47">
        <v>1.0</v>
      </c>
      <c r="L30" s="47">
        <v>0.0</v>
      </c>
      <c r="M30" s="47">
        <v>7.810249675906654</v>
      </c>
      <c r="N30" s="47"/>
      <c r="O30" s="47"/>
      <c r="P30" s="47"/>
      <c r="Q30" s="48"/>
      <c r="R30" s="48"/>
      <c r="S30" s="48"/>
      <c r="T30" s="48"/>
      <c r="U30" s="48"/>
      <c r="V30" s="48"/>
      <c r="W30" s="48"/>
      <c r="X30" s="48"/>
      <c r="Y30" s="48"/>
      <c r="Z30" s="48"/>
      <c r="AA30" s="48"/>
      <c r="AB30" s="48"/>
    </row>
    <row r="31" ht="15.75" customHeight="1">
      <c r="A31" s="42">
        <v>30.0</v>
      </c>
      <c r="B31" s="43">
        <v>1.0</v>
      </c>
      <c r="C31" s="43">
        <v>3.0</v>
      </c>
      <c r="D31" s="44" t="s">
        <v>226</v>
      </c>
      <c r="E31" s="44">
        <v>10.0</v>
      </c>
      <c r="F31" s="49"/>
      <c r="G31" s="53" t="s">
        <v>254</v>
      </c>
      <c r="H31" s="45" t="s">
        <v>255</v>
      </c>
      <c r="I31" s="50" t="s">
        <v>256</v>
      </c>
      <c r="J31" s="45" t="s">
        <v>169</v>
      </c>
      <c r="K31" s="47">
        <v>1.0</v>
      </c>
      <c r="L31" s="47">
        <v>0.0</v>
      </c>
      <c r="M31" s="47">
        <v>11.40175425099138</v>
      </c>
      <c r="N31" s="47"/>
      <c r="O31" s="47"/>
      <c r="P31" s="47"/>
      <c r="Q31" s="48"/>
      <c r="R31" s="48"/>
      <c r="S31" s="48"/>
      <c r="T31" s="48"/>
      <c r="U31" s="48"/>
      <c r="V31" s="48"/>
      <c r="W31" s="48"/>
      <c r="X31" s="48"/>
      <c r="Y31" s="48"/>
      <c r="Z31" s="48"/>
      <c r="AA31" s="48"/>
      <c r="AB31" s="48"/>
    </row>
    <row r="32" ht="15.75" customHeight="1">
      <c r="A32" s="42">
        <v>31.0</v>
      </c>
      <c r="B32" s="43">
        <v>2.0</v>
      </c>
      <c r="C32" s="43">
        <v>4.0</v>
      </c>
      <c r="D32" s="44" t="s">
        <v>226</v>
      </c>
      <c r="E32" s="44">
        <v>11.0</v>
      </c>
      <c r="F32" s="49"/>
      <c r="G32" s="53" t="s">
        <v>257</v>
      </c>
      <c r="H32" s="45" t="s">
        <v>258</v>
      </c>
      <c r="I32" s="50" t="s">
        <v>259</v>
      </c>
      <c r="J32" s="45" t="s">
        <v>169</v>
      </c>
      <c r="K32" s="47">
        <v>1.0</v>
      </c>
      <c r="L32" s="47">
        <v>0.0</v>
      </c>
      <c r="M32" s="47">
        <v>10.0</v>
      </c>
      <c r="N32" s="47"/>
      <c r="O32" s="47"/>
      <c r="P32" s="47"/>
      <c r="Q32" s="48"/>
      <c r="R32" s="48"/>
      <c r="S32" s="48"/>
      <c r="T32" s="48"/>
      <c r="U32" s="48"/>
      <c r="V32" s="48"/>
      <c r="W32" s="48"/>
      <c r="X32" s="48"/>
      <c r="Y32" s="48"/>
      <c r="Z32" s="48"/>
      <c r="AA32" s="48"/>
      <c r="AB32" s="48"/>
    </row>
    <row r="33" ht="15.75" customHeight="1">
      <c r="A33" s="42">
        <v>32.0</v>
      </c>
      <c r="B33" s="43">
        <v>4.0</v>
      </c>
      <c r="C33" s="43">
        <v>9.0</v>
      </c>
      <c r="D33" s="44" t="s">
        <v>226</v>
      </c>
      <c r="E33" s="44">
        <v>12.0</v>
      </c>
      <c r="F33" s="49"/>
      <c r="G33" s="53" t="s">
        <v>260</v>
      </c>
      <c r="H33" s="45" t="s">
        <v>261</v>
      </c>
      <c r="I33" s="50" t="s">
        <v>262</v>
      </c>
      <c r="J33" s="45" t="s">
        <v>169</v>
      </c>
      <c r="K33" s="47">
        <v>1.0</v>
      </c>
      <c r="L33" s="47">
        <v>0.0</v>
      </c>
      <c r="M33" s="47">
        <v>6.082762530298219</v>
      </c>
      <c r="N33" s="47"/>
      <c r="O33" s="47"/>
      <c r="P33" s="47"/>
      <c r="Q33" s="48"/>
      <c r="R33" s="48"/>
      <c r="S33" s="48"/>
      <c r="T33" s="48"/>
      <c r="U33" s="48"/>
      <c r="V33" s="48"/>
      <c r="W33" s="48"/>
      <c r="X33" s="48"/>
      <c r="Y33" s="48"/>
      <c r="Z33" s="48"/>
      <c r="AA33" s="48"/>
      <c r="AB33" s="48"/>
    </row>
    <row r="34" ht="15.75" customHeight="1">
      <c r="A34" s="42">
        <v>33.0</v>
      </c>
      <c r="B34" s="43">
        <v>0.0</v>
      </c>
      <c r="C34" s="43">
        <v>5.0</v>
      </c>
      <c r="D34" s="44" t="s">
        <v>226</v>
      </c>
      <c r="E34" s="44">
        <v>13.0</v>
      </c>
      <c r="F34" s="49"/>
      <c r="G34" s="53" t="s">
        <v>263</v>
      </c>
      <c r="H34" s="45" t="s">
        <v>264</v>
      </c>
      <c r="I34" s="50" t="s">
        <v>265</v>
      </c>
      <c r="J34" s="45" t="s">
        <v>169</v>
      </c>
      <c r="K34" s="47">
        <v>1.0</v>
      </c>
      <c r="L34" s="47">
        <v>0.0</v>
      </c>
      <c r="M34" s="47">
        <v>11.180339887498949</v>
      </c>
      <c r="N34" s="47"/>
      <c r="O34" s="47"/>
      <c r="P34" s="47"/>
      <c r="Q34" s="48"/>
      <c r="R34" s="48"/>
      <c r="S34" s="48"/>
      <c r="T34" s="48"/>
      <c r="U34" s="48"/>
      <c r="V34" s="48"/>
      <c r="W34" s="48"/>
      <c r="X34" s="48"/>
      <c r="Y34" s="48"/>
      <c r="Z34" s="48"/>
      <c r="AA34" s="48"/>
      <c r="AB34" s="48"/>
    </row>
    <row r="35" ht="15.75" customHeight="1">
      <c r="A35" s="42">
        <v>34.0</v>
      </c>
      <c r="B35" s="43">
        <v>0.0</v>
      </c>
      <c r="C35" s="43">
        <v>0.0</v>
      </c>
      <c r="D35" s="44" t="s">
        <v>226</v>
      </c>
      <c r="E35" s="44">
        <v>14.0</v>
      </c>
      <c r="F35" s="49"/>
      <c r="G35" s="45" t="s">
        <v>266</v>
      </c>
      <c r="H35" s="45" t="s">
        <v>267</v>
      </c>
      <c r="I35" s="52" t="s">
        <v>268</v>
      </c>
      <c r="J35" s="45" t="s">
        <v>169</v>
      </c>
      <c r="K35" s="47">
        <v>1.0</v>
      </c>
      <c r="L35" s="47">
        <v>0.0</v>
      </c>
      <c r="M35" s="47">
        <v>14.142135623730951</v>
      </c>
      <c r="N35" s="47"/>
      <c r="O35" s="47"/>
      <c r="P35" s="47"/>
      <c r="Q35" s="48"/>
      <c r="R35" s="48"/>
      <c r="S35" s="48"/>
      <c r="T35" s="48"/>
      <c r="U35" s="48"/>
      <c r="V35" s="48"/>
      <c r="W35" s="48"/>
      <c r="X35" s="48"/>
      <c r="Y35" s="48"/>
      <c r="Z35" s="48"/>
      <c r="AA35" s="48"/>
      <c r="AB35" s="48"/>
    </row>
    <row r="36" ht="15.75" customHeight="1">
      <c r="A36" s="42">
        <v>35.0</v>
      </c>
      <c r="B36" s="43">
        <v>0.0</v>
      </c>
      <c r="C36" s="43">
        <v>5.0</v>
      </c>
      <c r="D36" s="44" t="s">
        <v>226</v>
      </c>
      <c r="E36" s="44">
        <v>15.0</v>
      </c>
      <c r="F36" s="49"/>
      <c r="G36" s="45" t="s">
        <v>269</v>
      </c>
      <c r="H36" s="45" t="s">
        <v>270</v>
      </c>
      <c r="I36" s="50" t="s">
        <v>271</v>
      </c>
      <c r="J36" s="45" t="s">
        <v>169</v>
      </c>
      <c r="K36" s="47">
        <v>1.0</v>
      </c>
      <c r="L36" s="47">
        <v>0.0</v>
      </c>
      <c r="M36" s="47">
        <v>11.180339887498949</v>
      </c>
      <c r="N36" s="47"/>
      <c r="O36" s="47"/>
      <c r="P36" s="47"/>
      <c r="Q36" s="48"/>
      <c r="R36" s="48"/>
      <c r="S36" s="48"/>
      <c r="T36" s="48"/>
      <c r="U36" s="48"/>
      <c r="V36" s="48"/>
      <c r="W36" s="48"/>
      <c r="X36" s="48"/>
      <c r="Y36" s="48"/>
      <c r="Z36" s="48"/>
      <c r="AA36" s="48"/>
      <c r="AB36" s="48"/>
    </row>
    <row r="37" ht="15.75" customHeight="1">
      <c r="A37" s="42">
        <v>36.0</v>
      </c>
      <c r="B37" s="43">
        <v>0.0</v>
      </c>
      <c r="C37" s="43">
        <v>8.0</v>
      </c>
      <c r="D37" s="44" t="s">
        <v>272</v>
      </c>
      <c r="E37" s="44">
        <v>1.0</v>
      </c>
      <c r="F37" s="49"/>
      <c r="G37" s="45" t="s">
        <v>273</v>
      </c>
      <c r="H37" s="45" t="s">
        <v>274</v>
      </c>
      <c r="I37" s="50" t="s">
        <v>275</v>
      </c>
      <c r="J37" s="45" t="s">
        <v>169</v>
      </c>
      <c r="K37" s="47">
        <v>1.0</v>
      </c>
      <c r="L37" s="47">
        <v>0.0</v>
      </c>
      <c r="M37" s="47">
        <v>10.198039027185569</v>
      </c>
      <c r="N37" s="47"/>
      <c r="O37" s="47"/>
      <c r="P37" s="47"/>
      <c r="Q37" s="48"/>
      <c r="R37" s="48"/>
      <c r="S37" s="48"/>
      <c r="T37" s="48"/>
      <c r="U37" s="48"/>
      <c r="V37" s="48"/>
      <c r="W37" s="48"/>
      <c r="X37" s="48"/>
      <c r="Y37" s="48"/>
      <c r="Z37" s="48"/>
      <c r="AA37" s="48"/>
      <c r="AB37" s="48"/>
    </row>
    <row r="38" ht="15.75" customHeight="1">
      <c r="A38" s="42">
        <v>37.0</v>
      </c>
      <c r="B38" s="43">
        <v>6.0</v>
      </c>
      <c r="C38" s="43">
        <v>8.0</v>
      </c>
      <c r="D38" s="44" t="s">
        <v>272</v>
      </c>
      <c r="E38" s="44">
        <v>2.0</v>
      </c>
      <c r="F38" s="49"/>
      <c r="G38" s="45" t="s">
        <v>276</v>
      </c>
      <c r="H38" s="45" t="s">
        <v>277</v>
      </c>
      <c r="I38" s="52" t="s">
        <v>278</v>
      </c>
      <c r="J38" s="45" t="s">
        <v>169</v>
      </c>
      <c r="K38" s="47">
        <v>1.0</v>
      </c>
      <c r="L38" s="47">
        <v>1.0</v>
      </c>
      <c r="M38" s="47">
        <v>4.47213595499958</v>
      </c>
      <c r="N38" s="47"/>
      <c r="O38" s="47"/>
      <c r="P38" s="47"/>
      <c r="Q38" s="48"/>
      <c r="R38" s="48"/>
      <c r="S38" s="48"/>
      <c r="T38" s="48"/>
      <c r="U38" s="48"/>
      <c r="V38" s="48"/>
      <c r="W38" s="48"/>
      <c r="X38" s="48"/>
      <c r="Y38" s="48"/>
      <c r="Z38" s="48"/>
      <c r="AA38" s="48"/>
      <c r="AB38" s="48"/>
    </row>
    <row r="39" ht="15.75" customHeight="1">
      <c r="A39" s="42">
        <v>38.0</v>
      </c>
      <c r="B39" s="43">
        <v>8.0</v>
      </c>
      <c r="C39" s="43">
        <v>8.0</v>
      </c>
      <c r="D39" s="44" t="s">
        <v>272</v>
      </c>
      <c r="E39" s="44">
        <v>3.0</v>
      </c>
      <c r="F39" s="49"/>
      <c r="G39" s="45" t="s">
        <v>279</v>
      </c>
      <c r="H39" s="45" t="s">
        <v>280</v>
      </c>
      <c r="I39" s="52" t="s">
        <v>281</v>
      </c>
      <c r="J39" s="45" t="s">
        <v>169</v>
      </c>
      <c r="K39" s="47">
        <v>1.0</v>
      </c>
      <c r="L39" s="47">
        <v>1.0</v>
      </c>
      <c r="M39" s="47">
        <v>2.8284271247461903</v>
      </c>
      <c r="N39" s="47"/>
      <c r="O39" s="47"/>
      <c r="P39" s="47"/>
      <c r="Q39" s="48"/>
      <c r="R39" s="48"/>
      <c r="S39" s="48"/>
      <c r="T39" s="48"/>
      <c r="U39" s="48"/>
      <c r="V39" s="48"/>
      <c r="W39" s="48"/>
      <c r="X39" s="48"/>
      <c r="Y39" s="48"/>
      <c r="Z39" s="48"/>
      <c r="AA39" s="48"/>
      <c r="AB39" s="48"/>
    </row>
    <row r="40" ht="15.75" customHeight="1">
      <c r="A40" s="42">
        <v>39.0</v>
      </c>
      <c r="B40" s="43">
        <v>0.0</v>
      </c>
      <c r="C40" s="43">
        <v>9.0</v>
      </c>
      <c r="D40" s="44" t="s">
        <v>272</v>
      </c>
      <c r="E40" s="44">
        <v>4.0</v>
      </c>
      <c r="F40" s="49"/>
      <c r="G40" s="45" t="s">
        <v>282</v>
      </c>
      <c r="H40" s="45" t="s">
        <v>283</v>
      </c>
      <c r="I40" s="50" t="s">
        <v>284</v>
      </c>
      <c r="J40" s="45" t="s">
        <v>169</v>
      </c>
      <c r="K40" s="47">
        <v>1.0</v>
      </c>
      <c r="L40" s="47">
        <v>0.0</v>
      </c>
      <c r="M40" s="47">
        <v>10.04987562112089</v>
      </c>
      <c r="N40" s="47"/>
      <c r="O40" s="47"/>
      <c r="P40" s="47"/>
      <c r="Q40" s="48"/>
      <c r="R40" s="48"/>
      <c r="S40" s="48"/>
      <c r="T40" s="48"/>
      <c r="U40" s="48"/>
      <c r="V40" s="48"/>
      <c r="W40" s="48"/>
      <c r="X40" s="48"/>
      <c r="Y40" s="48"/>
      <c r="Z40" s="48"/>
      <c r="AA40" s="48"/>
      <c r="AB40" s="48"/>
    </row>
    <row r="41" ht="15.75" customHeight="1">
      <c r="A41" s="42">
        <v>40.0</v>
      </c>
      <c r="B41" s="43">
        <v>5.0</v>
      </c>
      <c r="C41" s="43">
        <v>0.0</v>
      </c>
      <c r="D41" s="44" t="s">
        <v>272</v>
      </c>
      <c r="E41" s="44">
        <v>5.0</v>
      </c>
      <c r="F41" s="49"/>
      <c r="G41" s="45" t="s">
        <v>285</v>
      </c>
      <c r="H41" s="45" t="s">
        <v>286</v>
      </c>
      <c r="I41" s="52" t="s">
        <v>287</v>
      </c>
      <c r="J41" s="45" t="s">
        <v>169</v>
      </c>
      <c r="K41" s="47">
        <v>1.0</v>
      </c>
      <c r="L41" s="47">
        <v>0.0</v>
      </c>
      <c r="M41" s="47">
        <v>11.180339887498949</v>
      </c>
      <c r="N41" s="47"/>
      <c r="O41" s="47"/>
      <c r="P41" s="47"/>
      <c r="Q41" s="48"/>
      <c r="R41" s="48"/>
      <c r="S41" s="48"/>
      <c r="T41" s="48"/>
      <c r="U41" s="48"/>
      <c r="V41" s="48"/>
      <c r="W41" s="48"/>
      <c r="X41" s="48"/>
      <c r="Y41" s="48"/>
      <c r="Z41" s="48"/>
      <c r="AA41" s="48"/>
      <c r="AB41" s="48"/>
    </row>
    <row r="42" ht="15.75" customHeight="1">
      <c r="A42" s="42">
        <v>41.0</v>
      </c>
      <c r="B42" s="43">
        <v>0.0</v>
      </c>
      <c r="C42" s="43">
        <v>9.0</v>
      </c>
      <c r="D42" s="44" t="s">
        <v>272</v>
      </c>
      <c r="E42" s="44">
        <v>6.0</v>
      </c>
      <c r="F42" s="49"/>
      <c r="G42" s="45" t="s">
        <v>288</v>
      </c>
      <c r="H42" s="45" t="s">
        <v>289</v>
      </c>
      <c r="I42" s="52" t="s">
        <v>290</v>
      </c>
      <c r="J42" s="45" t="s">
        <v>169</v>
      </c>
      <c r="K42" s="47">
        <v>1.0</v>
      </c>
      <c r="L42" s="47">
        <v>0.0</v>
      </c>
      <c r="M42" s="47">
        <v>10.04987562112089</v>
      </c>
      <c r="N42" s="47"/>
      <c r="O42" s="47"/>
      <c r="P42" s="47"/>
      <c r="Q42" s="48"/>
      <c r="R42" s="48"/>
      <c r="S42" s="48"/>
      <c r="T42" s="48"/>
      <c r="U42" s="48"/>
      <c r="V42" s="48"/>
      <c r="W42" s="48"/>
      <c r="X42" s="48"/>
      <c r="Y42" s="48"/>
      <c r="Z42" s="48"/>
      <c r="AA42" s="48"/>
      <c r="AB42" s="48"/>
    </row>
    <row r="43" ht="15.75" customHeight="1">
      <c r="A43" s="42">
        <v>42.0</v>
      </c>
      <c r="B43" s="43">
        <v>5.0</v>
      </c>
      <c r="C43" s="43">
        <v>5.0</v>
      </c>
      <c r="D43" s="44" t="s">
        <v>272</v>
      </c>
      <c r="E43" s="44">
        <v>7.0</v>
      </c>
      <c r="F43" s="49"/>
      <c r="G43" s="45" t="s">
        <v>291</v>
      </c>
      <c r="H43" s="45" t="s">
        <v>292</v>
      </c>
      <c r="I43" s="52" t="s">
        <v>293</v>
      </c>
      <c r="J43" s="45" t="s">
        <v>169</v>
      </c>
      <c r="K43" s="47">
        <v>1.0</v>
      </c>
      <c r="L43" s="47">
        <v>0.0</v>
      </c>
      <c r="M43" s="47">
        <v>7.0710678118654755</v>
      </c>
      <c r="N43" s="47"/>
      <c r="O43" s="47"/>
      <c r="P43" s="47"/>
      <c r="Q43" s="48"/>
      <c r="R43" s="48"/>
      <c r="S43" s="48"/>
      <c r="T43" s="48"/>
      <c r="U43" s="48"/>
      <c r="V43" s="48"/>
      <c r="W43" s="48"/>
      <c r="X43" s="48"/>
      <c r="Y43" s="48"/>
      <c r="Z43" s="48"/>
      <c r="AA43" s="48"/>
      <c r="AB43" s="48"/>
    </row>
    <row r="44" ht="15.75" customHeight="1">
      <c r="A44" s="42">
        <v>43.0</v>
      </c>
      <c r="B44" s="43">
        <v>7.0</v>
      </c>
      <c r="C44" s="43">
        <v>7.0</v>
      </c>
      <c r="D44" s="44" t="s">
        <v>294</v>
      </c>
      <c r="E44" s="44">
        <v>1.0</v>
      </c>
      <c r="F44" s="49"/>
      <c r="G44" s="45" t="s">
        <v>295</v>
      </c>
      <c r="H44" s="45" t="s">
        <v>296</v>
      </c>
      <c r="I44" s="52" t="s">
        <v>297</v>
      </c>
      <c r="J44" s="45" t="s">
        <v>223</v>
      </c>
      <c r="K44" s="47">
        <v>1.0</v>
      </c>
      <c r="L44" s="47">
        <v>1.0</v>
      </c>
      <c r="M44" s="47">
        <v>4.242640687119285</v>
      </c>
      <c r="N44" s="47"/>
      <c r="O44" s="47"/>
      <c r="P44" s="47"/>
      <c r="Q44" s="48"/>
      <c r="R44" s="48"/>
      <c r="S44" s="48"/>
      <c r="T44" s="48"/>
      <c r="U44" s="48"/>
      <c r="V44" s="48"/>
      <c r="W44" s="48"/>
      <c r="X44" s="48"/>
      <c r="Y44" s="48"/>
      <c r="Z44" s="48"/>
      <c r="AA44" s="48"/>
      <c r="AB44" s="48"/>
    </row>
    <row r="45" ht="15.75" customHeight="1">
      <c r="A45" s="42">
        <v>44.0</v>
      </c>
      <c r="B45" s="43">
        <v>9.0</v>
      </c>
      <c r="C45" s="43">
        <v>7.0</v>
      </c>
      <c r="D45" s="44" t="s">
        <v>294</v>
      </c>
      <c r="E45" s="44">
        <v>2.0</v>
      </c>
      <c r="F45" s="49"/>
      <c r="G45" s="45" t="s">
        <v>298</v>
      </c>
      <c r="H45" s="45" t="s">
        <v>299</v>
      </c>
      <c r="I45" s="52" t="s">
        <v>300</v>
      </c>
      <c r="J45" s="45" t="s">
        <v>223</v>
      </c>
      <c r="K45" s="47">
        <v>1.0</v>
      </c>
      <c r="L45" s="47">
        <v>1.0</v>
      </c>
      <c r="M45" s="47">
        <v>3.1622776601683795</v>
      </c>
      <c r="N45" s="47"/>
      <c r="O45" s="47"/>
      <c r="P45" s="47"/>
      <c r="Q45" s="48"/>
      <c r="R45" s="48"/>
      <c r="S45" s="48"/>
      <c r="T45" s="48"/>
      <c r="U45" s="48"/>
      <c r="V45" s="48"/>
      <c r="W45" s="48"/>
      <c r="X45" s="48"/>
      <c r="Y45" s="48"/>
      <c r="Z45" s="48"/>
      <c r="AA45" s="48"/>
      <c r="AB45" s="48"/>
    </row>
    <row r="46" ht="15.75" customHeight="1">
      <c r="A46" s="42">
        <v>45.0</v>
      </c>
      <c r="B46" s="43">
        <v>10.0</v>
      </c>
      <c r="C46" s="43">
        <v>8.0</v>
      </c>
      <c r="D46" s="44" t="s">
        <v>294</v>
      </c>
      <c r="E46" s="44">
        <v>3.0</v>
      </c>
      <c r="F46" s="49"/>
      <c r="G46" s="45" t="s">
        <v>301</v>
      </c>
      <c r="H46" s="45" t="s">
        <v>302</v>
      </c>
      <c r="I46" s="52" t="s">
        <v>303</v>
      </c>
      <c r="J46" s="45" t="s">
        <v>223</v>
      </c>
      <c r="K46" s="47">
        <v>1.0</v>
      </c>
      <c r="L46" s="47">
        <v>1.0</v>
      </c>
      <c r="M46" s="47">
        <v>2.0</v>
      </c>
      <c r="N46" s="47"/>
      <c r="O46" s="47"/>
      <c r="P46" s="47"/>
      <c r="Q46" s="48"/>
      <c r="R46" s="48"/>
      <c r="S46" s="48"/>
      <c r="T46" s="48"/>
      <c r="U46" s="48"/>
      <c r="V46" s="48"/>
      <c r="W46" s="48"/>
      <c r="X46" s="48"/>
      <c r="Y46" s="48"/>
      <c r="Z46" s="48"/>
      <c r="AA46" s="48"/>
      <c r="AB46" s="48"/>
    </row>
    <row r="47" ht="15.75" customHeight="1">
      <c r="A47" s="42">
        <v>46.0</v>
      </c>
      <c r="B47" s="43">
        <v>0.0</v>
      </c>
      <c r="C47" s="43">
        <v>5.0</v>
      </c>
      <c r="D47" s="44" t="s">
        <v>294</v>
      </c>
      <c r="E47" s="44">
        <v>4.0</v>
      </c>
      <c r="F47" s="49"/>
      <c r="G47" s="45" t="s">
        <v>304</v>
      </c>
      <c r="H47" s="45" t="s">
        <v>305</v>
      </c>
      <c r="I47" s="52" t="s">
        <v>306</v>
      </c>
      <c r="J47" s="45" t="s">
        <v>223</v>
      </c>
      <c r="K47" s="47">
        <v>1.0</v>
      </c>
      <c r="L47" s="47">
        <v>0.0</v>
      </c>
      <c r="M47" s="47">
        <v>11.180339887498949</v>
      </c>
      <c r="N47" s="47"/>
      <c r="O47" s="47"/>
      <c r="P47" s="47"/>
      <c r="Q47" s="48"/>
      <c r="R47" s="48"/>
      <c r="S47" s="48"/>
      <c r="T47" s="48"/>
      <c r="U47" s="48"/>
      <c r="V47" s="48"/>
      <c r="W47" s="48"/>
      <c r="X47" s="48"/>
      <c r="Y47" s="48"/>
      <c r="Z47" s="48"/>
      <c r="AA47" s="48"/>
      <c r="AB47" s="48"/>
    </row>
    <row r="48" ht="15.75" customHeight="1">
      <c r="A48" s="42">
        <v>47.0</v>
      </c>
      <c r="B48" s="43">
        <v>0.0</v>
      </c>
      <c r="C48" s="43">
        <v>3.0</v>
      </c>
      <c r="D48" s="44" t="s">
        <v>294</v>
      </c>
      <c r="E48" s="44">
        <v>5.0</v>
      </c>
      <c r="F48" s="49"/>
      <c r="G48" s="45" t="s">
        <v>307</v>
      </c>
      <c r="H48" s="45" t="s">
        <v>308</v>
      </c>
      <c r="I48" s="52" t="s">
        <v>309</v>
      </c>
      <c r="J48" s="45" t="s">
        <v>223</v>
      </c>
      <c r="K48" s="47">
        <v>1.0</v>
      </c>
      <c r="L48" s="47">
        <v>0.0</v>
      </c>
      <c r="M48" s="47">
        <v>12.206555615733702</v>
      </c>
      <c r="N48" s="47"/>
      <c r="O48" s="47"/>
      <c r="P48" s="47"/>
      <c r="Q48" s="48"/>
      <c r="R48" s="48"/>
      <c r="S48" s="48"/>
      <c r="T48" s="48"/>
      <c r="U48" s="48"/>
      <c r="V48" s="48"/>
      <c r="W48" s="48"/>
      <c r="X48" s="48"/>
      <c r="Y48" s="48"/>
      <c r="Z48" s="48"/>
      <c r="AA48" s="48"/>
      <c r="AB48" s="48"/>
    </row>
    <row r="49" ht="15.75" customHeight="1">
      <c r="A49" s="42">
        <v>48.0</v>
      </c>
      <c r="B49" s="43">
        <v>3.0</v>
      </c>
      <c r="C49" s="43">
        <v>6.0</v>
      </c>
      <c r="D49" s="44" t="s">
        <v>294</v>
      </c>
      <c r="E49" s="44">
        <v>6.0</v>
      </c>
      <c r="F49" s="49"/>
      <c r="G49" s="45" t="s">
        <v>310</v>
      </c>
      <c r="H49" s="45" t="s">
        <v>311</v>
      </c>
      <c r="I49" s="52" t="s">
        <v>312</v>
      </c>
      <c r="J49" s="45" t="s">
        <v>223</v>
      </c>
      <c r="K49" s="47">
        <v>1.0</v>
      </c>
      <c r="L49" s="47">
        <v>0.0</v>
      </c>
      <c r="M49" s="47">
        <v>8.06225774829855</v>
      </c>
      <c r="N49" s="47"/>
      <c r="O49" s="47"/>
      <c r="P49" s="47"/>
      <c r="Q49" s="48"/>
      <c r="R49" s="48"/>
      <c r="S49" s="48"/>
      <c r="T49" s="48"/>
      <c r="U49" s="48"/>
      <c r="V49" s="48"/>
      <c r="W49" s="48"/>
      <c r="X49" s="48"/>
      <c r="Y49" s="48"/>
      <c r="Z49" s="48"/>
      <c r="AA49" s="48"/>
      <c r="AB49" s="48"/>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D2:D49">
      <formula1>"environnement,tout au long de la vie,pour tous et pour toutes,pratiques de l'éducation"</formula1>
    </dataValidation>
    <dataValidation type="list" allowBlank="1" showErrorMessage="1" sqref="E2:E49">
      <formula1>"1,2,3,4,5,6,7,8,9,10,11,12,13,14,15,16,17,18,19,20"</formula1>
    </dataValidation>
  </dataValidations>
  <hyperlinks>
    <hyperlink r:id="rId1" ref="I2"/>
    <hyperlink r:id="rId2" ref="I3"/>
    <hyperlink r:id="rId3" ref="I4"/>
    <hyperlink r:id="rId4" ref="I5"/>
    <hyperlink r:id="rId5" ref="I6"/>
    <hyperlink r:id="rId6" ref="I7"/>
    <hyperlink r:id="rId7" ref="I9"/>
    <hyperlink r:id="rId8" ref="I10"/>
    <hyperlink r:id="rId9" ref="I11"/>
    <hyperlink r:id="rId10" ref="I12"/>
    <hyperlink r:id="rId11" ref="I13"/>
    <hyperlink r:id="rId12" ref="I14"/>
    <hyperlink r:id="rId13" ref="I15"/>
    <hyperlink r:id="rId14" ref="I16"/>
    <hyperlink r:id="rId15" ref="I17"/>
    <hyperlink r:id="rId16" ref="I18"/>
    <hyperlink r:id="rId17" ref="I19"/>
    <hyperlink r:id="rId18" ref="I20"/>
    <hyperlink r:id="rId19" ref="I21"/>
    <hyperlink r:id="rId20" ref="I22"/>
    <hyperlink r:id="rId21" ref="I23"/>
    <hyperlink r:id="rId22" ref="I24"/>
    <hyperlink r:id="rId23" ref="I25"/>
    <hyperlink r:id="rId24" ref="I26"/>
    <hyperlink r:id="rId25" ref="I27"/>
    <hyperlink r:id="rId26" ref="I28"/>
    <hyperlink r:id="rId27" ref="I29"/>
    <hyperlink r:id="rId28" ref="I30"/>
    <hyperlink r:id="rId29" ref="I31"/>
    <hyperlink r:id="rId30" ref="I32"/>
    <hyperlink r:id="rId31" ref="I33"/>
    <hyperlink r:id="rId32" ref="I34"/>
    <hyperlink r:id="rId33" ref="I35"/>
    <hyperlink r:id="rId34" ref="I36"/>
    <hyperlink r:id="rId35" ref="I37"/>
    <hyperlink r:id="rId36" ref="I38"/>
    <hyperlink r:id="rId37" ref="I39"/>
    <hyperlink r:id="rId38" ref="I40"/>
    <hyperlink r:id="rId39" ref="I41"/>
    <hyperlink r:id="rId40" ref="I42"/>
    <hyperlink r:id="rId41" ref="I43"/>
    <hyperlink r:id="rId42" ref="I44"/>
    <hyperlink r:id="rId43" ref="I45"/>
    <hyperlink r:id="rId44" ref="I46"/>
    <hyperlink r:id="rId45" ref="I47"/>
    <hyperlink r:id="rId46" ref="I48"/>
    <hyperlink r:id="rId47" ref="I49"/>
  </hyperlinks>
  <drawing r:id="rId4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5"/>
    <col customWidth="1" min="2" max="2" width="5.75"/>
    <col customWidth="1" min="3" max="3" width="4.5"/>
    <col customWidth="1" min="4" max="4" width="4.38"/>
    <col customWidth="1" min="5" max="24" width="4.5"/>
    <col customWidth="1" min="25" max="25" width="5.63"/>
    <col customWidth="1" min="26" max="32" width="4.5"/>
    <col customWidth="1" min="33" max="33" width="11.13"/>
    <col customWidth="1" min="34" max="62" width="4.5"/>
    <col customWidth="1" min="63" max="63" width="7.0"/>
    <col customWidth="1" min="64" max="64" width="4.75"/>
    <col customWidth="1" min="65" max="65" width="6.0"/>
    <col customWidth="1" min="66" max="71" width="5.5"/>
    <col customWidth="1" min="72" max="74" width="4.75"/>
    <col customWidth="1" min="75" max="75" width="7.88"/>
    <col customWidth="1" min="76" max="77" width="4.75"/>
    <col customWidth="1" min="78" max="78" width="7.63"/>
    <col customWidth="1" min="79" max="79" width="8.25"/>
    <col customWidth="1" min="80" max="80" width="12.13"/>
  </cols>
  <sheetData>
    <row r="1" ht="42.75" customHeight="1">
      <c r="A1" s="54" t="s">
        <v>313</v>
      </c>
      <c r="E1" s="55"/>
      <c r="F1" s="56" t="s">
        <v>314</v>
      </c>
      <c r="N1" s="56" t="s">
        <v>315</v>
      </c>
      <c r="T1" s="57"/>
      <c r="U1" s="54" t="s">
        <v>316</v>
      </c>
      <c r="Z1" s="55"/>
      <c r="AA1" s="54" t="s">
        <v>317</v>
      </c>
      <c r="AH1" s="55"/>
      <c r="AI1" s="56" t="s">
        <v>318</v>
      </c>
      <c r="AO1" s="55"/>
      <c r="AP1" s="54" t="s">
        <v>319</v>
      </c>
      <c r="AV1" s="55"/>
      <c r="AW1" s="54" t="s">
        <v>320</v>
      </c>
      <c r="BC1" s="55"/>
      <c r="BD1" s="54" t="s">
        <v>321</v>
      </c>
      <c r="BK1" s="55"/>
      <c r="BL1" s="54" t="s">
        <v>322</v>
      </c>
      <c r="BT1" s="56" t="s">
        <v>323</v>
      </c>
      <c r="BX1" s="58"/>
      <c r="BY1" s="54" t="s">
        <v>324</v>
      </c>
      <c r="CA1" s="59" t="s">
        <v>325</v>
      </c>
      <c r="CB1" s="59" t="s">
        <v>326</v>
      </c>
      <c r="CC1" s="55"/>
      <c r="CD1" s="55"/>
      <c r="CE1" s="55"/>
      <c r="CF1" s="55"/>
      <c r="CG1" s="55"/>
      <c r="CH1" s="55"/>
    </row>
    <row r="2" ht="51.75" customHeight="1">
      <c r="A2" s="54" t="str">
        <f>IFERROR(__xludf.DUMMYFUNCTION("QUERY(
  UNIQUE(
    FILTER({data!A2:A1000, data!D2:D1000},
      data!E2:E1000=3,
      data!A2:A1000&lt;&gt;""""
    )
  ),
  ""select Col1, count(Col2)
   group by Col1
   order by count(Col2) desc
   label Col1 'Image', count(Col2) 'Nb tables (tour 3)'"",
 "&amp;" 0
)
"),"Image")</f>
        <v>Image</v>
      </c>
      <c r="B2" s="54" t="str">
        <f>IFERROR(__xludf.DUMMYFUNCTION("""COMPUTED_VALUE"""),"Nb tables (tour 3)")</f>
        <v>Nb tables (tour 3)</v>
      </c>
      <c r="C2" s="55"/>
      <c r="D2" s="54" t="s">
        <v>327</v>
      </c>
      <c r="E2" s="57"/>
      <c r="F2" s="54" t="s">
        <v>327</v>
      </c>
      <c r="G2" s="60" t="s">
        <v>3</v>
      </c>
      <c r="H2" s="56" t="s">
        <v>328</v>
      </c>
      <c r="I2" s="56" t="s">
        <v>329</v>
      </c>
      <c r="J2" s="56" t="s">
        <v>330</v>
      </c>
      <c r="K2" s="56" t="s">
        <v>331</v>
      </c>
      <c r="L2" s="56" t="s">
        <v>332</v>
      </c>
      <c r="M2" s="56" t="s">
        <v>333</v>
      </c>
      <c r="N2" s="56" t="s">
        <v>334</v>
      </c>
      <c r="O2" s="56" t="s">
        <v>335</v>
      </c>
      <c r="P2" s="56" t="s">
        <v>336</v>
      </c>
      <c r="Q2" s="56" t="s">
        <v>337</v>
      </c>
      <c r="R2" s="56" t="s">
        <v>338</v>
      </c>
      <c r="S2" s="56" t="s">
        <v>339</v>
      </c>
      <c r="T2" s="57"/>
      <c r="U2" s="54" t="s">
        <v>327</v>
      </c>
      <c r="V2" s="60" t="s">
        <v>3</v>
      </c>
      <c r="W2" s="56" t="s">
        <v>340</v>
      </c>
      <c r="X2" s="56" t="s">
        <v>2</v>
      </c>
      <c r="Y2" s="54" t="s">
        <v>5</v>
      </c>
      <c r="Z2" s="55"/>
      <c r="AA2" s="54" t="s">
        <v>327</v>
      </c>
      <c r="AB2" s="56" t="s">
        <v>341</v>
      </c>
      <c r="AC2" s="56" t="s">
        <v>342</v>
      </c>
      <c r="AD2" s="56" t="s">
        <v>343</v>
      </c>
      <c r="AE2" s="56" t="s">
        <v>344</v>
      </c>
      <c r="AF2" s="56" t="s">
        <v>345</v>
      </c>
      <c r="AG2" s="54" t="s">
        <v>346</v>
      </c>
      <c r="AH2" s="55"/>
      <c r="AI2" s="56" t="s">
        <v>327</v>
      </c>
      <c r="AJ2" s="56" t="s">
        <v>341</v>
      </c>
      <c r="AK2" s="56" t="s">
        <v>342</v>
      </c>
      <c r="AL2" s="56" t="s">
        <v>343</v>
      </c>
      <c r="AM2" s="56" t="s">
        <v>344</v>
      </c>
      <c r="AN2" s="56" t="s">
        <v>345</v>
      </c>
      <c r="AO2" s="55"/>
      <c r="AP2" s="54" t="s">
        <v>327</v>
      </c>
      <c r="AQ2" s="56" t="s">
        <v>341</v>
      </c>
      <c r="AR2" s="56" t="s">
        <v>342</v>
      </c>
      <c r="AS2" s="56" t="s">
        <v>343</v>
      </c>
      <c r="AT2" s="56" t="s">
        <v>344</v>
      </c>
      <c r="AU2" s="56" t="s">
        <v>345</v>
      </c>
      <c r="AV2" s="55"/>
      <c r="AW2" s="54" t="s">
        <v>327</v>
      </c>
      <c r="AX2" s="56" t="s">
        <v>341</v>
      </c>
      <c r="AY2" s="56" t="s">
        <v>342</v>
      </c>
      <c r="AZ2" s="56" t="s">
        <v>343</v>
      </c>
      <c r="BA2" s="56" t="s">
        <v>344</v>
      </c>
      <c r="BB2" s="56" t="s">
        <v>345</v>
      </c>
      <c r="BC2" s="55"/>
      <c r="BD2" s="54" t="s">
        <v>327</v>
      </c>
      <c r="BE2" s="54" t="s">
        <v>341</v>
      </c>
      <c r="BF2" s="56" t="s">
        <v>347</v>
      </c>
      <c r="BG2" s="56" t="s">
        <v>348</v>
      </c>
      <c r="BH2" s="56" t="s">
        <v>349</v>
      </c>
      <c r="BI2" s="56" t="s">
        <v>350</v>
      </c>
      <c r="BJ2" s="56" t="s">
        <v>351</v>
      </c>
      <c r="BK2" s="55"/>
      <c r="BL2" s="59" t="s">
        <v>327</v>
      </c>
      <c r="BM2" s="59" t="s">
        <v>3</v>
      </c>
      <c r="BN2" s="59" t="s">
        <v>352</v>
      </c>
      <c r="BO2" s="59" t="s">
        <v>353</v>
      </c>
      <c r="BP2" s="59" t="s">
        <v>354</v>
      </c>
      <c r="BQ2" s="59" t="s">
        <v>355</v>
      </c>
      <c r="BR2" s="59" t="s">
        <v>356</v>
      </c>
      <c r="BS2" s="59" t="s">
        <v>357</v>
      </c>
      <c r="BT2" s="56" t="s">
        <v>358</v>
      </c>
      <c r="BU2" s="56" t="s">
        <v>359</v>
      </c>
      <c r="BV2" s="56" t="s">
        <v>360</v>
      </c>
      <c r="BW2" s="59" t="s">
        <v>361</v>
      </c>
      <c r="BX2" s="58"/>
      <c r="BY2" s="54" t="s">
        <v>0</v>
      </c>
      <c r="BZ2" s="59" t="s">
        <v>362</v>
      </c>
      <c r="CC2" s="55"/>
      <c r="CD2" s="55"/>
      <c r="CE2" s="55"/>
      <c r="CF2" s="55"/>
      <c r="CG2" s="55"/>
      <c r="CH2" s="55"/>
    </row>
    <row r="3" ht="16.5" customHeight="1">
      <c r="A3" s="61">
        <f>IFERROR(__xludf.DUMMYFUNCTION("""COMPUTED_VALUE"""),36.0)</f>
        <v>36</v>
      </c>
      <c r="B3" s="61">
        <f>IFERROR(__xludf.DUMMYFUNCTION("""COMPUTED_VALUE"""),3.0)</f>
        <v>3</v>
      </c>
      <c r="C3" s="55"/>
      <c r="D3" s="61">
        <f>IFERROR(__xludf.DUMMYFUNCTION("FILTER(A3:A1000, B3:B1000&gt;=2)"),36.0)</f>
        <v>36</v>
      </c>
      <c r="E3" s="55"/>
      <c r="F3" s="61">
        <f>IFERROR(__xludf.DUMMYFUNCTION("UNIQUE(
  FILTER(
    {data!A2:A1000, data!D2:D1000},
    data!A2:A1000&lt;&gt;"""",
    ISNUMBER(MATCH(data!A2:A1000, $D$3:$D1000, 0))
  )
)
"),6.0)</f>
        <v>6</v>
      </c>
      <c r="G3" s="61" t="str">
        <f>IFERROR(__xludf.DUMMYFUNCTION("""COMPUTED_VALUE"""),"A")</f>
        <v>A</v>
      </c>
      <c r="H3" s="62">
        <f>IFERROR(__xludf.DUMMYFUNCTION("IFERROR(
  AVERAGE(FILTER(data!B$2:B1000, data!A$2:A1000=$F3, data!D$2:D1000=$G3, data!E$2:E1000=2))
  -
  AVERAGE(FILTER(data!B$2:B1000, data!A$2:A1000=$F3, data!D$2:D1000=$G3, data!E$2:E1000=1))
, """")
"),0.0)</f>
        <v>0</v>
      </c>
      <c r="I3" s="62">
        <f>IFERROR(__xludf.DUMMYFUNCTION("IFERROR(
  AVERAGE(FILTER(data!B$2:B1000, data!A$2:A1000=$F3, data!D$2:D1000=$G3, data!E$2:E1000=3))
  -
  AVERAGE(FILTER(data!B$2:B1000, data!A$2:A1000=$F3, data!D$2:D1000=$G3, data!E$2:E1000=2))
, """")
"),0.0)</f>
        <v>0</v>
      </c>
      <c r="J3" s="62">
        <f>IFERROR(__xludf.DUMMYFUNCTION("IFERROR(
  AVERAGE(FILTER(data!B$2:B1000, data!A$2:A1000=$F3, data!D$2:D1000=$G3, data!E$2:E1000=3))
  -
  AVERAGE(FILTER(data!B$2:B1000, data!A$2:A1000=$F3, data!D$2:D1000=$G3, data!E$2:E1000=1))
, """")
"),0.0)</f>
        <v>0</v>
      </c>
      <c r="K3" s="62">
        <f>IFERROR(__xludf.DUMMYFUNCTION("IFERROR(
  AVERAGE(FILTER(data!C$2:C1000, data!A$2:A1000=$F3, data!D$2:D1000=$G3, data!E$2:E1000=2))
  -
  AVERAGE(FILTER(data!C$2:C1000, data!A$2:A1000=$F3, data!D$2:D1000=$G3, data!E$2:E1000=1))
, """")
"),0.0)</f>
        <v>0</v>
      </c>
      <c r="L3" s="62">
        <f>IFERROR(__xludf.DUMMYFUNCTION("IFERROR(
  AVERAGE(FILTER(data!C$2:C1000, data!A$2:A1000=$F3, data!D$2:D1000=$G3, data!E$2:E1000=3))
  -
  AVERAGE(FILTER(data!C$2:C1000, data!A$2:A1000=$F3, data!D$2:D1000=$G3, data!E$2:E1000=2))
, """")
"),0.0)</f>
        <v>0</v>
      </c>
      <c r="M3" s="62">
        <f>IFERROR(__xludf.DUMMYFUNCTION("IFERROR(
  AVERAGE(FILTER(data!C$2:C1000, data!A$2:A1000=$F3, data!D$2:D1000=$G3, data!E$2:E1000=3))
  -
  AVERAGE(FILTER(data!C$2:C1000, data!A$2:A1000=$F3, data!D$2:D1000=$G3, data!E$2:E1000=1))
, """")
"),0.0)</f>
        <v>0</v>
      </c>
      <c r="N3" s="62">
        <f t="shared" ref="N3:P3" si="1">IF(H3="",,ABS(H3))
</f>
        <v>0</v>
      </c>
      <c r="O3" s="62">
        <f t="shared" si="1"/>
        <v>0</v>
      </c>
      <c r="P3" s="62">
        <f t="shared" si="1"/>
        <v>0</v>
      </c>
      <c r="Q3" s="62">
        <f t="shared" ref="Q3:Q116" si="4">IF(L3="",,ABS(L3))
</f>
        <v>0</v>
      </c>
      <c r="R3" s="62">
        <f t="shared" ref="R3:S3" si="2">IF(L3="",,ABS(L3))
</f>
        <v>0</v>
      </c>
      <c r="S3" s="62">
        <f t="shared" si="2"/>
        <v>0</v>
      </c>
      <c r="T3" s="55"/>
      <c r="U3" s="61">
        <f>IFERROR(__xludf.DUMMYFUNCTION("SORT(
  FILTER(
    {data!A2:A1000, data!D2:D1000, data!B2:B1000, data!C2:C1000, data!F2:F1000},
    data!E2:E1000=3,
    data!B2:B1000&gt;5,
    data!C2:C1000&gt;5
  ),
  1, TRUE, 2, TRUE)"),2.0)</f>
        <v>2</v>
      </c>
      <c r="V3" s="61" t="str">
        <f>IFERROR(__xludf.DUMMYFUNCTION("""COMPUTED_VALUE"""),"A")</f>
        <v>A</v>
      </c>
      <c r="W3" s="62">
        <f>IFERROR(__xludf.DUMMYFUNCTION("""COMPUTED_VALUE"""),6.0)</f>
        <v>6</v>
      </c>
      <c r="X3" s="62">
        <f>IFERROR(__xludf.DUMMYFUNCTION("""COMPUTED_VALUE"""),6.5)</f>
        <v>6.5</v>
      </c>
      <c r="Y3" s="55"/>
      <c r="Z3" s="55"/>
      <c r="AA3" s="61">
        <f>IFERROR(__xludf.DUMMYFUNCTION("SORT(FILTER(analyse!D3:D1000, analyse!D3:D1000&lt;&gt;""""))
"),6.0)</f>
        <v>6</v>
      </c>
      <c r="AB3" s="62">
        <f>IFERROR(__xludf.DUMMYFUNCTION("IF(AA3="""",,COUNTUNIQUE(FILTER(data!D$2:D1000, data!E$2:E1000=3, data!A$2:A1000=AA3)))
"),2.0)</f>
        <v>2</v>
      </c>
      <c r="AC3" s="62">
        <f>IFERROR(__xludf.DUMMYFUNCTION("IF(AA3="""",,ROUND(AVERAGE(FILTER(data!B$2:B1000, data!E$2:E1000=3, data!A$2:A1000=AA3)),2))
"),7.25)</f>
        <v>7.25</v>
      </c>
      <c r="AD3" s="62">
        <f>IFERROR(__xludf.DUMMYFUNCTION("IF(AA3="""",,ROUND(AVERAGE(FILTER(data!C$2:C1000, data!E$2:E1000=3, data!A$2:A1000=AA3)),2))
"),7.0)</f>
        <v>7</v>
      </c>
      <c r="AE3" s="62">
        <f>IFERROR(__xludf.DUMMYFUNCTION("IF(AA3="""",,
  MAX(FILTER(data!B$2:B1000, data!E$2:E1000=3, data!A$2:A1000=AA3))
 -MIN(FILTER(data!B$2:B1000, data!E$2:E1000=3, data!A$2:A1000=AA3))
)
"),4.5)</f>
        <v>4.5</v>
      </c>
      <c r="AF3" s="62">
        <f>IFERROR(__xludf.DUMMYFUNCTION("IF(AA3="""",,
  MAX(FILTER(data!C$2:C1000, data!E$2:E1000=3, data!A$2:A1000=AA3))
 -MIN(FILTER(data!C$2:C1000, data!E$2:E1000=3, data!A$2:A1000=AA3))
)
"),2.0)</f>
        <v>2</v>
      </c>
      <c r="AG3" s="61" t="str">
        <f t="shared" ref="AG3:AG48" si="6">IF(AA3="",,
  IF(AB3&gt;=2,
    IF(AND(AE3&lt;2, AF3&lt;2), "Consensuelle",
      IF(AND(AE3&gt;2, AF3&gt;2), "Non-consensuelle", "Intermédiaire")
    ),
    "Non-récurrente T3"
  )
)
</f>
        <v>Intermédiaire</v>
      </c>
      <c r="AH3" s="55"/>
      <c r="AI3" s="61">
        <f>IFERROR(__xludf.DUMMYFUNCTION("FILTER(AA3:AF1000, AG3:AG1000=""Consensuelle"")"),87.0)</f>
        <v>87</v>
      </c>
      <c r="AJ3" s="62">
        <f>IFERROR(__xludf.DUMMYFUNCTION("""COMPUTED_VALUE"""),2.0)</f>
        <v>2</v>
      </c>
      <c r="AK3" s="62">
        <f>IFERROR(__xludf.DUMMYFUNCTION("""COMPUTED_VALUE"""),3.25)</f>
        <v>3.25</v>
      </c>
      <c r="AL3" s="62">
        <f>IFERROR(__xludf.DUMMYFUNCTION("""COMPUTED_VALUE"""),8.0)</f>
        <v>8</v>
      </c>
      <c r="AM3" s="62">
        <f>IFERROR(__xludf.DUMMYFUNCTION("""COMPUTED_VALUE"""),0.5)</f>
        <v>0.5</v>
      </c>
      <c r="AN3" s="62">
        <f>IFERROR(__xludf.DUMMYFUNCTION("""COMPUTED_VALUE"""),0.0)</f>
        <v>0</v>
      </c>
      <c r="AO3" s="55"/>
      <c r="AP3" s="61">
        <f>IFERROR(__xludf.DUMMYFUNCTION("FILTER(AA3:AF1000, AG3:AG1000=""Non-consensuelle"")
"),12.0)</f>
        <v>12</v>
      </c>
      <c r="AQ3" s="62">
        <f>IFERROR(__xludf.DUMMYFUNCTION("""COMPUTED_VALUE"""),2.0)</f>
        <v>2</v>
      </c>
      <c r="AR3" s="62">
        <f>IFERROR(__xludf.DUMMYFUNCTION("""COMPUTED_VALUE"""),3.5)</f>
        <v>3.5</v>
      </c>
      <c r="AS3" s="62">
        <f>IFERROR(__xludf.DUMMYFUNCTION("""COMPUTED_VALUE"""),6.0)</f>
        <v>6</v>
      </c>
      <c r="AT3" s="62">
        <f>IFERROR(__xludf.DUMMYFUNCTION("""COMPUTED_VALUE"""),3.0)</f>
        <v>3</v>
      </c>
      <c r="AU3" s="62">
        <f>IFERROR(__xludf.DUMMYFUNCTION("""COMPUTED_VALUE"""),4.0)</f>
        <v>4</v>
      </c>
      <c r="AV3" s="55"/>
      <c r="AW3" s="61">
        <f>IFERROR(__xludf.DUMMYFUNCTION("FILTER({AA3:AA1000, AB3:AB1000, AC3:AC1000, AD3:AD1000, AE3:AE1000, AF3:AF1000}, (AC3:AC1000&gt;5)*(AD3:AD1000&gt;5))"),6.0)</f>
        <v>6</v>
      </c>
      <c r="AX3" s="62">
        <f>IFERROR(__xludf.DUMMYFUNCTION("""COMPUTED_VALUE"""),2.0)</f>
        <v>2</v>
      </c>
      <c r="AY3" s="62">
        <f>IFERROR(__xludf.DUMMYFUNCTION("""COMPUTED_VALUE"""),7.25)</f>
        <v>7.25</v>
      </c>
      <c r="AZ3" s="62">
        <f>IFERROR(__xludf.DUMMYFUNCTION("""COMPUTED_VALUE"""),7.0)</f>
        <v>7</v>
      </c>
      <c r="BA3" s="62">
        <f>IFERROR(__xludf.DUMMYFUNCTION("""COMPUTED_VALUE"""),4.5)</f>
        <v>4.5</v>
      </c>
      <c r="BB3" s="62">
        <f>IFERROR(__xludf.DUMMYFUNCTION("""COMPUTED_VALUE"""),2.0)</f>
        <v>2</v>
      </c>
      <c r="BC3" s="55"/>
      <c r="BD3" s="61">
        <f>IFERROR(__xludf.DUMMYFUNCTION("LET(
  imgs, SORT(UNIQUE(FILTER(data!A2:A1000, data!A2:A1000&lt;&gt;"""", (data!E2:E1000&amp;"""")=""3""))),
  counts, BYROW(imgs, LAMBDA(i,
    COUNTUNIQUE(FILTER(data!D2:D1000, (data!E2:E1000&amp;"""")=""3"", (data!A2:A1000&amp;"""")=(i&amp;"""")))
  )),
  tbl, HSTACK(imgs, "&amp;"counts),
  SORT(FILTER(tbl, counts&gt;=2), 2, FALSE)
)
"),36.0)</f>
        <v>36</v>
      </c>
      <c r="BE3" s="62">
        <f>IFERROR(__xludf.DUMMYFUNCTION("""COMPUTED_VALUE"""),3.0)</f>
        <v>3</v>
      </c>
      <c r="BF3" s="62">
        <f>IFERROR(__xludf.DUMMYFUNCTION("IF(BD3="""",,IFERROR(ROUND(AVERAGE(FILTER(data!B$2:B1000, (data!E$2:E1000&amp;"""")=""3"", (data!A$2:A1000&amp;"""")=(BD3&amp;""""))),2),""""))
"),2.83)</f>
        <v>2.83</v>
      </c>
      <c r="BG3" s="62">
        <f>IFERROR(__xludf.DUMMYFUNCTION("IF(BD3="""",,IFERROR(ROUND(AVERAGE(FILTER(data!C$2:C1000, (data!E$2:E1000&amp;"""")=""3"", (data!A$2:A1000&amp;"""")=(BD3&amp;""""))),2),""""))
"),7.67)</f>
        <v>7.67</v>
      </c>
      <c r="BH3" s="62">
        <f>IFERROR(__xludf.DUMMYFUNCTION("IF(BD3="""",,IFERROR(
  MAX(FILTER(data!B$2:B1000, (data!E$2:E1000&amp;"""")=""3"", (data!A$2:A1000&amp;"""")=(BD3&amp;"""")))
 -MIN(FILTER(data!B$2:B1000, (data!E$2:E1000&amp;"""")=""3"", (data!A$2:A1000&amp;"""")=(BD3&amp;"""")))
,""""))
"),4.5)</f>
        <v>4.5</v>
      </c>
      <c r="BI3" s="62">
        <f>IFERROR(__xludf.DUMMYFUNCTION("IF(BD3="""",,IFERROR(
  MAX(FILTER(data!C$2:C1000, (data!E$2:E1000&amp;"""")=""3"", (data!A$2:A1000&amp;"""")=(BD3&amp;"""")))
 -MIN(FILTER(data!C$2:C1000, (data!E$2:E1000&amp;"""")=""3"", (data!A$2:A1000&amp;"""")=(BD3&amp;"""")))
,""""))
"),1.0)</f>
        <v>1</v>
      </c>
      <c r="BJ3" s="62">
        <f t="shared" ref="BJ3:BJ38" si="7">IF(BD3="",,IF(BH3="",,SQRT(BH3^2+BI3^2)))
</f>
        <v>4.609772229</v>
      </c>
      <c r="BK3" s="55"/>
      <c r="BL3" s="55" t="str">
        <f>IFERROR(__xludf.DUMMYFUNCTION("QUERY(
  {data!A3:A1000, data!D3:D1000, ARRAYFORMULA(data!E3:E1000&amp;""""), data!B3:B1000, data!C3:C1000},
  ""select Col1,Col2,max(Col4),max(Col5)
   where Col1 is not null
   group by Col1,Col2
   pivot Col3"",
  0
)
"),"")</f>
        <v/>
      </c>
      <c r="BM3" s="55" t="str">
        <f>IFERROR(__xludf.DUMMYFUNCTION("""COMPUTED_VALUE"""),"")</f>
        <v/>
      </c>
      <c r="BN3" s="63" t="str">
        <f>IFERROR(__xludf.DUMMYFUNCTION("""COMPUTED_VALUE"""),"1 max ")</f>
        <v>1 max </v>
      </c>
      <c r="BO3" s="63" t="str">
        <f>IFERROR(__xludf.DUMMYFUNCTION("""COMPUTED_VALUE"""),"2 max ")</f>
        <v>2 max </v>
      </c>
      <c r="BP3" s="63" t="str">
        <f>IFERROR(__xludf.DUMMYFUNCTION("""COMPUTED_VALUE"""),"3 max ")</f>
        <v>3 max </v>
      </c>
      <c r="BQ3" s="63" t="str">
        <f>IFERROR(__xludf.DUMMYFUNCTION("""COMPUTED_VALUE"""),"1 max ")</f>
        <v>1 max </v>
      </c>
      <c r="BR3" s="63" t="str">
        <f>IFERROR(__xludf.DUMMYFUNCTION("""COMPUTED_VALUE"""),"2 max ")</f>
        <v>2 max </v>
      </c>
      <c r="BS3" s="63" t="str">
        <f>IFERROR(__xludf.DUMMYFUNCTION("""COMPUTED_VALUE"""),"3 max ")</f>
        <v>3 max </v>
      </c>
      <c r="BT3" s="64" t="str">
        <f t="array" ref="BT3:BT1000">IF(BL3:BL1000="",,
    IF((BN3:BN1000="")+(BO3:BO1000="")+(BQ3:BQ1000="")+(BR3:BR1000=""),,
      ABS(BO3:BO1000-BN3:BN1000) + ABS(BR3:BR1000-BQ3:BQ1000)
    )
  )</f>
        <v/>
      </c>
      <c r="BU3" s="64" t="str">
        <f t="array" ref="BU3:BU1000">IF(BL3:BL1000="",,
    IF((BO3:BO1000="")+(BP3:BP1000="")+(BR3:BR1000="")+(BS3:BS1000=""),,
      ABS(BP3:BP1000-BO3:BO1000) + ABS(BS3:BS1000-BR3:BR1000)
    )
  )</f>
        <v/>
      </c>
      <c r="BV3" s="64" t="str">
        <f t="array" ref="BV3:BV1000">IF(BL3:BL1000="",,
    IF((BT3:BT1000&lt;&gt;"") + (BU3:BU1000&lt;&gt;""),
      N(BT3:BT1000) + N(BU3:BU1000),
    )
  )</f>
        <v/>
      </c>
      <c r="BW3" s="58" t="str">
        <f t="array" ref="BW3:BW1000">IF(BL3:BL1000="",,
    IF(BV3:BV1000&gt;2,TRUE,FALSE)
  )</f>
        <v/>
      </c>
      <c r="BX3" s="55"/>
      <c r="BY3" s="61">
        <f>IFERROR(__xludf.DUMMYFUNCTION("QUERY(
  {BL3:BL1000,BV3:BV1000},
  ""select Col1, sum(Col2)
   where Col1 is not null
   group by Col1
   order by sum(Col2) desc
   label sum(Col2) ''"",
  0
)
"),12.0)</f>
        <v>12</v>
      </c>
      <c r="BZ3" s="65">
        <f>IFERROR(__xludf.DUMMYFUNCTION("""COMPUTED_VALUE"""),7.5)</f>
        <v>7.5</v>
      </c>
      <c r="CA3" s="61">
        <f>COUNTA(BV3:BV1000)</f>
        <v>71</v>
      </c>
      <c r="CB3" s="66">
        <f>IFERROR(__xludf.DUMMYFUNCTION("IFERROR(
  COUNTA(FILTER(BL3:BL1000, BV3:BV1000&gt;2, (BT3:BT1000&lt;&gt;"""") + (BU3:BU1000&lt;&gt;"""")))
  /
  COUNTA(FILTER(BL3:BL1000, (BT3:BT1000&lt;&gt;"""") + (BU3:BU1000&lt;&gt;""""))),
"""")
"),0.07042253521126761)</f>
        <v>0.07042253521</v>
      </c>
      <c r="CC3" s="55"/>
      <c r="CD3" s="55"/>
      <c r="CE3" s="55"/>
      <c r="CF3" s="55"/>
      <c r="CG3" s="55"/>
      <c r="CH3" s="55"/>
    </row>
    <row r="4" ht="16.5" customHeight="1">
      <c r="A4" s="61">
        <f>IFERROR(__xludf.DUMMYFUNCTION("""COMPUTED_VALUE"""),41.0)</f>
        <v>41</v>
      </c>
      <c r="B4" s="61">
        <f>IFERROR(__xludf.DUMMYFUNCTION("""COMPUTED_VALUE"""),3.0)</f>
        <v>3</v>
      </c>
      <c r="C4" s="55"/>
      <c r="D4" s="61">
        <f>IFERROR(__xludf.DUMMYFUNCTION("""COMPUTED_VALUE"""),41.0)</f>
        <v>41</v>
      </c>
      <c r="E4" s="55"/>
      <c r="F4" s="61">
        <f>IFERROR(__xludf.DUMMYFUNCTION("""COMPUTED_VALUE"""),13.0)</f>
        <v>13</v>
      </c>
      <c r="G4" s="61" t="str">
        <f>IFERROR(__xludf.DUMMYFUNCTION("""COMPUTED_VALUE"""),"A")</f>
        <v>A</v>
      </c>
      <c r="H4" s="62">
        <f>IFERROR(__xludf.DUMMYFUNCTION("IFERROR(
  AVERAGE(FILTER(data!B$2:B1000, data!A$2:A1000=$F4, data!D$2:D1000=$G4, data!E$2:E1000=2))
  -
  AVERAGE(FILTER(data!B$2:B1000, data!A$2:A1000=$F4, data!D$2:D1000=$G4, data!E$2:E1000=1))
, """")
"),0.0)</f>
        <v>0</v>
      </c>
      <c r="I4" s="62">
        <f>IFERROR(__xludf.DUMMYFUNCTION("IFERROR(
  AVERAGE(FILTER(data!B$2:B1000, data!A$2:A1000=$F4, data!D$2:D1000=$G4, data!E$2:E1000=3))
  -
  AVERAGE(FILTER(data!B$2:B1000, data!A$2:A1000=$F4, data!D$2:D1000=$G4, data!E$2:E1000=2))
, """")
"),0.0)</f>
        <v>0</v>
      </c>
      <c r="J4" s="62">
        <f>IFERROR(__xludf.DUMMYFUNCTION("IFERROR(
  AVERAGE(FILTER(data!B$2:B1000, data!A$2:A1000=$F4, data!D$2:D1000=$G4, data!E$2:E1000=3))
  -
  AVERAGE(FILTER(data!B$2:B1000, data!A$2:A1000=$F4, data!D$2:D1000=$G4, data!E$2:E1000=1))
, """")
"),0.0)</f>
        <v>0</v>
      </c>
      <c r="K4" s="62">
        <f>IFERROR(__xludf.DUMMYFUNCTION("IFERROR(
  AVERAGE(FILTER(data!C$2:C1000, data!A$2:A1000=$F4, data!D$2:D1000=$G4, data!E$2:E1000=2))
  -
  AVERAGE(FILTER(data!C$2:C1000, data!A$2:A1000=$F4, data!D$2:D1000=$G4, data!E$2:E1000=1))
, """")
"),0.0)</f>
        <v>0</v>
      </c>
      <c r="L4" s="62">
        <f>IFERROR(__xludf.DUMMYFUNCTION("IFERROR(
  AVERAGE(FILTER(data!C$2:C1000, data!A$2:A1000=$F4, data!D$2:D1000=$G4, data!E$2:E1000=3))
  -
  AVERAGE(FILTER(data!C$2:C1000, data!A$2:A1000=$F4, data!D$2:D1000=$G4, data!E$2:E1000=2))
, """")
"),0.0)</f>
        <v>0</v>
      </c>
      <c r="M4" s="62">
        <f>IFERROR(__xludf.DUMMYFUNCTION("IFERROR(
  AVERAGE(FILTER(data!C$2:C1000, data!A$2:A1000=$F4, data!D$2:D1000=$G4, data!E$2:E1000=3))
  -
  AVERAGE(FILTER(data!C$2:C1000, data!A$2:A1000=$F4, data!D$2:D1000=$G4, data!E$2:E1000=1))
, """")
"),0.0)</f>
        <v>0</v>
      </c>
      <c r="N4" s="62">
        <f t="shared" ref="N4:P4" si="3">IF(H4="",,ABS(H4))
</f>
        <v>0</v>
      </c>
      <c r="O4" s="62">
        <f t="shared" si="3"/>
        <v>0</v>
      </c>
      <c r="P4" s="62">
        <f t="shared" si="3"/>
        <v>0</v>
      </c>
      <c r="Q4" s="62">
        <f t="shared" si="4"/>
        <v>0</v>
      </c>
      <c r="R4" s="62">
        <f t="shared" ref="R4:S4" si="5">IF(L4="",,ABS(L4))
</f>
        <v>0</v>
      </c>
      <c r="S4" s="62">
        <f t="shared" si="5"/>
        <v>0</v>
      </c>
      <c r="T4" s="55"/>
      <c r="U4" s="61">
        <f>IFERROR(__xludf.DUMMYFUNCTION("""COMPUTED_VALUE"""),5.0)</f>
        <v>5</v>
      </c>
      <c r="V4" s="61" t="str">
        <f>IFERROR(__xludf.DUMMYFUNCTION("""COMPUTED_VALUE"""),"A")</f>
        <v>A</v>
      </c>
      <c r="W4" s="62">
        <f>IFERROR(__xludf.DUMMYFUNCTION("""COMPUTED_VALUE"""),7.0)</f>
        <v>7</v>
      </c>
      <c r="X4" s="62">
        <f>IFERROR(__xludf.DUMMYFUNCTION("""COMPUTED_VALUE"""),10.0)</f>
        <v>10</v>
      </c>
      <c r="Y4" s="55"/>
      <c r="Z4" s="55"/>
      <c r="AA4" s="61">
        <f>IFERROR(__xludf.DUMMYFUNCTION("""COMPUTED_VALUE"""),12.0)</f>
        <v>12</v>
      </c>
      <c r="AB4" s="62">
        <f>IFERROR(__xludf.DUMMYFUNCTION("IF(AA4="""",,COUNTUNIQUE(FILTER(data!D$2:D1000, data!E$2:E1000=3, data!A$2:A1000=AA4)))
"),2.0)</f>
        <v>2</v>
      </c>
      <c r="AC4" s="62">
        <f>IFERROR(__xludf.DUMMYFUNCTION("IF(AA4="""",,ROUND(AVERAGE(FILTER(data!B$2:B1000, data!E$2:E1000=3, data!A$2:A1000=AA4)),2))
"),3.5)</f>
        <v>3.5</v>
      </c>
      <c r="AD4" s="62">
        <f>IFERROR(__xludf.DUMMYFUNCTION("IF(AA4="""",,ROUND(AVERAGE(FILTER(data!C$2:C1000, data!E$2:E1000=3, data!A$2:A1000=AA4)),2))
"),6.0)</f>
        <v>6</v>
      </c>
      <c r="AE4" s="62">
        <f>IFERROR(__xludf.DUMMYFUNCTION("IF(AA4="""",,
  MAX(FILTER(data!B$2:B1000, data!E$2:E1000=3, data!A$2:A1000=AA4))
 -MIN(FILTER(data!B$2:B1000, data!E$2:E1000=3, data!A$2:A1000=AA4))
)
"),3.0)</f>
        <v>3</v>
      </c>
      <c r="AF4" s="62">
        <f>IFERROR(__xludf.DUMMYFUNCTION("IF(AA4="""",,
  MAX(FILTER(data!C$2:C1000, data!E$2:E1000=3, data!A$2:A1000=AA4))
 -MIN(FILTER(data!C$2:C1000, data!E$2:E1000=3, data!A$2:A1000=AA4))
)
"),4.0)</f>
        <v>4</v>
      </c>
      <c r="AG4" s="61" t="str">
        <f t="shared" si="6"/>
        <v>Non-consensuelle</v>
      </c>
      <c r="AH4" s="55"/>
      <c r="AI4" s="55"/>
      <c r="AJ4" s="64"/>
      <c r="AK4" s="64"/>
      <c r="AL4" s="64"/>
      <c r="AM4" s="64"/>
      <c r="AN4" s="64"/>
      <c r="AO4" s="55"/>
      <c r="AP4" s="61">
        <f>IFERROR(__xludf.DUMMYFUNCTION("""COMPUTED_VALUE"""),25.0)</f>
        <v>25</v>
      </c>
      <c r="AQ4" s="62">
        <f>IFERROR(__xludf.DUMMYFUNCTION("""COMPUTED_VALUE"""),2.0)</f>
        <v>2</v>
      </c>
      <c r="AR4" s="62">
        <f>IFERROR(__xludf.DUMMYFUNCTION("""COMPUTED_VALUE"""),2.25)</f>
        <v>2.25</v>
      </c>
      <c r="AS4" s="62">
        <f>IFERROR(__xludf.DUMMYFUNCTION("""COMPUTED_VALUE"""),7.75)</f>
        <v>7.75</v>
      </c>
      <c r="AT4" s="62">
        <f>IFERROR(__xludf.DUMMYFUNCTION("""COMPUTED_VALUE"""),2.5)</f>
        <v>2.5</v>
      </c>
      <c r="AU4" s="62">
        <f>IFERROR(__xludf.DUMMYFUNCTION("""COMPUTED_VALUE"""),4.5)</f>
        <v>4.5</v>
      </c>
      <c r="AV4" s="55"/>
      <c r="AW4" s="61">
        <f>IFERROR(__xludf.DUMMYFUNCTION("""COMPUTED_VALUE"""),60.0)</f>
        <v>60</v>
      </c>
      <c r="AX4" s="62">
        <f>IFERROR(__xludf.DUMMYFUNCTION("""COMPUTED_VALUE"""),2.0)</f>
        <v>2</v>
      </c>
      <c r="AY4" s="62">
        <f>IFERROR(__xludf.DUMMYFUNCTION("""COMPUTED_VALUE"""),6.5)</f>
        <v>6.5</v>
      </c>
      <c r="AZ4" s="62">
        <f>IFERROR(__xludf.DUMMYFUNCTION("""COMPUTED_VALUE"""),8.0)</f>
        <v>8</v>
      </c>
      <c r="BA4" s="62">
        <f>IFERROR(__xludf.DUMMYFUNCTION("""COMPUTED_VALUE"""),3.0)</f>
        <v>3</v>
      </c>
      <c r="BB4" s="62">
        <f>IFERROR(__xludf.DUMMYFUNCTION("""COMPUTED_VALUE"""),2.0)</f>
        <v>2</v>
      </c>
      <c r="BC4" s="55"/>
      <c r="BD4" s="61">
        <f>IFERROR(__xludf.DUMMYFUNCTION("""COMPUTED_VALUE"""),41.0)</f>
        <v>41</v>
      </c>
      <c r="BE4" s="62">
        <f>IFERROR(__xludf.DUMMYFUNCTION("""COMPUTED_VALUE"""),3.0)</f>
        <v>3</v>
      </c>
      <c r="BF4" s="62">
        <f>IFERROR(__xludf.DUMMYFUNCTION("IF(BD4="""",,IFERROR(ROUND(AVERAGE(FILTER(data!B$2:B1000, (data!E$2:E1000&amp;"""")=""3"", (data!A$2:A1000&amp;"""")=(BD4&amp;""""))),2),""""))
"),5.0)</f>
        <v>5</v>
      </c>
      <c r="BG4" s="62">
        <f>IFERROR(__xludf.DUMMYFUNCTION("IF(BD4="""",,IFERROR(ROUND(AVERAGE(FILTER(data!C$2:C1000, (data!E$2:E1000&amp;"""")=""3"", (data!A$2:A1000&amp;"""")=(BD4&amp;""""))),2),""""))
"),7.83)</f>
        <v>7.83</v>
      </c>
      <c r="BH4" s="62">
        <f>IFERROR(__xludf.DUMMYFUNCTION("IF(BD4="""",,IFERROR(
  MAX(FILTER(data!B$2:B1000, (data!E$2:E1000&amp;"""")=""3"", (data!A$2:A1000&amp;"""")=(BD4&amp;"""")))
 -MIN(FILTER(data!B$2:B1000, (data!E$2:E1000&amp;"""")=""3"", (data!A$2:A1000&amp;"""")=(BD4&amp;"""")))
,""""))
"),7.0)</f>
        <v>7</v>
      </c>
      <c r="BI4" s="62">
        <f>IFERROR(__xludf.DUMMYFUNCTION("IF(BD4="""",,IFERROR(
  MAX(FILTER(data!C$2:C1000, (data!E$2:E1000&amp;"""")=""3"", (data!A$2:A1000&amp;"""")=(BD4&amp;"""")))
 -MIN(FILTER(data!C$2:C1000, (data!E$2:E1000&amp;"""")=""3"", (data!A$2:A1000&amp;"""")=(BD4&amp;"""")))
,""""))
"),3.5)</f>
        <v>3.5</v>
      </c>
      <c r="BJ4" s="62">
        <f t="shared" si="7"/>
        <v>7.826237921</v>
      </c>
      <c r="BK4" s="55"/>
      <c r="BL4" s="65">
        <f>IFERROR(__xludf.DUMMYFUNCTION("""COMPUTED_VALUE"""),2.0)</f>
        <v>2</v>
      </c>
      <c r="BM4" s="65" t="str">
        <f>IFERROR(__xludf.DUMMYFUNCTION("""COMPUTED_VALUE"""),"A")</f>
        <v>A</v>
      </c>
      <c r="BN4" s="64"/>
      <c r="BO4" s="63">
        <f>IFERROR(__xludf.DUMMYFUNCTION("""COMPUTED_VALUE"""),6.0)</f>
        <v>6</v>
      </c>
      <c r="BP4" s="63">
        <f>IFERROR(__xludf.DUMMYFUNCTION("""COMPUTED_VALUE"""),6.0)</f>
        <v>6</v>
      </c>
      <c r="BQ4" s="64"/>
      <c r="BR4" s="63">
        <f>IFERROR(__xludf.DUMMYFUNCTION("""COMPUTED_VALUE"""),6.5)</f>
        <v>6.5</v>
      </c>
      <c r="BS4" s="63">
        <f>IFERROR(__xludf.DUMMYFUNCTION("""COMPUTED_VALUE"""),6.5)</f>
        <v>6.5</v>
      </c>
      <c r="BT4" s="64"/>
      <c r="BU4" s="63">
        <v>0.0</v>
      </c>
      <c r="BV4" s="67">
        <v>0.0</v>
      </c>
      <c r="BW4" s="65" t="b">
        <v>0</v>
      </c>
      <c r="BX4" s="55"/>
      <c r="BY4" s="65">
        <f>IFERROR(__xludf.DUMMYFUNCTION("""COMPUTED_VALUE"""),79.0)</f>
        <v>79</v>
      </c>
      <c r="BZ4" s="65">
        <f>IFERROR(__xludf.DUMMYFUNCTION("""COMPUTED_VALUE"""),6.0)</f>
        <v>6</v>
      </c>
      <c r="CA4" s="55"/>
      <c r="CB4" s="55"/>
      <c r="CC4" s="55"/>
      <c r="CD4" s="55"/>
      <c r="CE4" s="55"/>
      <c r="CF4" s="55"/>
      <c r="CG4" s="55"/>
      <c r="CH4" s="55"/>
    </row>
    <row r="5" ht="16.5" customHeight="1">
      <c r="A5" s="61">
        <f>IFERROR(__xludf.DUMMYFUNCTION("""COMPUTED_VALUE"""),6.0)</f>
        <v>6</v>
      </c>
      <c r="B5" s="61">
        <f>IFERROR(__xludf.DUMMYFUNCTION("""COMPUTED_VALUE"""),2.0)</f>
        <v>2</v>
      </c>
      <c r="C5" s="55"/>
      <c r="D5" s="61">
        <f>IFERROR(__xludf.DUMMYFUNCTION("""COMPUTED_VALUE"""),6.0)</f>
        <v>6</v>
      </c>
      <c r="E5" s="55"/>
      <c r="F5" s="61">
        <f>IFERROR(__xludf.DUMMYFUNCTION("""COMPUTED_VALUE"""),25.0)</f>
        <v>25</v>
      </c>
      <c r="G5" s="61" t="str">
        <f>IFERROR(__xludf.DUMMYFUNCTION("""COMPUTED_VALUE"""),"A")</f>
        <v>A</v>
      </c>
      <c r="H5" s="62">
        <f>IFERROR(__xludf.DUMMYFUNCTION("IFERROR(
  AVERAGE(FILTER(data!B$2:B1000, data!A$2:A1000=$F5, data!D$2:D1000=$G5, data!E$2:E1000=2))
  -
  AVERAGE(FILTER(data!B$2:B1000, data!A$2:A1000=$F5, data!D$2:D1000=$G5, data!E$2:E1000=1))
, """")
"),0.0)</f>
        <v>0</v>
      </c>
      <c r="I5" s="62">
        <f>IFERROR(__xludf.DUMMYFUNCTION("IFERROR(
  AVERAGE(FILTER(data!B$2:B1000, data!A$2:A1000=$F5, data!D$2:D1000=$G5, data!E$2:E1000=3))
  -
  AVERAGE(FILTER(data!B$2:B1000, data!A$2:A1000=$F5, data!D$2:D1000=$G5, data!E$2:E1000=2))
, """")
"),0.0)</f>
        <v>0</v>
      </c>
      <c r="J5" s="62">
        <f>IFERROR(__xludf.DUMMYFUNCTION("IFERROR(
  AVERAGE(FILTER(data!B$2:B1000, data!A$2:A1000=$F5, data!D$2:D1000=$G5, data!E$2:E1000=3))
  -
  AVERAGE(FILTER(data!B$2:B1000, data!A$2:A1000=$F5, data!D$2:D1000=$G5, data!E$2:E1000=1))
, """")
"),0.0)</f>
        <v>0</v>
      </c>
      <c r="K5" s="62">
        <f>IFERROR(__xludf.DUMMYFUNCTION("IFERROR(
  AVERAGE(FILTER(data!C$2:C1000, data!A$2:A1000=$F5, data!D$2:D1000=$G5, data!E$2:E1000=2))
  -
  AVERAGE(FILTER(data!C$2:C1000, data!A$2:A1000=$F5, data!D$2:D1000=$G5, data!E$2:E1000=1))
, """")
"),0.0)</f>
        <v>0</v>
      </c>
      <c r="L5" s="62">
        <f>IFERROR(__xludf.DUMMYFUNCTION("IFERROR(
  AVERAGE(FILTER(data!C$2:C1000, data!A$2:A1000=$F5, data!D$2:D1000=$G5, data!E$2:E1000=3))
  -
  AVERAGE(FILTER(data!C$2:C1000, data!A$2:A1000=$F5, data!D$2:D1000=$G5, data!E$2:E1000=2))
, """")
"),0.0)</f>
        <v>0</v>
      </c>
      <c r="M5" s="62">
        <f>IFERROR(__xludf.DUMMYFUNCTION("IFERROR(
  AVERAGE(FILTER(data!C$2:C1000, data!A$2:A1000=$F5, data!D$2:D1000=$G5, data!E$2:E1000=3))
  -
  AVERAGE(FILTER(data!C$2:C1000, data!A$2:A1000=$F5, data!D$2:D1000=$G5, data!E$2:E1000=1))
, """")
"),0.0)</f>
        <v>0</v>
      </c>
      <c r="N5" s="62">
        <f t="shared" ref="N5:P5" si="8">IF(H5="",,ABS(H5))
</f>
        <v>0</v>
      </c>
      <c r="O5" s="62">
        <f t="shared" si="8"/>
        <v>0</v>
      </c>
      <c r="P5" s="62">
        <f t="shared" si="8"/>
        <v>0</v>
      </c>
      <c r="Q5" s="62">
        <f t="shared" si="4"/>
        <v>0</v>
      </c>
      <c r="R5" s="62">
        <f t="shared" ref="R5:S5" si="9">IF(L5="",,ABS(L5))
</f>
        <v>0</v>
      </c>
      <c r="S5" s="62">
        <f t="shared" si="9"/>
        <v>0</v>
      </c>
      <c r="T5" s="55"/>
      <c r="U5" s="61">
        <f>IFERROR(__xludf.DUMMYFUNCTION("""COMPUTED_VALUE"""),6.0)</f>
        <v>6</v>
      </c>
      <c r="V5" s="61" t="str">
        <f>IFERROR(__xludf.DUMMYFUNCTION("""COMPUTED_VALUE"""),"A")</f>
        <v>A</v>
      </c>
      <c r="W5" s="62">
        <f>IFERROR(__xludf.DUMMYFUNCTION("""COMPUTED_VALUE"""),9.5)</f>
        <v>9.5</v>
      </c>
      <c r="X5" s="62">
        <f>IFERROR(__xludf.DUMMYFUNCTION("""COMPUTED_VALUE"""),6.0)</f>
        <v>6</v>
      </c>
      <c r="Y5" s="55"/>
      <c r="Z5" s="55"/>
      <c r="AA5" s="61">
        <f>IFERROR(__xludf.DUMMYFUNCTION("""COMPUTED_VALUE"""),13.0)</f>
        <v>13</v>
      </c>
      <c r="AB5" s="62">
        <f>IFERROR(__xludf.DUMMYFUNCTION("IF(AA5="""",,COUNTUNIQUE(FILTER(data!D$2:D1000, data!E$2:E1000=3, data!A$2:A1000=AA5)))
"),2.0)</f>
        <v>2</v>
      </c>
      <c r="AC5" s="62">
        <f>IFERROR(__xludf.DUMMYFUNCTION("IF(AA5="""",,ROUND(AVERAGE(FILTER(data!B$2:B1000, data!E$2:E1000=3, data!A$2:A1000=AA5)),2))
"),3.0)</f>
        <v>3</v>
      </c>
      <c r="AD5" s="62">
        <f>IFERROR(__xludf.DUMMYFUNCTION("IF(AA5="""",,ROUND(AVERAGE(FILTER(data!C$2:C1000, data!E$2:E1000=3, data!A$2:A1000=AA5)),2))
"),9.0)</f>
        <v>9</v>
      </c>
      <c r="AE5" s="62">
        <f>IFERROR(__xludf.DUMMYFUNCTION("IF(AA5="""",,
  MAX(FILTER(data!B$2:B1000, data!E$2:E1000=3, data!A$2:A1000=AA5))
 -MIN(FILTER(data!B$2:B1000, data!E$2:E1000=3, data!A$2:A1000=AA5))
)
"),2.0)</f>
        <v>2</v>
      </c>
      <c r="AF5" s="62">
        <f>IFERROR(__xludf.DUMMYFUNCTION("IF(AA5="""",,
  MAX(FILTER(data!C$2:C1000, data!E$2:E1000=3, data!A$2:A1000=AA5))
 -MIN(FILTER(data!C$2:C1000, data!E$2:E1000=3, data!A$2:A1000=AA5))
)
"),2.0)</f>
        <v>2</v>
      </c>
      <c r="AG5" s="61" t="str">
        <f t="shared" si="6"/>
        <v>Intermédiaire</v>
      </c>
      <c r="AH5" s="55"/>
      <c r="AI5" s="55"/>
      <c r="AJ5" s="64"/>
      <c r="AK5" s="64"/>
      <c r="AL5" s="64"/>
      <c r="AM5" s="64"/>
      <c r="AN5" s="64"/>
      <c r="AO5" s="55"/>
      <c r="AP5" s="61">
        <f>IFERROR(__xludf.DUMMYFUNCTION("""COMPUTED_VALUE"""),41.0)</f>
        <v>41</v>
      </c>
      <c r="AQ5" s="62">
        <f>IFERROR(__xludf.DUMMYFUNCTION("""COMPUTED_VALUE"""),3.0)</f>
        <v>3</v>
      </c>
      <c r="AR5" s="62">
        <f>IFERROR(__xludf.DUMMYFUNCTION("""COMPUTED_VALUE"""),5.0)</f>
        <v>5</v>
      </c>
      <c r="AS5" s="62">
        <f>IFERROR(__xludf.DUMMYFUNCTION("""COMPUTED_VALUE"""),7.83)</f>
        <v>7.83</v>
      </c>
      <c r="AT5" s="62">
        <f>IFERROR(__xludf.DUMMYFUNCTION("""COMPUTED_VALUE"""),7.0)</f>
        <v>7</v>
      </c>
      <c r="AU5" s="62">
        <f>IFERROR(__xludf.DUMMYFUNCTION("""COMPUTED_VALUE"""),3.5)</f>
        <v>3.5</v>
      </c>
      <c r="AV5" s="55"/>
      <c r="AW5" s="61">
        <f>IFERROR(__xludf.DUMMYFUNCTION("""COMPUTED_VALUE"""),84.0)</f>
        <v>84</v>
      </c>
      <c r="AX5" s="62">
        <f>IFERROR(__xludf.DUMMYFUNCTION("""COMPUTED_VALUE"""),2.0)</f>
        <v>2</v>
      </c>
      <c r="AY5" s="62">
        <f>IFERROR(__xludf.DUMMYFUNCTION("""COMPUTED_VALUE"""),7.75)</f>
        <v>7.75</v>
      </c>
      <c r="AZ5" s="62">
        <f>IFERROR(__xludf.DUMMYFUNCTION("""COMPUTED_VALUE"""),7.5)</f>
        <v>7.5</v>
      </c>
      <c r="BA5" s="62">
        <f>IFERROR(__xludf.DUMMYFUNCTION("""COMPUTED_VALUE"""),2.5)</f>
        <v>2.5</v>
      </c>
      <c r="BB5" s="62">
        <f>IFERROR(__xludf.DUMMYFUNCTION("""COMPUTED_VALUE"""),5.0)</f>
        <v>5</v>
      </c>
      <c r="BC5" s="55"/>
      <c r="BD5" s="61">
        <f>IFERROR(__xludf.DUMMYFUNCTION("""COMPUTED_VALUE"""),6.0)</f>
        <v>6</v>
      </c>
      <c r="BE5" s="62">
        <f>IFERROR(__xludf.DUMMYFUNCTION("""COMPUTED_VALUE"""),2.0)</f>
        <v>2</v>
      </c>
      <c r="BF5" s="62">
        <f>IFERROR(__xludf.DUMMYFUNCTION("IF(BD5="""",,IFERROR(ROUND(AVERAGE(FILTER(data!B$2:B1000, (data!E$2:E1000&amp;"""")=""3"", (data!A$2:A1000&amp;"""")=(BD5&amp;""""))),2),""""))
"),7.25)</f>
        <v>7.25</v>
      </c>
      <c r="BG5" s="62">
        <f>IFERROR(__xludf.DUMMYFUNCTION("IF(BD5="""",,IFERROR(ROUND(AVERAGE(FILTER(data!C$2:C1000, (data!E$2:E1000&amp;"""")=""3"", (data!A$2:A1000&amp;"""")=(BD5&amp;""""))),2),""""))
"),7.0)</f>
        <v>7</v>
      </c>
      <c r="BH5" s="62">
        <f>IFERROR(__xludf.DUMMYFUNCTION("IF(BD5="""",,IFERROR(
  MAX(FILTER(data!B$2:B1000, (data!E$2:E1000&amp;"""")=""3"", (data!A$2:A1000&amp;"""")=(BD5&amp;"""")))
 -MIN(FILTER(data!B$2:B1000, (data!E$2:E1000&amp;"""")=""3"", (data!A$2:A1000&amp;"""")=(BD5&amp;"""")))
,""""))
"),4.5)</f>
        <v>4.5</v>
      </c>
      <c r="BI5" s="62">
        <f>IFERROR(__xludf.DUMMYFUNCTION("IF(BD5="""",,IFERROR(
  MAX(FILTER(data!C$2:C1000, (data!E$2:E1000&amp;"""")=""3"", (data!A$2:A1000&amp;"""")=(BD5&amp;"""")))
 -MIN(FILTER(data!C$2:C1000, (data!E$2:E1000&amp;"""")=""3"", (data!A$2:A1000&amp;"""")=(BD5&amp;"""")))
,""""))
"),2.0)</f>
        <v>2</v>
      </c>
      <c r="BJ5" s="62">
        <f t="shared" si="7"/>
        <v>4.924428901</v>
      </c>
      <c r="BK5" s="55"/>
      <c r="BL5" s="65">
        <f>IFERROR(__xludf.DUMMYFUNCTION("""COMPUTED_VALUE"""),3.0)</f>
        <v>3</v>
      </c>
      <c r="BM5" s="65" t="str">
        <f>IFERROR(__xludf.DUMMYFUNCTION("""COMPUTED_VALUE"""),"E")</f>
        <v>E</v>
      </c>
      <c r="BN5" s="63">
        <f>IFERROR(__xludf.DUMMYFUNCTION("""COMPUTED_VALUE"""),3.0)</f>
        <v>3</v>
      </c>
      <c r="BO5" s="63">
        <f>IFERROR(__xludf.DUMMYFUNCTION("""COMPUTED_VALUE"""),3.0)</f>
        <v>3</v>
      </c>
      <c r="BP5" s="63">
        <f>IFERROR(__xludf.DUMMYFUNCTION("""COMPUTED_VALUE"""),3.0)</f>
        <v>3</v>
      </c>
      <c r="BQ5" s="63">
        <f>IFERROR(__xludf.DUMMYFUNCTION("""COMPUTED_VALUE"""),7.0)</f>
        <v>7</v>
      </c>
      <c r="BR5" s="63">
        <f>IFERROR(__xludf.DUMMYFUNCTION("""COMPUTED_VALUE"""),7.0)</f>
        <v>7</v>
      </c>
      <c r="BS5" s="63">
        <f>IFERROR(__xludf.DUMMYFUNCTION("""COMPUTED_VALUE"""),7.0)</f>
        <v>7</v>
      </c>
      <c r="BT5" s="63">
        <v>0.0</v>
      </c>
      <c r="BU5" s="63">
        <v>0.0</v>
      </c>
      <c r="BV5" s="67">
        <v>0.0</v>
      </c>
      <c r="BW5" s="65" t="b">
        <v>0</v>
      </c>
      <c r="BX5" s="55"/>
      <c r="BY5" s="65">
        <f>IFERROR(__xludf.DUMMYFUNCTION("""COMPUTED_VALUE"""),9.0)</f>
        <v>9</v>
      </c>
      <c r="BZ5" s="65">
        <f>IFERROR(__xludf.DUMMYFUNCTION("""COMPUTED_VALUE"""),5.0)</f>
        <v>5</v>
      </c>
      <c r="CA5" s="55"/>
      <c r="CB5" s="55"/>
      <c r="CC5" s="55"/>
      <c r="CD5" s="55"/>
      <c r="CE5" s="55"/>
      <c r="CF5" s="55"/>
      <c r="CG5" s="55"/>
      <c r="CH5" s="55"/>
    </row>
    <row r="6" ht="16.5" customHeight="1">
      <c r="A6" s="61">
        <f>IFERROR(__xludf.DUMMYFUNCTION("""COMPUTED_VALUE"""),12.0)</f>
        <v>12</v>
      </c>
      <c r="B6" s="61">
        <f>IFERROR(__xludf.DUMMYFUNCTION("""COMPUTED_VALUE"""),2.0)</f>
        <v>2</v>
      </c>
      <c r="C6" s="55"/>
      <c r="D6" s="61">
        <f>IFERROR(__xludf.DUMMYFUNCTION("""COMPUTED_VALUE"""),12.0)</f>
        <v>12</v>
      </c>
      <c r="E6" s="55"/>
      <c r="F6" s="61">
        <f>IFERROR(__xludf.DUMMYFUNCTION("""COMPUTED_VALUE"""),36.0)</f>
        <v>36</v>
      </c>
      <c r="G6" s="61" t="str">
        <f>IFERROR(__xludf.DUMMYFUNCTION("""COMPUTED_VALUE"""),"A")</f>
        <v>A</v>
      </c>
      <c r="H6" s="62">
        <f>IFERROR(__xludf.DUMMYFUNCTION("IFERROR(
  AVERAGE(FILTER(data!B$2:B1000, data!A$2:A1000=$F6, data!D$2:D1000=$G6, data!E$2:E1000=2))
  -
  AVERAGE(FILTER(data!B$2:B1000, data!A$2:A1000=$F6, data!D$2:D1000=$G6, data!E$2:E1000=1))
, """")
"),0.0)</f>
        <v>0</v>
      </c>
      <c r="I6" s="62">
        <f>IFERROR(__xludf.DUMMYFUNCTION("IFERROR(
  AVERAGE(FILTER(data!B$2:B1000, data!A$2:A1000=$F6, data!D$2:D1000=$G6, data!E$2:E1000=3))
  -
  AVERAGE(FILTER(data!B$2:B1000, data!A$2:A1000=$F6, data!D$2:D1000=$G6, data!E$2:E1000=2))
, """")
"),0.0)</f>
        <v>0</v>
      </c>
      <c r="J6" s="62">
        <f>IFERROR(__xludf.DUMMYFUNCTION("IFERROR(
  AVERAGE(FILTER(data!B$2:B1000, data!A$2:A1000=$F6, data!D$2:D1000=$G6, data!E$2:E1000=3))
  -
  AVERAGE(FILTER(data!B$2:B1000, data!A$2:A1000=$F6, data!D$2:D1000=$G6, data!E$2:E1000=1))
, """")
"),0.0)</f>
        <v>0</v>
      </c>
      <c r="K6" s="62">
        <f>IFERROR(__xludf.DUMMYFUNCTION("IFERROR(
  AVERAGE(FILTER(data!C$2:C1000, data!A$2:A1000=$F6, data!D$2:D1000=$G6, data!E$2:E1000=2))
  -
  AVERAGE(FILTER(data!C$2:C1000, data!A$2:A1000=$F6, data!D$2:D1000=$G6, data!E$2:E1000=1))
, """")
"),0.0)</f>
        <v>0</v>
      </c>
      <c r="L6" s="62">
        <f>IFERROR(__xludf.DUMMYFUNCTION("IFERROR(
  AVERAGE(FILTER(data!C$2:C1000, data!A$2:A1000=$F6, data!D$2:D1000=$G6, data!E$2:E1000=3))
  -
  AVERAGE(FILTER(data!C$2:C1000, data!A$2:A1000=$F6, data!D$2:D1000=$G6, data!E$2:E1000=2))
, """")
"),0.0)</f>
        <v>0</v>
      </c>
      <c r="M6" s="62">
        <f>IFERROR(__xludf.DUMMYFUNCTION("IFERROR(
  AVERAGE(FILTER(data!C$2:C1000, data!A$2:A1000=$F6, data!D$2:D1000=$G6, data!E$2:E1000=3))
  -
  AVERAGE(FILTER(data!C$2:C1000, data!A$2:A1000=$F6, data!D$2:D1000=$G6, data!E$2:E1000=1))
, """")
"),0.0)</f>
        <v>0</v>
      </c>
      <c r="N6" s="62">
        <f t="shared" ref="N6:P6" si="10">IF(H6="",,ABS(H6))
</f>
        <v>0</v>
      </c>
      <c r="O6" s="62">
        <f t="shared" si="10"/>
        <v>0</v>
      </c>
      <c r="P6" s="62">
        <f t="shared" si="10"/>
        <v>0</v>
      </c>
      <c r="Q6" s="62">
        <f t="shared" si="4"/>
        <v>0</v>
      </c>
      <c r="R6" s="62">
        <f t="shared" ref="R6:S6" si="11">IF(L6="",,ABS(L6))
</f>
        <v>0</v>
      </c>
      <c r="S6" s="62">
        <f t="shared" si="11"/>
        <v>0</v>
      </c>
      <c r="T6" s="55"/>
      <c r="U6" s="61">
        <f>IFERROR(__xludf.DUMMYFUNCTION("""COMPUTED_VALUE"""),10.0)</f>
        <v>10</v>
      </c>
      <c r="V6" s="61" t="str">
        <f>IFERROR(__xludf.DUMMYFUNCTION("""COMPUTED_VALUE"""),"B")</f>
        <v>B</v>
      </c>
      <c r="W6" s="62">
        <f>IFERROR(__xludf.DUMMYFUNCTION("""COMPUTED_VALUE"""),6.0)</f>
        <v>6</v>
      </c>
      <c r="X6" s="62">
        <f>IFERROR(__xludf.DUMMYFUNCTION("""COMPUTED_VALUE"""),8.0)</f>
        <v>8</v>
      </c>
      <c r="Y6" s="55"/>
      <c r="Z6" s="55"/>
      <c r="AA6" s="61">
        <f>IFERROR(__xludf.DUMMYFUNCTION("""COMPUTED_VALUE"""),25.0)</f>
        <v>25</v>
      </c>
      <c r="AB6" s="62">
        <f>IFERROR(__xludf.DUMMYFUNCTION("IF(AA6="""",,COUNTUNIQUE(FILTER(data!D$2:D1000, data!E$2:E1000=3, data!A$2:A1000=AA6)))
"),2.0)</f>
        <v>2</v>
      </c>
      <c r="AC6" s="62">
        <f>IFERROR(__xludf.DUMMYFUNCTION("IF(AA6="""",,ROUND(AVERAGE(FILTER(data!B$2:B1000, data!E$2:E1000=3, data!A$2:A1000=AA6)),2))
"),2.25)</f>
        <v>2.25</v>
      </c>
      <c r="AD6" s="62">
        <f>IFERROR(__xludf.DUMMYFUNCTION("IF(AA6="""",,ROUND(AVERAGE(FILTER(data!C$2:C1000, data!E$2:E1000=3, data!A$2:A1000=AA6)),2))
"),7.75)</f>
        <v>7.75</v>
      </c>
      <c r="AE6" s="62">
        <f>IFERROR(__xludf.DUMMYFUNCTION("IF(AA6="""",,
  MAX(FILTER(data!B$2:B1000, data!E$2:E1000=3, data!A$2:A1000=AA6))
 -MIN(FILTER(data!B$2:B1000, data!E$2:E1000=3, data!A$2:A1000=AA6))
)
"),2.5)</f>
        <v>2.5</v>
      </c>
      <c r="AF6" s="62">
        <f>IFERROR(__xludf.DUMMYFUNCTION("IF(AA6="""",,
  MAX(FILTER(data!C$2:C1000, data!E$2:E1000=3, data!A$2:A1000=AA6))
 -MIN(FILTER(data!C$2:C1000, data!E$2:E1000=3, data!A$2:A1000=AA6))
)
"),4.5)</f>
        <v>4.5</v>
      </c>
      <c r="AG6" s="61" t="str">
        <f t="shared" si="6"/>
        <v>Non-consensuelle</v>
      </c>
      <c r="AH6" s="55"/>
      <c r="AI6" s="55"/>
      <c r="AJ6" s="64"/>
      <c r="AK6" s="64"/>
      <c r="AL6" s="64"/>
      <c r="AM6" s="64"/>
      <c r="AN6" s="64"/>
      <c r="AO6" s="55"/>
      <c r="AP6" s="61">
        <f>IFERROR(__xludf.DUMMYFUNCTION("""COMPUTED_VALUE"""),68.0)</f>
        <v>68</v>
      </c>
      <c r="AQ6" s="62">
        <f>IFERROR(__xludf.DUMMYFUNCTION("""COMPUTED_VALUE"""),2.0)</f>
        <v>2</v>
      </c>
      <c r="AR6" s="62">
        <f>IFERROR(__xludf.DUMMYFUNCTION("""COMPUTED_VALUE"""),3.5)</f>
        <v>3.5</v>
      </c>
      <c r="AS6" s="62">
        <f>IFERROR(__xludf.DUMMYFUNCTION("""COMPUTED_VALUE"""),8.25)</f>
        <v>8.25</v>
      </c>
      <c r="AT6" s="62">
        <f>IFERROR(__xludf.DUMMYFUNCTION("""COMPUTED_VALUE"""),5.0)</f>
        <v>5</v>
      </c>
      <c r="AU6" s="62">
        <f>IFERROR(__xludf.DUMMYFUNCTION("""COMPUTED_VALUE"""),2.5)</f>
        <v>2.5</v>
      </c>
      <c r="AV6" s="55"/>
      <c r="AW6" s="55"/>
      <c r="AX6" s="64"/>
      <c r="AY6" s="64"/>
      <c r="AZ6" s="64"/>
      <c r="BA6" s="64"/>
      <c r="BB6" s="64"/>
      <c r="BC6" s="55"/>
      <c r="BD6" s="61">
        <f>IFERROR(__xludf.DUMMYFUNCTION("""COMPUTED_VALUE"""),12.0)</f>
        <v>12</v>
      </c>
      <c r="BE6" s="62">
        <f>IFERROR(__xludf.DUMMYFUNCTION("""COMPUTED_VALUE"""),2.0)</f>
        <v>2</v>
      </c>
      <c r="BF6" s="62">
        <f>IFERROR(__xludf.DUMMYFUNCTION("IF(BD6="""",,IFERROR(ROUND(AVERAGE(FILTER(data!B$2:B1000, (data!E$2:E1000&amp;"""")=""3"", (data!A$2:A1000&amp;"""")=(BD6&amp;""""))),2),""""))
"),3.5)</f>
        <v>3.5</v>
      </c>
      <c r="BG6" s="62">
        <f>IFERROR(__xludf.DUMMYFUNCTION("IF(BD6="""",,IFERROR(ROUND(AVERAGE(FILTER(data!C$2:C1000, (data!E$2:E1000&amp;"""")=""3"", (data!A$2:A1000&amp;"""")=(BD6&amp;""""))),2),""""))
"),6.0)</f>
        <v>6</v>
      </c>
      <c r="BH6" s="62">
        <f>IFERROR(__xludf.DUMMYFUNCTION("IF(BD6="""",,IFERROR(
  MAX(FILTER(data!B$2:B1000, (data!E$2:E1000&amp;"""")=""3"", (data!A$2:A1000&amp;"""")=(BD6&amp;"""")))
 -MIN(FILTER(data!B$2:B1000, (data!E$2:E1000&amp;"""")=""3"", (data!A$2:A1000&amp;"""")=(BD6&amp;"""")))
,""""))
"),3.0)</f>
        <v>3</v>
      </c>
      <c r="BI6" s="62">
        <f>IFERROR(__xludf.DUMMYFUNCTION("IF(BD6="""",,IFERROR(
  MAX(FILTER(data!C$2:C1000, (data!E$2:E1000&amp;"""")=""3"", (data!A$2:A1000&amp;"""")=(BD6&amp;"""")))
 -MIN(FILTER(data!C$2:C1000, (data!E$2:E1000&amp;"""")=""3"", (data!A$2:A1000&amp;"""")=(BD6&amp;"""")))
,""""))
"),4.0)</f>
        <v>4</v>
      </c>
      <c r="BJ6" s="62">
        <f t="shared" si="7"/>
        <v>5</v>
      </c>
      <c r="BK6" s="55"/>
      <c r="BL6" s="65">
        <f>IFERROR(__xludf.DUMMYFUNCTION("""COMPUTED_VALUE"""),5.0)</f>
        <v>5</v>
      </c>
      <c r="BM6" s="65" t="str">
        <f>IFERROR(__xludf.DUMMYFUNCTION("""COMPUTED_VALUE"""),"A")</f>
        <v>A</v>
      </c>
      <c r="BN6" s="63">
        <f>IFERROR(__xludf.DUMMYFUNCTION("""COMPUTED_VALUE"""),6.5)</f>
        <v>6.5</v>
      </c>
      <c r="BO6" s="63">
        <f>IFERROR(__xludf.DUMMYFUNCTION("""COMPUTED_VALUE"""),7.0)</f>
        <v>7</v>
      </c>
      <c r="BP6" s="63">
        <f>IFERROR(__xludf.DUMMYFUNCTION("""COMPUTED_VALUE"""),7.0)</f>
        <v>7</v>
      </c>
      <c r="BQ6" s="63">
        <f>IFERROR(__xludf.DUMMYFUNCTION("""COMPUTED_VALUE"""),10.0)</f>
        <v>10</v>
      </c>
      <c r="BR6" s="63">
        <f>IFERROR(__xludf.DUMMYFUNCTION("""COMPUTED_VALUE"""),10.0)</f>
        <v>10</v>
      </c>
      <c r="BS6" s="63">
        <f>IFERROR(__xludf.DUMMYFUNCTION("""COMPUTED_VALUE"""),10.0)</f>
        <v>10</v>
      </c>
      <c r="BT6" s="63">
        <v>0.5</v>
      </c>
      <c r="BU6" s="63">
        <v>0.0</v>
      </c>
      <c r="BV6" s="67">
        <v>0.5</v>
      </c>
      <c r="BW6" s="65" t="b">
        <v>0</v>
      </c>
      <c r="BX6" s="55"/>
      <c r="BY6" s="65">
        <f>IFERROR(__xludf.DUMMYFUNCTION("""COMPUTED_VALUE"""),85.0)</f>
        <v>85</v>
      </c>
      <c r="BZ6" s="65">
        <f>IFERROR(__xludf.DUMMYFUNCTION("""COMPUTED_VALUE"""),4.0)</f>
        <v>4</v>
      </c>
      <c r="CA6" s="55"/>
      <c r="CB6" s="55"/>
      <c r="CC6" s="55"/>
      <c r="CD6" s="55"/>
      <c r="CE6" s="55"/>
      <c r="CF6" s="55"/>
      <c r="CG6" s="55"/>
      <c r="CH6" s="55"/>
    </row>
    <row r="7" ht="16.5" customHeight="1">
      <c r="A7" s="61">
        <f>IFERROR(__xludf.DUMMYFUNCTION("""COMPUTED_VALUE"""),13.0)</f>
        <v>13</v>
      </c>
      <c r="B7" s="61">
        <f>IFERROR(__xludf.DUMMYFUNCTION("""COMPUTED_VALUE"""),2.0)</f>
        <v>2</v>
      </c>
      <c r="C7" s="55"/>
      <c r="D7" s="61">
        <f>IFERROR(__xludf.DUMMYFUNCTION("""COMPUTED_VALUE"""),13.0)</f>
        <v>13</v>
      </c>
      <c r="E7" s="55"/>
      <c r="F7" s="61">
        <f>IFERROR(__xludf.DUMMYFUNCTION("""COMPUTED_VALUE"""),41.0)</f>
        <v>41</v>
      </c>
      <c r="G7" s="61" t="str">
        <f>IFERROR(__xludf.DUMMYFUNCTION("""COMPUTED_VALUE"""),"A")</f>
        <v>A</v>
      </c>
      <c r="H7" s="62">
        <f>IFERROR(__xludf.DUMMYFUNCTION("IFERROR(
  AVERAGE(FILTER(data!B$2:B1000, data!A$2:A1000=$F7, data!D$2:D1000=$G7, data!E$2:E1000=2))
  -
  AVERAGE(FILTER(data!B$2:B1000, data!A$2:A1000=$F7, data!D$2:D1000=$G7, data!E$2:E1000=1))
, """")
"),0.0)</f>
        <v>0</v>
      </c>
      <c r="I7" s="62">
        <f>IFERROR(__xludf.DUMMYFUNCTION("IFERROR(
  AVERAGE(FILTER(data!B$2:B1000, data!A$2:A1000=$F7, data!D$2:D1000=$G7, data!E$2:E1000=3))
  -
  AVERAGE(FILTER(data!B$2:B1000, data!A$2:A1000=$F7, data!D$2:D1000=$G7, data!E$2:E1000=2))
, """")
"),0.0)</f>
        <v>0</v>
      </c>
      <c r="J7" s="62">
        <f>IFERROR(__xludf.DUMMYFUNCTION("IFERROR(
  AVERAGE(FILTER(data!B$2:B1000, data!A$2:A1000=$F7, data!D$2:D1000=$G7, data!E$2:E1000=3))
  -
  AVERAGE(FILTER(data!B$2:B1000, data!A$2:A1000=$F7, data!D$2:D1000=$G7, data!E$2:E1000=1))
, """")
"),0.0)</f>
        <v>0</v>
      </c>
      <c r="K7" s="62">
        <f>IFERROR(__xludf.DUMMYFUNCTION("IFERROR(
  AVERAGE(FILTER(data!C$2:C1000, data!A$2:A1000=$F7, data!D$2:D1000=$G7, data!E$2:E1000=2))
  -
  AVERAGE(FILTER(data!C$2:C1000, data!A$2:A1000=$F7, data!D$2:D1000=$G7, data!E$2:E1000=1))
, """")
"),0.0)</f>
        <v>0</v>
      </c>
      <c r="L7" s="62">
        <f>IFERROR(__xludf.DUMMYFUNCTION("IFERROR(
  AVERAGE(FILTER(data!C$2:C1000, data!A$2:A1000=$F7, data!D$2:D1000=$G7, data!E$2:E1000=3))
  -
  AVERAGE(FILTER(data!C$2:C1000, data!A$2:A1000=$F7, data!D$2:D1000=$G7, data!E$2:E1000=2))
, """")
"),0.0)</f>
        <v>0</v>
      </c>
      <c r="M7" s="62">
        <f>IFERROR(__xludf.DUMMYFUNCTION("IFERROR(
  AVERAGE(FILTER(data!C$2:C1000, data!A$2:A1000=$F7, data!D$2:D1000=$G7, data!E$2:E1000=3))
  -
  AVERAGE(FILTER(data!C$2:C1000, data!A$2:A1000=$F7, data!D$2:D1000=$G7, data!E$2:E1000=1))
, """")
"),0.0)</f>
        <v>0</v>
      </c>
      <c r="N7" s="62">
        <f t="shared" ref="N7:P7" si="12">IF(H7="",,ABS(H7))
</f>
        <v>0</v>
      </c>
      <c r="O7" s="62">
        <f t="shared" si="12"/>
        <v>0</v>
      </c>
      <c r="P7" s="62">
        <f t="shared" si="12"/>
        <v>0</v>
      </c>
      <c r="Q7" s="62">
        <f t="shared" si="4"/>
        <v>0</v>
      </c>
      <c r="R7" s="62">
        <f t="shared" ref="R7:S7" si="13">IF(L7="",,ABS(L7))
</f>
        <v>0</v>
      </c>
      <c r="S7" s="62">
        <f t="shared" si="13"/>
        <v>0</v>
      </c>
      <c r="T7" s="55"/>
      <c r="U7" s="61">
        <f>IFERROR(__xludf.DUMMYFUNCTION("""COMPUTED_VALUE"""),27.0)</f>
        <v>27</v>
      </c>
      <c r="V7" s="61" t="str">
        <f>IFERROR(__xludf.DUMMYFUNCTION("""COMPUTED_VALUE"""),"B")</f>
        <v>B</v>
      </c>
      <c r="W7" s="62">
        <f>IFERROR(__xludf.DUMMYFUNCTION("""COMPUTED_VALUE"""),9.5)</f>
        <v>9.5</v>
      </c>
      <c r="X7" s="62">
        <f>IFERROR(__xludf.DUMMYFUNCTION("""COMPUTED_VALUE"""),9.0)</f>
        <v>9</v>
      </c>
      <c r="Y7" s="55"/>
      <c r="Z7" s="55"/>
      <c r="AA7" s="61">
        <f>IFERROR(__xludf.DUMMYFUNCTION("""COMPUTED_VALUE"""),36.0)</f>
        <v>36</v>
      </c>
      <c r="AB7" s="62">
        <f>IFERROR(__xludf.DUMMYFUNCTION("IF(AA7="""",,COUNTUNIQUE(FILTER(data!D$2:D1000, data!E$2:E1000=3, data!A$2:A1000=AA7)))
"),3.0)</f>
        <v>3</v>
      </c>
      <c r="AC7" s="62">
        <f>IFERROR(__xludf.DUMMYFUNCTION("IF(AA7="""",,ROUND(AVERAGE(FILTER(data!B$2:B1000, data!E$2:E1000=3, data!A$2:A1000=AA7)),2))
"),2.83)</f>
        <v>2.83</v>
      </c>
      <c r="AD7" s="62">
        <f>IFERROR(__xludf.DUMMYFUNCTION("IF(AA7="""",,ROUND(AVERAGE(FILTER(data!C$2:C1000, data!E$2:E1000=3, data!A$2:A1000=AA7)),2))
"),7.67)</f>
        <v>7.67</v>
      </c>
      <c r="AE7" s="62">
        <f>IFERROR(__xludf.DUMMYFUNCTION("IF(AA7="""",,
  MAX(FILTER(data!B$2:B1000, data!E$2:E1000=3, data!A$2:A1000=AA7))
 -MIN(FILTER(data!B$2:B1000, data!E$2:E1000=3, data!A$2:A1000=AA7))
)
"),4.5)</f>
        <v>4.5</v>
      </c>
      <c r="AF7" s="62">
        <f>IFERROR(__xludf.DUMMYFUNCTION("IF(AA7="""",,
  MAX(FILTER(data!C$2:C1000, data!E$2:E1000=3, data!A$2:A1000=AA7))
 -MIN(FILTER(data!C$2:C1000, data!E$2:E1000=3, data!A$2:A1000=AA7))
)
"),1.0)</f>
        <v>1</v>
      </c>
      <c r="AG7" s="61" t="str">
        <f t="shared" si="6"/>
        <v>Intermédiaire</v>
      </c>
      <c r="AH7" s="55"/>
      <c r="AI7" s="55"/>
      <c r="AJ7" s="64"/>
      <c r="AK7" s="64"/>
      <c r="AL7" s="64"/>
      <c r="AM7" s="64"/>
      <c r="AN7" s="64"/>
      <c r="AO7" s="55"/>
      <c r="AP7" s="61">
        <f>IFERROR(__xludf.DUMMYFUNCTION("""COMPUTED_VALUE"""),84.0)</f>
        <v>84</v>
      </c>
      <c r="AQ7" s="62">
        <f>IFERROR(__xludf.DUMMYFUNCTION("""COMPUTED_VALUE"""),2.0)</f>
        <v>2</v>
      </c>
      <c r="AR7" s="62">
        <f>IFERROR(__xludf.DUMMYFUNCTION("""COMPUTED_VALUE"""),7.75)</f>
        <v>7.75</v>
      </c>
      <c r="AS7" s="62">
        <f>IFERROR(__xludf.DUMMYFUNCTION("""COMPUTED_VALUE"""),7.5)</f>
        <v>7.5</v>
      </c>
      <c r="AT7" s="62">
        <f>IFERROR(__xludf.DUMMYFUNCTION("""COMPUTED_VALUE"""),2.5)</f>
        <v>2.5</v>
      </c>
      <c r="AU7" s="62">
        <f>IFERROR(__xludf.DUMMYFUNCTION("""COMPUTED_VALUE"""),5.0)</f>
        <v>5</v>
      </c>
      <c r="AV7" s="55"/>
      <c r="AW7" s="55"/>
      <c r="AX7" s="64"/>
      <c r="AY7" s="64"/>
      <c r="AZ7" s="64"/>
      <c r="BA7" s="64"/>
      <c r="BB7" s="64"/>
      <c r="BC7" s="55"/>
      <c r="BD7" s="61">
        <f>IFERROR(__xludf.DUMMYFUNCTION("""COMPUTED_VALUE"""),13.0)</f>
        <v>13</v>
      </c>
      <c r="BE7" s="62">
        <f>IFERROR(__xludf.DUMMYFUNCTION("""COMPUTED_VALUE"""),2.0)</f>
        <v>2</v>
      </c>
      <c r="BF7" s="62">
        <f>IFERROR(__xludf.DUMMYFUNCTION("IF(BD7="""",,IFERROR(ROUND(AVERAGE(FILTER(data!B$2:B1000, (data!E$2:E1000&amp;"""")=""3"", (data!A$2:A1000&amp;"""")=(BD7&amp;""""))),2),""""))
"),3.0)</f>
        <v>3</v>
      </c>
      <c r="BG7" s="62">
        <f>IFERROR(__xludf.DUMMYFUNCTION("IF(BD7="""",,IFERROR(ROUND(AVERAGE(FILTER(data!C$2:C1000, (data!E$2:E1000&amp;"""")=""3"", (data!A$2:A1000&amp;"""")=(BD7&amp;""""))),2),""""))
"),9.0)</f>
        <v>9</v>
      </c>
      <c r="BH7" s="62">
        <f>IFERROR(__xludf.DUMMYFUNCTION("IF(BD7="""",,IFERROR(
  MAX(FILTER(data!B$2:B1000, (data!E$2:E1000&amp;"""")=""3"", (data!A$2:A1000&amp;"""")=(BD7&amp;"""")))
 -MIN(FILTER(data!B$2:B1000, (data!E$2:E1000&amp;"""")=""3"", (data!A$2:A1000&amp;"""")=(BD7&amp;"""")))
,""""))
"),2.0)</f>
        <v>2</v>
      </c>
      <c r="BI7" s="62">
        <f>IFERROR(__xludf.DUMMYFUNCTION("IF(BD7="""",,IFERROR(
  MAX(FILTER(data!C$2:C1000, (data!E$2:E1000&amp;"""")=""3"", (data!A$2:A1000&amp;"""")=(BD7&amp;"""")))
 -MIN(FILTER(data!C$2:C1000, (data!E$2:E1000&amp;"""")=""3"", (data!A$2:A1000&amp;"""")=(BD7&amp;"""")))
,""""))
"),2.0)</f>
        <v>2</v>
      </c>
      <c r="BJ7" s="62">
        <f t="shared" si="7"/>
        <v>2.828427125</v>
      </c>
      <c r="BK7" s="55"/>
      <c r="BL7" s="65">
        <f>IFERROR(__xludf.DUMMYFUNCTION("""COMPUTED_VALUE"""),6.0)</f>
        <v>6</v>
      </c>
      <c r="BM7" s="65" t="str">
        <f>IFERROR(__xludf.DUMMYFUNCTION("""COMPUTED_VALUE"""),"A")</f>
        <v>A</v>
      </c>
      <c r="BN7" s="63">
        <f>IFERROR(__xludf.DUMMYFUNCTION("""COMPUTED_VALUE"""),9.5)</f>
        <v>9.5</v>
      </c>
      <c r="BO7" s="63">
        <f>IFERROR(__xludf.DUMMYFUNCTION("""COMPUTED_VALUE"""),9.5)</f>
        <v>9.5</v>
      </c>
      <c r="BP7" s="63">
        <f>IFERROR(__xludf.DUMMYFUNCTION("""COMPUTED_VALUE"""),9.5)</f>
        <v>9.5</v>
      </c>
      <c r="BQ7" s="63">
        <f>IFERROR(__xludf.DUMMYFUNCTION("""COMPUTED_VALUE"""),6.0)</f>
        <v>6</v>
      </c>
      <c r="BR7" s="63">
        <f>IFERROR(__xludf.DUMMYFUNCTION("""COMPUTED_VALUE"""),6.0)</f>
        <v>6</v>
      </c>
      <c r="BS7" s="63">
        <f>IFERROR(__xludf.DUMMYFUNCTION("""COMPUTED_VALUE"""),6.0)</f>
        <v>6</v>
      </c>
      <c r="BT7" s="63">
        <v>0.0</v>
      </c>
      <c r="BU7" s="63">
        <v>0.0</v>
      </c>
      <c r="BV7" s="67">
        <v>0.0</v>
      </c>
      <c r="BW7" s="65" t="b">
        <v>0</v>
      </c>
      <c r="BX7" s="55"/>
      <c r="BY7" s="65">
        <f>IFERROR(__xludf.DUMMYFUNCTION("""COMPUTED_VALUE"""),78.0)</f>
        <v>78</v>
      </c>
      <c r="BZ7" s="65">
        <f>IFERROR(__xludf.DUMMYFUNCTION("""COMPUTED_VALUE"""),3.0)</f>
        <v>3</v>
      </c>
      <c r="CA7" s="55"/>
      <c r="CB7" s="55"/>
      <c r="CC7" s="55"/>
      <c r="CD7" s="55"/>
      <c r="CE7" s="55"/>
      <c r="CF7" s="55"/>
      <c r="CG7" s="55"/>
      <c r="CH7" s="55"/>
    </row>
    <row r="8" ht="16.5" customHeight="1">
      <c r="A8" s="61">
        <f>IFERROR(__xludf.DUMMYFUNCTION("""COMPUTED_VALUE"""),25.0)</f>
        <v>25</v>
      </c>
      <c r="B8" s="61">
        <f>IFERROR(__xludf.DUMMYFUNCTION("""COMPUTED_VALUE"""),2.0)</f>
        <v>2</v>
      </c>
      <c r="C8" s="55"/>
      <c r="D8" s="61">
        <f>IFERROR(__xludf.DUMMYFUNCTION("""COMPUTED_VALUE"""),25.0)</f>
        <v>25</v>
      </c>
      <c r="E8" s="55"/>
      <c r="F8" s="61">
        <f>IFERROR(__xludf.DUMMYFUNCTION("""COMPUTED_VALUE"""),81.0)</f>
        <v>81</v>
      </c>
      <c r="G8" s="61" t="str">
        <f>IFERROR(__xludf.DUMMYFUNCTION("""COMPUTED_VALUE"""),"A")</f>
        <v>A</v>
      </c>
      <c r="H8" s="62">
        <f>IFERROR(__xludf.DUMMYFUNCTION("IFERROR(
  AVERAGE(FILTER(data!B$2:B1000, data!A$2:A1000=$F8, data!D$2:D1000=$G8, data!E$2:E1000=2))
  -
  AVERAGE(FILTER(data!B$2:B1000, data!A$2:A1000=$F8, data!D$2:D1000=$G8, data!E$2:E1000=1))
, """")
"),0.0)</f>
        <v>0</v>
      </c>
      <c r="I8" s="62">
        <f>IFERROR(__xludf.DUMMYFUNCTION("IFERROR(
  AVERAGE(FILTER(data!B$2:B1000, data!A$2:A1000=$F8, data!D$2:D1000=$G8, data!E$2:E1000=3))
  -
  AVERAGE(FILTER(data!B$2:B1000, data!A$2:A1000=$F8, data!D$2:D1000=$G8, data!E$2:E1000=2))
, """")
"),0.0)</f>
        <v>0</v>
      </c>
      <c r="J8" s="62">
        <f>IFERROR(__xludf.DUMMYFUNCTION("IFERROR(
  AVERAGE(FILTER(data!B$2:B1000, data!A$2:A1000=$F8, data!D$2:D1000=$G8, data!E$2:E1000=3))
  -
  AVERAGE(FILTER(data!B$2:B1000, data!A$2:A1000=$F8, data!D$2:D1000=$G8, data!E$2:E1000=1))
, """")
"),0.0)</f>
        <v>0</v>
      </c>
      <c r="K8" s="62">
        <f>IFERROR(__xludf.DUMMYFUNCTION("IFERROR(
  AVERAGE(FILTER(data!C$2:C1000, data!A$2:A1000=$F8, data!D$2:D1000=$G8, data!E$2:E1000=2))
  -
  AVERAGE(FILTER(data!C$2:C1000, data!A$2:A1000=$F8, data!D$2:D1000=$G8, data!E$2:E1000=1))
, """")
"),0.0)</f>
        <v>0</v>
      </c>
      <c r="L8" s="62">
        <f>IFERROR(__xludf.DUMMYFUNCTION("IFERROR(
  AVERAGE(FILTER(data!C$2:C1000, data!A$2:A1000=$F8, data!D$2:D1000=$G8, data!E$2:E1000=3))
  -
  AVERAGE(FILTER(data!C$2:C1000, data!A$2:A1000=$F8, data!D$2:D1000=$G8, data!E$2:E1000=2))
, """")
"),0.0)</f>
        <v>0</v>
      </c>
      <c r="M8" s="62">
        <f>IFERROR(__xludf.DUMMYFUNCTION("IFERROR(
  AVERAGE(FILTER(data!C$2:C1000, data!A$2:A1000=$F8, data!D$2:D1000=$G8, data!E$2:E1000=3))
  -
  AVERAGE(FILTER(data!C$2:C1000, data!A$2:A1000=$F8, data!D$2:D1000=$G8, data!E$2:E1000=1))
, """")
"),0.0)</f>
        <v>0</v>
      </c>
      <c r="N8" s="62">
        <f t="shared" ref="N8:P8" si="14">IF(H8="",,ABS(H8))
</f>
        <v>0</v>
      </c>
      <c r="O8" s="62">
        <f t="shared" si="14"/>
        <v>0</v>
      </c>
      <c r="P8" s="62">
        <f t="shared" si="14"/>
        <v>0</v>
      </c>
      <c r="Q8" s="62">
        <f t="shared" si="4"/>
        <v>0</v>
      </c>
      <c r="R8" s="62">
        <f t="shared" ref="R8:S8" si="15">IF(L8="",,ABS(L8))
</f>
        <v>0</v>
      </c>
      <c r="S8" s="62">
        <f t="shared" si="15"/>
        <v>0</v>
      </c>
      <c r="T8" s="55"/>
      <c r="U8" s="61">
        <f>IFERROR(__xludf.DUMMYFUNCTION("""COMPUTED_VALUE"""),33.0)</f>
        <v>33</v>
      </c>
      <c r="V8" s="61" t="str">
        <f>IFERROR(__xludf.DUMMYFUNCTION("""COMPUTED_VALUE"""),"E")</f>
        <v>E</v>
      </c>
      <c r="W8" s="62">
        <f>IFERROR(__xludf.DUMMYFUNCTION("""COMPUTED_VALUE"""),9.0)</f>
        <v>9</v>
      </c>
      <c r="X8" s="62">
        <f>IFERROR(__xludf.DUMMYFUNCTION("""COMPUTED_VALUE"""),9.0)</f>
        <v>9</v>
      </c>
      <c r="Y8" s="55"/>
      <c r="Z8" s="55"/>
      <c r="AA8" s="61">
        <f>IFERROR(__xludf.DUMMYFUNCTION("""COMPUTED_VALUE"""),41.0)</f>
        <v>41</v>
      </c>
      <c r="AB8" s="62">
        <f>IFERROR(__xludf.DUMMYFUNCTION("IF(AA8="""",,COUNTUNIQUE(FILTER(data!D$2:D1000, data!E$2:E1000=3, data!A$2:A1000=AA8)))
"),3.0)</f>
        <v>3</v>
      </c>
      <c r="AC8" s="62">
        <f>IFERROR(__xludf.DUMMYFUNCTION("IF(AA8="""",,ROUND(AVERAGE(FILTER(data!B$2:B1000, data!E$2:E1000=3, data!A$2:A1000=AA8)),2))
"),5.0)</f>
        <v>5</v>
      </c>
      <c r="AD8" s="62">
        <f>IFERROR(__xludf.DUMMYFUNCTION("IF(AA8="""",,ROUND(AVERAGE(FILTER(data!C$2:C1000, data!E$2:E1000=3, data!A$2:A1000=AA8)),2))
"),7.83)</f>
        <v>7.83</v>
      </c>
      <c r="AE8" s="62">
        <f>IFERROR(__xludf.DUMMYFUNCTION("IF(AA8="""",,
  MAX(FILTER(data!B$2:B1000, data!E$2:E1000=3, data!A$2:A1000=AA8))
 -MIN(FILTER(data!B$2:B1000, data!E$2:E1000=3, data!A$2:A1000=AA8))
)
"),7.0)</f>
        <v>7</v>
      </c>
      <c r="AF8" s="62">
        <f>IFERROR(__xludf.DUMMYFUNCTION("IF(AA8="""",,
  MAX(FILTER(data!C$2:C1000, data!E$2:E1000=3, data!A$2:A1000=AA8))
 -MIN(FILTER(data!C$2:C1000, data!E$2:E1000=3, data!A$2:A1000=AA8))
)
"),3.5)</f>
        <v>3.5</v>
      </c>
      <c r="AG8" s="61" t="str">
        <f t="shared" si="6"/>
        <v>Non-consensuelle</v>
      </c>
      <c r="AH8" s="55"/>
      <c r="AI8" s="64"/>
      <c r="AJ8" s="64"/>
      <c r="AK8" s="64"/>
      <c r="AL8" s="64"/>
      <c r="AM8" s="64"/>
      <c r="AN8" s="64"/>
      <c r="AO8" s="55"/>
      <c r="AP8" s="55"/>
      <c r="AQ8" s="64"/>
      <c r="AR8" s="64"/>
      <c r="AS8" s="64"/>
      <c r="AT8" s="64"/>
      <c r="AU8" s="64"/>
      <c r="AV8" s="55"/>
      <c r="AW8" s="55"/>
      <c r="AX8" s="64"/>
      <c r="AY8" s="64"/>
      <c r="AZ8" s="64"/>
      <c r="BA8" s="64"/>
      <c r="BB8" s="64"/>
      <c r="BC8" s="55"/>
      <c r="BD8" s="61">
        <f>IFERROR(__xludf.DUMMYFUNCTION("""COMPUTED_VALUE"""),25.0)</f>
        <v>25</v>
      </c>
      <c r="BE8" s="62">
        <f>IFERROR(__xludf.DUMMYFUNCTION("""COMPUTED_VALUE"""),2.0)</f>
        <v>2</v>
      </c>
      <c r="BF8" s="62">
        <f>IFERROR(__xludf.DUMMYFUNCTION("IF(BD8="""",,IFERROR(ROUND(AVERAGE(FILTER(data!B$2:B1000, (data!E$2:E1000&amp;"""")=""3"", (data!A$2:A1000&amp;"""")=(BD8&amp;""""))),2),""""))
"),2.25)</f>
        <v>2.25</v>
      </c>
      <c r="BG8" s="62">
        <f>IFERROR(__xludf.DUMMYFUNCTION("IF(BD8="""",,IFERROR(ROUND(AVERAGE(FILTER(data!C$2:C1000, (data!E$2:E1000&amp;"""")=""3"", (data!A$2:A1000&amp;"""")=(BD8&amp;""""))),2),""""))
"),7.75)</f>
        <v>7.75</v>
      </c>
      <c r="BH8" s="62">
        <f>IFERROR(__xludf.DUMMYFUNCTION("IF(BD8="""",,IFERROR(
  MAX(FILTER(data!B$2:B1000, (data!E$2:E1000&amp;"""")=""3"", (data!A$2:A1000&amp;"""")=(BD8&amp;"""")))
 -MIN(FILTER(data!B$2:B1000, (data!E$2:E1000&amp;"""")=""3"", (data!A$2:A1000&amp;"""")=(BD8&amp;"""")))
,""""))
"),2.5)</f>
        <v>2.5</v>
      </c>
      <c r="BI8" s="62">
        <f>IFERROR(__xludf.DUMMYFUNCTION("IF(BD8="""",,IFERROR(
  MAX(FILTER(data!C$2:C1000, (data!E$2:E1000&amp;"""")=""3"", (data!A$2:A1000&amp;"""")=(BD8&amp;"""")))
 -MIN(FILTER(data!C$2:C1000, (data!E$2:E1000&amp;"""")=""3"", (data!A$2:A1000&amp;"""")=(BD8&amp;"""")))
,""""))
"),4.5)</f>
        <v>4.5</v>
      </c>
      <c r="BJ8" s="62">
        <f t="shared" si="7"/>
        <v>5.14781507</v>
      </c>
      <c r="BK8" s="55"/>
      <c r="BL8" s="65">
        <f>IFERROR(__xludf.DUMMYFUNCTION("""COMPUTED_VALUE"""),6.0)</f>
        <v>6</v>
      </c>
      <c r="BM8" s="65" t="str">
        <f>IFERROR(__xludf.DUMMYFUNCTION("""COMPUTED_VALUE"""),"E")</f>
        <v>E</v>
      </c>
      <c r="BN8" s="63">
        <f>IFERROR(__xludf.DUMMYFUNCTION("""COMPUTED_VALUE"""),5.0)</f>
        <v>5</v>
      </c>
      <c r="BO8" s="63">
        <f>IFERROR(__xludf.DUMMYFUNCTION("""COMPUTED_VALUE"""),5.0)</f>
        <v>5</v>
      </c>
      <c r="BP8" s="63">
        <f>IFERROR(__xludf.DUMMYFUNCTION("""COMPUTED_VALUE"""),5.0)</f>
        <v>5</v>
      </c>
      <c r="BQ8" s="63">
        <f>IFERROR(__xludf.DUMMYFUNCTION("""COMPUTED_VALUE"""),8.5)</f>
        <v>8.5</v>
      </c>
      <c r="BR8" s="63">
        <f>IFERROR(__xludf.DUMMYFUNCTION("""COMPUTED_VALUE"""),8.0)</f>
        <v>8</v>
      </c>
      <c r="BS8" s="63">
        <f>IFERROR(__xludf.DUMMYFUNCTION("""COMPUTED_VALUE"""),8.0)</f>
        <v>8</v>
      </c>
      <c r="BT8" s="63">
        <v>0.5</v>
      </c>
      <c r="BU8" s="63">
        <v>0.0</v>
      </c>
      <c r="BV8" s="67">
        <v>0.5</v>
      </c>
      <c r="BW8" s="65" t="b">
        <v>0</v>
      </c>
      <c r="BX8" s="55"/>
      <c r="BY8" s="65">
        <f>IFERROR(__xludf.DUMMYFUNCTION("""COMPUTED_VALUE"""),81.0)</f>
        <v>81</v>
      </c>
      <c r="BZ8" s="65">
        <f>IFERROR(__xludf.DUMMYFUNCTION("""COMPUTED_VALUE"""),2.0)</f>
        <v>2</v>
      </c>
      <c r="CA8" s="55"/>
      <c r="CB8" s="55"/>
      <c r="CC8" s="55"/>
      <c r="CD8" s="55"/>
      <c r="CE8" s="55"/>
      <c r="CF8" s="55"/>
      <c r="CG8" s="55"/>
      <c r="CH8" s="55"/>
    </row>
    <row r="9" ht="16.5" customHeight="1">
      <c r="A9" s="61">
        <f>IFERROR(__xludf.DUMMYFUNCTION("""COMPUTED_VALUE"""),60.0)</f>
        <v>60</v>
      </c>
      <c r="B9" s="61">
        <f>IFERROR(__xludf.DUMMYFUNCTION("""COMPUTED_VALUE"""),2.0)</f>
        <v>2</v>
      </c>
      <c r="C9" s="55"/>
      <c r="D9" s="61">
        <f>IFERROR(__xludf.DUMMYFUNCTION("""COMPUTED_VALUE"""),60.0)</f>
        <v>60</v>
      </c>
      <c r="E9" s="55"/>
      <c r="F9" s="61">
        <f>IFERROR(__xludf.DUMMYFUNCTION("""COMPUTED_VALUE"""),84.0)</f>
        <v>84</v>
      </c>
      <c r="G9" s="61" t="str">
        <f>IFERROR(__xludf.DUMMYFUNCTION("""COMPUTED_VALUE"""),"A")</f>
        <v>A</v>
      </c>
      <c r="H9" s="62">
        <f>IFERROR(__xludf.DUMMYFUNCTION("IFERROR(
  AVERAGE(FILTER(data!B$2:B1000, data!A$2:A1000=$F9, data!D$2:D1000=$G9, data!E$2:E1000=2))
  -
  AVERAGE(FILTER(data!B$2:B1000, data!A$2:A1000=$F9, data!D$2:D1000=$G9, data!E$2:E1000=1))
, """")
"),0.0)</f>
        <v>0</v>
      </c>
      <c r="I9" s="62">
        <f>IFERROR(__xludf.DUMMYFUNCTION("IFERROR(
  AVERAGE(FILTER(data!B$2:B1000, data!A$2:A1000=$F9, data!D$2:D1000=$G9, data!E$2:E1000=3))
  -
  AVERAGE(FILTER(data!B$2:B1000, data!A$2:A1000=$F9, data!D$2:D1000=$G9, data!E$2:E1000=2))
, """")
"),0.0)</f>
        <v>0</v>
      </c>
      <c r="J9" s="62">
        <f>IFERROR(__xludf.DUMMYFUNCTION("IFERROR(
  AVERAGE(FILTER(data!B$2:B1000, data!A$2:A1000=$F9, data!D$2:D1000=$G9, data!E$2:E1000=3))
  -
  AVERAGE(FILTER(data!B$2:B1000, data!A$2:A1000=$F9, data!D$2:D1000=$G9, data!E$2:E1000=1))
, """")
"),0.0)</f>
        <v>0</v>
      </c>
      <c r="K9" s="62">
        <f>IFERROR(__xludf.DUMMYFUNCTION("IFERROR(
  AVERAGE(FILTER(data!C$2:C1000, data!A$2:A1000=$F9, data!D$2:D1000=$G9, data!E$2:E1000=2))
  -
  AVERAGE(FILTER(data!C$2:C1000, data!A$2:A1000=$F9, data!D$2:D1000=$G9, data!E$2:E1000=1))
, """")
"),0.0)</f>
        <v>0</v>
      </c>
      <c r="L9" s="62">
        <f>IFERROR(__xludf.DUMMYFUNCTION("IFERROR(
  AVERAGE(FILTER(data!C$2:C1000, data!A$2:A1000=$F9, data!D$2:D1000=$G9, data!E$2:E1000=3))
  -
  AVERAGE(FILTER(data!C$2:C1000, data!A$2:A1000=$F9, data!D$2:D1000=$G9, data!E$2:E1000=2))
, """")
"),0.0)</f>
        <v>0</v>
      </c>
      <c r="M9" s="62">
        <f>IFERROR(__xludf.DUMMYFUNCTION("IFERROR(
  AVERAGE(FILTER(data!C$2:C1000, data!A$2:A1000=$F9, data!D$2:D1000=$G9, data!E$2:E1000=3))
  -
  AVERAGE(FILTER(data!C$2:C1000, data!A$2:A1000=$F9, data!D$2:D1000=$G9, data!E$2:E1000=1))
, """")
"),0.0)</f>
        <v>0</v>
      </c>
      <c r="N9" s="62">
        <f t="shared" ref="N9:P9" si="16">IF(H9="",,ABS(H9))
</f>
        <v>0</v>
      </c>
      <c r="O9" s="62">
        <f t="shared" si="16"/>
        <v>0</v>
      </c>
      <c r="P9" s="62">
        <f t="shared" si="16"/>
        <v>0</v>
      </c>
      <c r="Q9" s="62">
        <f t="shared" si="4"/>
        <v>0</v>
      </c>
      <c r="R9" s="62">
        <f t="shared" ref="R9:S9" si="17">IF(L9="",,ABS(L9))
</f>
        <v>0</v>
      </c>
      <c r="S9" s="62">
        <f t="shared" si="17"/>
        <v>0</v>
      </c>
      <c r="T9" s="55"/>
      <c r="U9" s="61">
        <f>IFERROR(__xludf.DUMMYFUNCTION("""COMPUTED_VALUE"""),36.0)</f>
        <v>36</v>
      </c>
      <c r="V9" s="61" t="str">
        <f>IFERROR(__xludf.DUMMYFUNCTION("""COMPUTED_VALUE"""),"A")</f>
        <v>A</v>
      </c>
      <c r="W9" s="62">
        <f>IFERROR(__xludf.DUMMYFUNCTION("""COMPUTED_VALUE"""),5.5)</f>
        <v>5.5</v>
      </c>
      <c r="X9" s="62">
        <f>IFERROR(__xludf.DUMMYFUNCTION("""COMPUTED_VALUE"""),8.0)</f>
        <v>8</v>
      </c>
      <c r="Y9" s="55"/>
      <c r="Z9" s="55"/>
      <c r="AA9" s="61">
        <f>IFERROR(__xludf.DUMMYFUNCTION("""COMPUTED_VALUE"""),60.0)</f>
        <v>60</v>
      </c>
      <c r="AB9" s="62">
        <f>IFERROR(__xludf.DUMMYFUNCTION("IF(AA9="""",,COUNTUNIQUE(FILTER(data!D$2:D1000, data!E$2:E1000=3, data!A$2:A1000=AA9)))
"),2.0)</f>
        <v>2</v>
      </c>
      <c r="AC9" s="62">
        <f>IFERROR(__xludf.DUMMYFUNCTION("IF(AA9="""",,ROUND(AVERAGE(FILTER(data!B$2:B1000, data!E$2:E1000=3, data!A$2:A1000=AA9)),2))
"),6.5)</f>
        <v>6.5</v>
      </c>
      <c r="AD9" s="62">
        <f>IFERROR(__xludf.DUMMYFUNCTION("IF(AA9="""",,ROUND(AVERAGE(FILTER(data!C$2:C1000, data!E$2:E1000=3, data!A$2:A1000=AA9)),2))
"),8.0)</f>
        <v>8</v>
      </c>
      <c r="AE9" s="62">
        <f>IFERROR(__xludf.DUMMYFUNCTION("IF(AA9="""",,
  MAX(FILTER(data!B$2:B1000, data!E$2:E1000=3, data!A$2:A1000=AA9))
 -MIN(FILTER(data!B$2:B1000, data!E$2:E1000=3, data!A$2:A1000=AA9))
)
"),3.0)</f>
        <v>3</v>
      </c>
      <c r="AF9" s="62">
        <f>IFERROR(__xludf.DUMMYFUNCTION("IF(AA9="""",,
  MAX(FILTER(data!C$2:C1000, data!E$2:E1000=3, data!A$2:A1000=AA9))
 -MIN(FILTER(data!C$2:C1000, data!E$2:E1000=3, data!A$2:A1000=AA9))
)
"),2.0)</f>
        <v>2</v>
      </c>
      <c r="AG9" s="61" t="str">
        <f t="shared" si="6"/>
        <v>Intermédiaire</v>
      </c>
      <c r="AH9" s="55"/>
      <c r="AI9" s="64"/>
      <c r="AJ9" s="64"/>
      <c r="AK9" s="64"/>
      <c r="AL9" s="64"/>
      <c r="AM9" s="64"/>
      <c r="AN9" s="64"/>
      <c r="AO9" s="55"/>
      <c r="AP9" s="55"/>
      <c r="AQ9" s="64"/>
      <c r="AR9" s="64"/>
      <c r="AS9" s="64"/>
      <c r="AT9" s="64"/>
      <c r="AU9" s="64"/>
      <c r="AV9" s="55"/>
      <c r="AW9" s="55"/>
      <c r="AX9" s="64"/>
      <c r="AY9" s="64"/>
      <c r="AZ9" s="64"/>
      <c r="BA9" s="64"/>
      <c r="BB9" s="64"/>
      <c r="BC9" s="55"/>
      <c r="BD9" s="61">
        <f>IFERROR(__xludf.DUMMYFUNCTION("""COMPUTED_VALUE"""),60.0)</f>
        <v>60</v>
      </c>
      <c r="BE9" s="62">
        <f>IFERROR(__xludf.DUMMYFUNCTION("""COMPUTED_VALUE"""),2.0)</f>
        <v>2</v>
      </c>
      <c r="BF9" s="62">
        <f>IFERROR(__xludf.DUMMYFUNCTION("IF(BD9="""",,IFERROR(ROUND(AVERAGE(FILTER(data!B$2:B1000, (data!E$2:E1000&amp;"""")=""3"", (data!A$2:A1000&amp;"""")=(BD9&amp;""""))),2),""""))
"),6.5)</f>
        <v>6.5</v>
      </c>
      <c r="BG9" s="62">
        <f>IFERROR(__xludf.DUMMYFUNCTION("IF(BD9="""",,IFERROR(ROUND(AVERAGE(FILTER(data!C$2:C1000, (data!E$2:E1000&amp;"""")=""3"", (data!A$2:A1000&amp;"""")=(BD9&amp;""""))),2),""""))
"),8.0)</f>
        <v>8</v>
      </c>
      <c r="BH9" s="62">
        <f>IFERROR(__xludf.DUMMYFUNCTION("IF(BD9="""",,IFERROR(
  MAX(FILTER(data!B$2:B1000, (data!E$2:E1000&amp;"""")=""3"", (data!A$2:A1000&amp;"""")=(BD9&amp;"""")))
 -MIN(FILTER(data!B$2:B1000, (data!E$2:E1000&amp;"""")=""3"", (data!A$2:A1000&amp;"""")=(BD9&amp;"""")))
,""""))
"),3.0)</f>
        <v>3</v>
      </c>
      <c r="BI9" s="62">
        <f>IFERROR(__xludf.DUMMYFUNCTION("IF(BD9="""",,IFERROR(
  MAX(FILTER(data!C$2:C1000, (data!E$2:E1000&amp;"""")=""3"", (data!A$2:A1000&amp;"""")=(BD9&amp;"""")))
 -MIN(FILTER(data!C$2:C1000, (data!E$2:E1000&amp;"""")=""3"", (data!A$2:A1000&amp;"""")=(BD9&amp;"""")))
,""""))
"),2.0)</f>
        <v>2</v>
      </c>
      <c r="BJ9" s="62">
        <f t="shared" si="7"/>
        <v>3.605551275</v>
      </c>
      <c r="BK9" s="55"/>
      <c r="BL9" s="65">
        <f>IFERROR(__xludf.DUMMYFUNCTION("""COMPUTED_VALUE"""),9.0)</f>
        <v>9</v>
      </c>
      <c r="BM9" s="65" t="str">
        <f>IFERROR(__xludf.DUMMYFUNCTION("""COMPUTED_VALUE"""),"C")</f>
        <v>C</v>
      </c>
      <c r="BN9" s="63">
        <f>IFERROR(__xludf.DUMMYFUNCTION("""COMPUTED_VALUE"""),8.5)</f>
        <v>8.5</v>
      </c>
      <c r="BO9" s="63">
        <f>IFERROR(__xludf.DUMMYFUNCTION("""COMPUTED_VALUE"""),10.0)</f>
        <v>10</v>
      </c>
      <c r="BP9" s="64"/>
      <c r="BQ9" s="63">
        <f>IFERROR(__xludf.DUMMYFUNCTION("""COMPUTED_VALUE"""),4.0)</f>
        <v>4</v>
      </c>
      <c r="BR9" s="63">
        <f>IFERROR(__xludf.DUMMYFUNCTION("""COMPUTED_VALUE"""),6.0)</f>
        <v>6</v>
      </c>
      <c r="BS9" s="64"/>
      <c r="BT9" s="63">
        <v>3.5</v>
      </c>
      <c r="BU9" s="64"/>
      <c r="BV9" s="67">
        <v>3.5</v>
      </c>
      <c r="BW9" s="65" t="b">
        <v>1</v>
      </c>
      <c r="BX9" s="55"/>
      <c r="BY9" s="65">
        <f>IFERROR(__xludf.DUMMYFUNCTION("""COMPUTED_VALUE"""),33.0)</f>
        <v>33</v>
      </c>
      <c r="BZ9" s="65">
        <f>IFERROR(__xludf.DUMMYFUNCTION("""COMPUTED_VALUE"""),1.5)</f>
        <v>1.5</v>
      </c>
      <c r="CA9" s="55"/>
      <c r="CB9" s="55"/>
      <c r="CC9" s="55"/>
      <c r="CD9" s="55"/>
      <c r="CE9" s="55"/>
      <c r="CF9" s="55"/>
      <c r="CG9" s="55"/>
      <c r="CH9" s="55"/>
    </row>
    <row r="10" ht="16.5" customHeight="1">
      <c r="A10" s="61">
        <f>IFERROR(__xludf.DUMMYFUNCTION("""COMPUTED_VALUE"""),68.0)</f>
        <v>68</v>
      </c>
      <c r="B10" s="61">
        <f>IFERROR(__xludf.DUMMYFUNCTION("""COMPUTED_VALUE"""),2.0)</f>
        <v>2</v>
      </c>
      <c r="C10" s="55"/>
      <c r="D10" s="61">
        <f>IFERROR(__xludf.DUMMYFUNCTION("""COMPUTED_VALUE"""),68.0)</f>
        <v>68</v>
      </c>
      <c r="E10" s="55"/>
      <c r="F10" s="61">
        <f>IFERROR(__xludf.DUMMYFUNCTION("""COMPUTED_VALUE"""),12.0)</f>
        <v>12</v>
      </c>
      <c r="G10" s="61" t="str">
        <f>IFERROR(__xludf.DUMMYFUNCTION("""COMPUTED_VALUE"""),"B")</f>
        <v>B</v>
      </c>
      <c r="H10" s="62">
        <f>IFERROR(__xludf.DUMMYFUNCTION("IFERROR(
  AVERAGE(FILTER(data!B$2:B1000, data!A$2:A1000=$F10, data!D$2:D1000=$G10, data!E$2:E1000=2))
  -
  AVERAGE(FILTER(data!B$2:B1000, data!A$2:A1000=$F10, data!D$2:D1000=$G10, data!E$2:E1000=1))
, """")
"),0.0)</f>
        <v>0</v>
      </c>
      <c r="I10" s="62">
        <f>IFERROR(__xludf.DUMMYFUNCTION("IFERROR(
  AVERAGE(FILTER(data!B$2:B1000, data!A$2:A1000=$F10, data!D$2:D1000=$G10, data!E$2:E1000=3))
  -
  AVERAGE(FILTER(data!B$2:B1000, data!A$2:A1000=$F10, data!D$2:D1000=$G10, data!E$2:E1000=2))
, """")
"),4.0)</f>
        <v>4</v>
      </c>
      <c r="J10" s="62">
        <f>IFERROR(__xludf.DUMMYFUNCTION("IFERROR(
  AVERAGE(FILTER(data!B$2:B1000, data!A$2:A1000=$F10, data!D$2:D1000=$G10, data!E$2:E1000=3))
  -
  AVERAGE(FILTER(data!B$2:B1000, data!A$2:A1000=$F10, data!D$2:D1000=$G10, data!E$2:E1000=1))
, """")
"),4.0)</f>
        <v>4</v>
      </c>
      <c r="K10" s="62">
        <f>IFERROR(__xludf.DUMMYFUNCTION("IFERROR(
  AVERAGE(FILTER(data!C$2:C1000, data!A$2:A1000=$F10, data!D$2:D1000=$G10, data!E$2:E1000=2))
  -
  AVERAGE(FILTER(data!C$2:C1000, data!A$2:A1000=$F10, data!D$2:D1000=$G10, data!E$2:E1000=1))
, """")
"),0.0)</f>
        <v>0</v>
      </c>
      <c r="L10" s="62">
        <f>IFERROR(__xludf.DUMMYFUNCTION("IFERROR(
  AVERAGE(FILTER(data!C$2:C1000, data!A$2:A1000=$F10, data!D$2:D1000=$G10, data!E$2:E1000=3))
  -
  AVERAGE(FILTER(data!C$2:C1000, data!A$2:A1000=$F10, data!D$2:D1000=$G10, data!E$2:E1000=2))
, """")
"),3.0)</f>
        <v>3</v>
      </c>
      <c r="M10" s="62">
        <f>IFERROR(__xludf.DUMMYFUNCTION("IFERROR(
  AVERAGE(FILTER(data!C$2:C1000, data!A$2:A1000=$F10, data!D$2:D1000=$G10, data!E$2:E1000=3))
  -
  AVERAGE(FILTER(data!C$2:C1000, data!A$2:A1000=$F10, data!D$2:D1000=$G10, data!E$2:E1000=1))
, """")
"),3.0)</f>
        <v>3</v>
      </c>
      <c r="N10" s="62">
        <f t="shared" ref="N10:P10" si="18">IF(H10="",,ABS(H10))
</f>
        <v>0</v>
      </c>
      <c r="O10" s="62">
        <f t="shared" si="18"/>
        <v>4</v>
      </c>
      <c r="P10" s="62">
        <f t="shared" si="18"/>
        <v>4</v>
      </c>
      <c r="Q10" s="62">
        <f t="shared" si="4"/>
        <v>3</v>
      </c>
      <c r="R10" s="62">
        <f t="shared" ref="R10:S10" si="19">IF(L10="",,ABS(L10))
</f>
        <v>3</v>
      </c>
      <c r="S10" s="62">
        <f t="shared" si="19"/>
        <v>3</v>
      </c>
      <c r="T10" s="55"/>
      <c r="U10" s="61">
        <f>IFERROR(__xludf.DUMMYFUNCTION("""COMPUTED_VALUE"""),41.0)</f>
        <v>41</v>
      </c>
      <c r="V10" s="61" t="str">
        <f>IFERROR(__xludf.DUMMYFUNCTION("""COMPUTED_VALUE"""),"A")</f>
        <v>A</v>
      </c>
      <c r="W10" s="62">
        <f>IFERROR(__xludf.DUMMYFUNCTION("""COMPUTED_VALUE"""),8.0)</f>
        <v>8</v>
      </c>
      <c r="X10" s="62">
        <f>IFERROR(__xludf.DUMMYFUNCTION("""COMPUTED_VALUE"""),6.0)</f>
        <v>6</v>
      </c>
      <c r="Y10" s="55"/>
      <c r="Z10" s="55"/>
      <c r="AA10" s="61">
        <f>IFERROR(__xludf.DUMMYFUNCTION("""COMPUTED_VALUE"""),68.0)</f>
        <v>68</v>
      </c>
      <c r="AB10" s="62">
        <f>IFERROR(__xludf.DUMMYFUNCTION("IF(AA10="""",,COUNTUNIQUE(FILTER(data!D$2:D1000, data!E$2:E1000=3, data!A$2:A1000=AA10)))
"),2.0)</f>
        <v>2</v>
      </c>
      <c r="AC10" s="62">
        <f>IFERROR(__xludf.DUMMYFUNCTION("IF(AA10="""",,ROUND(AVERAGE(FILTER(data!B$2:B1000, data!E$2:E1000=3, data!A$2:A1000=AA10)),2))
"),3.5)</f>
        <v>3.5</v>
      </c>
      <c r="AD10" s="62">
        <f>IFERROR(__xludf.DUMMYFUNCTION("IF(AA10="""",,ROUND(AVERAGE(FILTER(data!C$2:C1000, data!E$2:E1000=3, data!A$2:A1000=AA10)),2))
"),8.25)</f>
        <v>8.25</v>
      </c>
      <c r="AE10" s="62">
        <f>IFERROR(__xludf.DUMMYFUNCTION("IF(AA10="""",,
  MAX(FILTER(data!B$2:B1000, data!E$2:E1000=3, data!A$2:A1000=AA10))
 -MIN(FILTER(data!B$2:B1000, data!E$2:E1000=3, data!A$2:A1000=AA10))
)
"),5.0)</f>
        <v>5</v>
      </c>
      <c r="AF10" s="62">
        <f>IFERROR(__xludf.DUMMYFUNCTION("IF(AA10="""",,
  MAX(FILTER(data!C$2:C1000, data!E$2:E1000=3, data!A$2:A1000=AA10))
 -MIN(FILTER(data!C$2:C1000, data!E$2:E1000=3, data!A$2:A1000=AA10))
)
"),2.5)</f>
        <v>2.5</v>
      </c>
      <c r="AG10" s="61" t="str">
        <f t="shared" si="6"/>
        <v>Non-consensuelle</v>
      </c>
      <c r="AH10" s="55"/>
      <c r="AI10" s="64"/>
      <c r="AJ10" s="64"/>
      <c r="AK10" s="64"/>
      <c r="AL10" s="64"/>
      <c r="AM10" s="64"/>
      <c r="AN10" s="64"/>
      <c r="AO10" s="55"/>
      <c r="AP10" s="55"/>
      <c r="AQ10" s="64"/>
      <c r="AR10" s="64"/>
      <c r="AS10" s="64"/>
      <c r="AT10" s="64"/>
      <c r="AU10" s="64"/>
      <c r="AV10" s="55"/>
      <c r="AW10" s="55"/>
      <c r="AX10" s="64"/>
      <c r="AY10" s="64"/>
      <c r="AZ10" s="64"/>
      <c r="BA10" s="64"/>
      <c r="BB10" s="64"/>
      <c r="BC10" s="55"/>
      <c r="BD10" s="61">
        <f>IFERROR(__xludf.DUMMYFUNCTION("""COMPUTED_VALUE"""),68.0)</f>
        <v>68</v>
      </c>
      <c r="BE10" s="62">
        <f>IFERROR(__xludf.DUMMYFUNCTION("""COMPUTED_VALUE"""),2.0)</f>
        <v>2</v>
      </c>
      <c r="BF10" s="62">
        <f>IFERROR(__xludf.DUMMYFUNCTION("IF(BD10="""",,IFERROR(ROUND(AVERAGE(FILTER(data!B$2:B1000, (data!E$2:E1000&amp;"""")=""3"", (data!A$2:A1000&amp;"""")=(BD10&amp;""""))),2),""""))
"),3.5)</f>
        <v>3.5</v>
      </c>
      <c r="BG10" s="62">
        <f>IFERROR(__xludf.DUMMYFUNCTION("IF(BD10="""",,IFERROR(ROUND(AVERAGE(FILTER(data!C$2:C1000, (data!E$2:E1000&amp;"""")=""3"", (data!A$2:A1000&amp;"""")=(BD10&amp;""""))),2),""""))
"),8.25)</f>
        <v>8.25</v>
      </c>
      <c r="BH10" s="62">
        <f>IFERROR(__xludf.DUMMYFUNCTION("IF(BD10="""",,IFERROR(
  MAX(FILTER(data!B$2:B1000, (data!E$2:E1000&amp;"""")=""3"", (data!A$2:A1000&amp;"""")=(BD10&amp;"""")))
 -MIN(FILTER(data!B$2:B1000, (data!E$2:E1000&amp;"""")=""3"", (data!A$2:A1000&amp;"""")=(BD10&amp;"""")))
,""""))
"),5.0)</f>
        <v>5</v>
      </c>
      <c r="BI10" s="62">
        <f>IFERROR(__xludf.DUMMYFUNCTION("IF(BD10="""",,IFERROR(
  MAX(FILTER(data!C$2:C1000, (data!E$2:E1000&amp;"""")=""3"", (data!A$2:A1000&amp;"""")=(BD10&amp;"""")))
 -MIN(FILTER(data!C$2:C1000, (data!E$2:E1000&amp;"""")=""3"", (data!A$2:A1000&amp;"""")=(BD10&amp;"""")))
,""""))
"),2.5)</f>
        <v>2.5</v>
      </c>
      <c r="BJ10" s="62">
        <f t="shared" si="7"/>
        <v>5.590169944</v>
      </c>
      <c r="BK10" s="55"/>
      <c r="BL10" s="65">
        <f>IFERROR(__xludf.DUMMYFUNCTION("""COMPUTED_VALUE"""),9.0)</f>
        <v>9</v>
      </c>
      <c r="BM10" s="65" t="str">
        <f>IFERROR(__xludf.DUMMYFUNCTION("""COMPUTED_VALUE"""),"E")</f>
        <v>E</v>
      </c>
      <c r="BN10" s="63">
        <f>IFERROR(__xludf.DUMMYFUNCTION("""COMPUTED_VALUE"""),4.5)</f>
        <v>4.5</v>
      </c>
      <c r="BO10" s="63">
        <f>IFERROR(__xludf.DUMMYFUNCTION("""COMPUTED_VALUE"""),5.0)</f>
        <v>5</v>
      </c>
      <c r="BP10" s="63">
        <f>IFERROR(__xludf.DUMMYFUNCTION("""COMPUTED_VALUE"""),5.0)</f>
        <v>5</v>
      </c>
      <c r="BQ10" s="63">
        <f>IFERROR(__xludf.DUMMYFUNCTION("""COMPUTED_VALUE"""),5.0)</f>
        <v>5</v>
      </c>
      <c r="BR10" s="63">
        <f>IFERROR(__xludf.DUMMYFUNCTION("""COMPUTED_VALUE"""),6.0)</f>
        <v>6</v>
      </c>
      <c r="BS10" s="63">
        <f>IFERROR(__xludf.DUMMYFUNCTION("""COMPUTED_VALUE"""),6.0)</f>
        <v>6</v>
      </c>
      <c r="BT10" s="63">
        <v>1.5</v>
      </c>
      <c r="BU10" s="63">
        <v>0.0</v>
      </c>
      <c r="BV10" s="67">
        <v>1.5</v>
      </c>
      <c r="BW10" s="65" t="b">
        <v>0</v>
      </c>
      <c r="BX10" s="55"/>
      <c r="BY10" s="65">
        <f>IFERROR(__xludf.DUMMYFUNCTION("""COMPUTED_VALUE"""),60.0)</f>
        <v>60</v>
      </c>
      <c r="BZ10" s="65">
        <f>IFERROR(__xludf.DUMMYFUNCTION("""COMPUTED_VALUE"""),1.5)</f>
        <v>1.5</v>
      </c>
      <c r="CA10" s="55"/>
      <c r="CB10" s="55"/>
      <c r="CC10" s="55"/>
      <c r="CD10" s="55"/>
      <c r="CE10" s="55"/>
      <c r="CF10" s="55"/>
      <c r="CG10" s="55"/>
      <c r="CH10" s="55"/>
    </row>
    <row r="11" ht="16.5" customHeight="1">
      <c r="A11" s="61">
        <f>IFERROR(__xludf.DUMMYFUNCTION("""COMPUTED_VALUE"""),79.0)</f>
        <v>79</v>
      </c>
      <c r="B11" s="61">
        <f>IFERROR(__xludf.DUMMYFUNCTION("""COMPUTED_VALUE"""),2.0)</f>
        <v>2</v>
      </c>
      <c r="C11" s="55"/>
      <c r="D11" s="61">
        <f>IFERROR(__xludf.DUMMYFUNCTION("""COMPUTED_VALUE"""),79.0)</f>
        <v>79</v>
      </c>
      <c r="E11" s="55"/>
      <c r="F11" s="61">
        <f>IFERROR(__xludf.DUMMYFUNCTION("""COMPUTED_VALUE"""),36.0)</f>
        <v>36</v>
      </c>
      <c r="G11" s="61" t="str">
        <f>IFERROR(__xludf.DUMMYFUNCTION("""COMPUTED_VALUE"""),"B")</f>
        <v>B</v>
      </c>
      <c r="H11" s="62">
        <f>IFERROR(__xludf.DUMMYFUNCTION("IFERROR(
  AVERAGE(FILTER(data!B$2:B1000, data!A$2:A1000=$F11, data!D$2:D1000=$G11, data!E$2:E1000=2))
  -
  AVERAGE(FILTER(data!B$2:B1000, data!A$2:A1000=$F11, data!D$2:D1000=$G11, data!E$2:E1000=1))
, """")
"),0.0)</f>
        <v>0</v>
      </c>
      <c r="I11" s="62">
        <f>IFERROR(__xludf.DUMMYFUNCTION("IFERROR(
  AVERAGE(FILTER(data!B$2:B1000, data!A$2:A1000=$F11, data!D$2:D1000=$G11, data!E$2:E1000=3))
  -
  AVERAGE(FILTER(data!B$2:B1000, data!A$2:A1000=$F11, data!D$2:D1000=$G11, data!E$2:E1000=2))
, """")
"),-0.5)</f>
        <v>-0.5</v>
      </c>
      <c r="J11" s="62">
        <f>IFERROR(__xludf.DUMMYFUNCTION("IFERROR(
  AVERAGE(FILTER(data!B$2:B1000, data!A$2:A1000=$F11, data!D$2:D1000=$G11, data!E$2:E1000=3))
  -
  AVERAGE(FILTER(data!B$2:B1000, data!A$2:A1000=$F11, data!D$2:D1000=$G11, data!E$2:E1000=1))
, """")
"),-0.5)</f>
        <v>-0.5</v>
      </c>
      <c r="K11" s="62">
        <f>IFERROR(__xludf.DUMMYFUNCTION("IFERROR(
  AVERAGE(FILTER(data!C$2:C1000, data!A$2:A1000=$F11, data!D$2:D1000=$G11, data!E$2:E1000=2))
  -
  AVERAGE(FILTER(data!C$2:C1000, data!A$2:A1000=$F11, data!D$2:D1000=$G11, data!E$2:E1000=1))
, """")
"),0.0)</f>
        <v>0</v>
      </c>
      <c r="L11" s="62">
        <f>IFERROR(__xludf.DUMMYFUNCTION("IFERROR(
  AVERAGE(FILTER(data!C$2:C1000, data!A$2:A1000=$F11, data!D$2:D1000=$G11, data!E$2:E1000=3))
  -
  AVERAGE(FILTER(data!C$2:C1000, data!A$2:A1000=$F11, data!D$2:D1000=$G11, data!E$2:E1000=2))
, """")
"),0.0)</f>
        <v>0</v>
      </c>
      <c r="M11" s="62">
        <f>IFERROR(__xludf.DUMMYFUNCTION("IFERROR(
  AVERAGE(FILTER(data!C$2:C1000, data!A$2:A1000=$F11, data!D$2:D1000=$G11, data!E$2:E1000=3))
  -
  AVERAGE(FILTER(data!C$2:C1000, data!A$2:A1000=$F11, data!D$2:D1000=$G11, data!E$2:E1000=1))
, """")
"),0.0)</f>
        <v>0</v>
      </c>
      <c r="N11" s="62">
        <f t="shared" ref="N11:P11" si="20">IF(H11="",,ABS(H11))
</f>
        <v>0</v>
      </c>
      <c r="O11" s="62">
        <f t="shared" si="20"/>
        <v>0.5</v>
      </c>
      <c r="P11" s="62">
        <f t="shared" si="20"/>
        <v>0.5</v>
      </c>
      <c r="Q11" s="62">
        <f t="shared" si="4"/>
        <v>0</v>
      </c>
      <c r="R11" s="62">
        <f t="shared" ref="R11:S11" si="21">IF(L11="",,ABS(L11))
</f>
        <v>0</v>
      </c>
      <c r="S11" s="62">
        <f t="shared" si="21"/>
        <v>0</v>
      </c>
      <c r="T11" s="55"/>
      <c r="U11" s="61">
        <f>IFERROR(__xludf.DUMMYFUNCTION("""COMPUTED_VALUE"""),41.0)</f>
        <v>41</v>
      </c>
      <c r="V11" s="61" t="str">
        <f>IFERROR(__xludf.DUMMYFUNCTION("""COMPUTED_VALUE"""),"B")</f>
        <v>B</v>
      </c>
      <c r="W11" s="62">
        <f>IFERROR(__xludf.DUMMYFUNCTION("""COMPUTED_VALUE"""),6.0)</f>
        <v>6</v>
      </c>
      <c r="X11" s="62">
        <f>IFERROR(__xludf.DUMMYFUNCTION("""COMPUTED_VALUE"""),9.5)</f>
        <v>9.5</v>
      </c>
      <c r="Y11" s="55"/>
      <c r="Z11" s="55"/>
      <c r="AA11" s="61">
        <f>IFERROR(__xludf.DUMMYFUNCTION("""COMPUTED_VALUE"""),79.0)</f>
        <v>79</v>
      </c>
      <c r="AB11" s="62">
        <f>IFERROR(__xludf.DUMMYFUNCTION("IF(AA11="""",,COUNTUNIQUE(FILTER(data!D$2:D1000, data!E$2:E1000=3, data!A$2:A1000=AA11)))
"),2.0)</f>
        <v>2</v>
      </c>
      <c r="AC11" s="62">
        <f>IFERROR(__xludf.DUMMYFUNCTION("IF(AA11="""",,ROUND(AVERAGE(FILTER(data!B$2:B1000, data!E$2:E1000=3, data!A$2:A1000=AA11)),2))
"),4.5)</f>
        <v>4.5</v>
      </c>
      <c r="AD11" s="62">
        <f>IFERROR(__xludf.DUMMYFUNCTION("IF(AA11="""",,ROUND(AVERAGE(FILTER(data!C$2:C1000, data!E$2:E1000=3, data!A$2:A1000=AA11)),2))
"),3.75)</f>
        <v>3.75</v>
      </c>
      <c r="AE11" s="62">
        <f>IFERROR(__xludf.DUMMYFUNCTION("IF(AA11="""",,
  MAX(FILTER(data!B$2:B1000, data!E$2:E1000=3, data!A$2:A1000=AA11))
 -MIN(FILTER(data!B$2:B1000, data!E$2:E1000=3, data!A$2:A1000=AA11))
)
"),2.0)</f>
        <v>2</v>
      </c>
      <c r="AF11" s="62">
        <f>IFERROR(__xludf.DUMMYFUNCTION("IF(AA11="""",,
  MAX(FILTER(data!C$2:C1000, data!E$2:E1000=3, data!A$2:A1000=AA11))
 -MIN(FILTER(data!C$2:C1000, data!E$2:E1000=3, data!A$2:A1000=AA11))
)
"),3.5)</f>
        <v>3.5</v>
      </c>
      <c r="AG11" s="61" t="str">
        <f t="shared" si="6"/>
        <v>Intermédiaire</v>
      </c>
      <c r="AH11" s="55"/>
      <c r="AI11" s="64"/>
      <c r="AJ11" s="64"/>
      <c r="AK11" s="64"/>
      <c r="AL11" s="64"/>
      <c r="AM11" s="64"/>
      <c r="AN11" s="64"/>
      <c r="AO11" s="55"/>
      <c r="AP11" s="55"/>
      <c r="AQ11" s="64"/>
      <c r="AR11" s="64"/>
      <c r="AS11" s="64"/>
      <c r="AT11" s="64"/>
      <c r="AU11" s="64"/>
      <c r="AV11" s="55"/>
      <c r="AW11" s="55"/>
      <c r="AX11" s="64"/>
      <c r="AY11" s="64"/>
      <c r="AZ11" s="64"/>
      <c r="BA11" s="64"/>
      <c r="BB11" s="64"/>
      <c r="BC11" s="55"/>
      <c r="BD11" s="61">
        <f>IFERROR(__xludf.DUMMYFUNCTION("""COMPUTED_VALUE"""),79.0)</f>
        <v>79</v>
      </c>
      <c r="BE11" s="62">
        <f>IFERROR(__xludf.DUMMYFUNCTION("""COMPUTED_VALUE"""),2.0)</f>
        <v>2</v>
      </c>
      <c r="BF11" s="62">
        <f>IFERROR(__xludf.DUMMYFUNCTION("IF(BD11="""",,IFERROR(ROUND(AVERAGE(FILTER(data!B$2:B1000, (data!E$2:E1000&amp;"""")=""3"", (data!A$2:A1000&amp;"""")=(BD11&amp;""""))),2),""""))
"),4.5)</f>
        <v>4.5</v>
      </c>
      <c r="BG11" s="62">
        <f>IFERROR(__xludf.DUMMYFUNCTION("IF(BD11="""",,IFERROR(ROUND(AVERAGE(FILTER(data!C$2:C1000, (data!E$2:E1000&amp;"""")=""3"", (data!A$2:A1000&amp;"""")=(BD11&amp;""""))),2),""""))
"),3.75)</f>
        <v>3.75</v>
      </c>
      <c r="BH11" s="62">
        <f>IFERROR(__xludf.DUMMYFUNCTION("IF(BD11="""",,IFERROR(
  MAX(FILTER(data!B$2:B1000, (data!E$2:E1000&amp;"""")=""3"", (data!A$2:A1000&amp;"""")=(BD11&amp;"""")))
 -MIN(FILTER(data!B$2:B1000, (data!E$2:E1000&amp;"""")=""3"", (data!A$2:A1000&amp;"""")=(BD11&amp;"""")))
,""""))
"),2.0)</f>
        <v>2</v>
      </c>
      <c r="BI11" s="62">
        <f>IFERROR(__xludf.DUMMYFUNCTION("IF(BD11="""",,IFERROR(
  MAX(FILTER(data!C$2:C1000, (data!E$2:E1000&amp;"""")=""3"", (data!A$2:A1000&amp;"""")=(BD11&amp;"""")))
 -MIN(FILTER(data!C$2:C1000, (data!E$2:E1000&amp;"""")=""3"", (data!A$2:A1000&amp;"""")=(BD11&amp;"""")))
,""""))
"),3.5)</f>
        <v>3.5</v>
      </c>
      <c r="BJ11" s="62">
        <f t="shared" si="7"/>
        <v>4.031128874</v>
      </c>
      <c r="BK11" s="55"/>
      <c r="BL11" s="65">
        <f>IFERROR(__xludf.DUMMYFUNCTION("""COMPUTED_VALUE"""),10.0)</f>
        <v>10</v>
      </c>
      <c r="BM11" s="65" t="str">
        <f>IFERROR(__xludf.DUMMYFUNCTION("""COMPUTED_VALUE"""),"B")</f>
        <v>B</v>
      </c>
      <c r="BN11" s="63">
        <f>IFERROR(__xludf.DUMMYFUNCTION("""COMPUTED_VALUE"""),6.0)</f>
        <v>6</v>
      </c>
      <c r="BO11" s="63">
        <f>IFERROR(__xludf.DUMMYFUNCTION("""COMPUTED_VALUE"""),6.0)</f>
        <v>6</v>
      </c>
      <c r="BP11" s="63">
        <f>IFERROR(__xludf.DUMMYFUNCTION("""COMPUTED_VALUE"""),6.0)</f>
        <v>6</v>
      </c>
      <c r="BQ11" s="63">
        <f>IFERROR(__xludf.DUMMYFUNCTION("""COMPUTED_VALUE"""),8.0)</f>
        <v>8</v>
      </c>
      <c r="BR11" s="63">
        <f>IFERROR(__xludf.DUMMYFUNCTION("""COMPUTED_VALUE"""),8.0)</f>
        <v>8</v>
      </c>
      <c r="BS11" s="63">
        <f>IFERROR(__xludf.DUMMYFUNCTION("""COMPUTED_VALUE"""),8.0)</f>
        <v>8</v>
      </c>
      <c r="BT11" s="63">
        <v>0.0</v>
      </c>
      <c r="BU11" s="63">
        <v>0.0</v>
      </c>
      <c r="BV11" s="67">
        <v>0.0</v>
      </c>
      <c r="BW11" s="65" t="b">
        <v>0</v>
      </c>
      <c r="BX11" s="55"/>
      <c r="BY11" s="65">
        <f>IFERROR(__xludf.DUMMYFUNCTION("""COMPUTED_VALUE"""),83.0)</f>
        <v>83</v>
      </c>
      <c r="BZ11" s="65">
        <f>IFERROR(__xludf.DUMMYFUNCTION("""COMPUTED_VALUE"""),1.5)</f>
        <v>1.5</v>
      </c>
      <c r="CA11" s="55"/>
      <c r="CB11" s="55"/>
      <c r="CC11" s="55"/>
      <c r="CD11" s="55"/>
      <c r="CE11" s="55"/>
      <c r="CF11" s="55"/>
      <c r="CG11" s="55"/>
      <c r="CH11" s="55"/>
    </row>
    <row r="12" ht="16.5" customHeight="1">
      <c r="A12" s="61">
        <f>IFERROR(__xludf.DUMMYFUNCTION("""COMPUTED_VALUE"""),81.0)</f>
        <v>81</v>
      </c>
      <c r="B12" s="61">
        <f>IFERROR(__xludf.DUMMYFUNCTION("""COMPUTED_VALUE"""),2.0)</f>
        <v>2</v>
      </c>
      <c r="C12" s="55"/>
      <c r="D12" s="61">
        <f>IFERROR(__xludf.DUMMYFUNCTION("""COMPUTED_VALUE"""),81.0)</f>
        <v>81</v>
      </c>
      <c r="E12" s="55"/>
      <c r="F12" s="61">
        <f>IFERROR(__xludf.DUMMYFUNCTION("""COMPUTED_VALUE"""),41.0)</f>
        <v>41</v>
      </c>
      <c r="G12" s="61" t="str">
        <f>IFERROR(__xludf.DUMMYFUNCTION("""COMPUTED_VALUE"""),"B")</f>
        <v>B</v>
      </c>
      <c r="H12" s="62">
        <f>IFERROR(__xludf.DUMMYFUNCTION("IFERROR(
  AVERAGE(FILTER(data!B$2:B1000, data!A$2:A1000=$F12, data!D$2:D1000=$G12, data!E$2:E1000=2))
  -
  AVERAGE(FILTER(data!B$2:B1000, data!A$2:A1000=$F12, data!D$2:D1000=$G12, data!E$2:E1000=1))
, """")
"),0.0)</f>
        <v>0</v>
      </c>
      <c r="I12" s="62">
        <f>IFERROR(__xludf.DUMMYFUNCTION("IFERROR(
  AVERAGE(FILTER(data!B$2:B1000, data!A$2:A1000=$F12, data!D$2:D1000=$G12, data!E$2:E1000=3))
  -
  AVERAGE(FILTER(data!B$2:B1000, data!A$2:A1000=$F12, data!D$2:D1000=$G12, data!E$2:E1000=2))
, """")
"),0.0)</f>
        <v>0</v>
      </c>
      <c r="J12" s="62">
        <f>IFERROR(__xludf.DUMMYFUNCTION("IFERROR(
  AVERAGE(FILTER(data!B$2:B1000, data!A$2:A1000=$F12, data!D$2:D1000=$G12, data!E$2:E1000=3))
  -
  AVERAGE(FILTER(data!B$2:B1000, data!A$2:A1000=$F12, data!D$2:D1000=$G12, data!E$2:E1000=1))
, """")
"),0.0)</f>
        <v>0</v>
      </c>
      <c r="K12" s="62">
        <f>IFERROR(__xludf.DUMMYFUNCTION("IFERROR(
  AVERAGE(FILTER(data!C$2:C1000, data!A$2:A1000=$F12, data!D$2:D1000=$G12, data!E$2:E1000=2))
  -
  AVERAGE(FILTER(data!C$2:C1000, data!A$2:A1000=$F12, data!D$2:D1000=$G12, data!E$2:E1000=1))
, """")
"),0.0)</f>
        <v>0</v>
      </c>
      <c r="L12" s="62">
        <f>IFERROR(__xludf.DUMMYFUNCTION("IFERROR(
  AVERAGE(FILTER(data!C$2:C1000, data!A$2:A1000=$F12, data!D$2:D1000=$G12, data!E$2:E1000=3))
  -
  AVERAGE(FILTER(data!C$2:C1000, data!A$2:A1000=$F12, data!D$2:D1000=$G12, data!E$2:E1000=2))
, """")
"),-0.5)</f>
        <v>-0.5</v>
      </c>
      <c r="M12" s="62">
        <f>IFERROR(__xludf.DUMMYFUNCTION("IFERROR(
  AVERAGE(FILTER(data!C$2:C1000, data!A$2:A1000=$F12, data!D$2:D1000=$G12, data!E$2:E1000=3))
  -
  AVERAGE(FILTER(data!C$2:C1000, data!A$2:A1000=$F12, data!D$2:D1000=$G12, data!E$2:E1000=1))
, """")
"),-0.5)</f>
        <v>-0.5</v>
      </c>
      <c r="N12" s="62">
        <f t="shared" ref="N12:P12" si="22">IF(H12="",,ABS(H12))
</f>
        <v>0</v>
      </c>
      <c r="O12" s="62">
        <f t="shared" si="22"/>
        <v>0</v>
      </c>
      <c r="P12" s="62">
        <f t="shared" si="22"/>
        <v>0</v>
      </c>
      <c r="Q12" s="62">
        <f t="shared" si="4"/>
        <v>0.5</v>
      </c>
      <c r="R12" s="62">
        <f t="shared" ref="R12:S12" si="23">IF(L12="",,ABS(L12))
</f>
        <v>0.5</v>
      </c>
      <c r="S12" s="62">
        <f t="shared" si="23"/>
        <v>0.5</v>
      </c>
      <c r="T12" s="55"/>
      <c r="U12" s="61">
        <f>IFERROR(__xludf.DUMMYFUNCTION("""COMPUTED_VALUE"""),45.0)</f>
        <v>45</v>
      </c>
      <c r="V12" s="61" t="str">
        <f>IFERROR(__xludf.DUMMYFUNCTION("""COMPUTED_VALUE"""),"A")</f>
        <v>A</v>
      </c>
      <c r="W12" s="62">
        <f>IFERROR(__xludf.DUMMYFUNCTION("""COMPUTED_VALUE"""),9.5)</f>
        <v>9.5</v>
      </c>
      <c r="X12" s="62">
        <f>IFERROR(__xludf.DUMMYFUNCTION("""COMPUTED_VALUE"""),6.5)</f>
        <v>6.5</v>
      </c>
      <c r="Y12" s="55"/>
      <c r="Z12" s="55"/>
      <c r="AA12" s="61">
        <f>IFERROR(__xludf.DUMMYFUNCTION("""COMPUTED_VALUE"""),81.0)</f>
        <v>81</v>
      </c>
      <c r="AB12" s="62">
        <f>IFERROR(__xludf.DUMMYFUNCTION("IF(AA12="""",,COUNTUNIQUE(FILTER(data!D$2:D1000, data!E$2:E1000=3, data!A$2:A1000=AA12)))
"),2.0)</f>
        <v>2</v>
      </c>
      <c r="AC12" s="62">
        <f>IFERROR(__xludf.DUMMYFUNCTION("IF(AA12="""",,ROUND(AVERAGE(FILTER(data!B$2:B1000, data!E$2:E1000=3, data!A$2:A1000=AA12)),2))
"),3.25)</f>
        <v>3.25</v>
      </c>
      <c r="AD12" s="62">
        <f>IFERROR(__xludf.DUMMYFUNCTION("IF(AA12="""",,ROUND(AVERAGE(FILTER(data!C$2:C1000, data!E$2:E1000=3, data!A$2:A1000=AA12)),2))
"),9.0)</f>
        <v>9</v>
      </c>
      <c r="AE12" s="62">
        <f>IFERROR(__xludf.DUMMYFUNCTION("IF(AA12="""",,
  MAX(FILTER(data!B$2:B1000, data!E$2:E1000=3, data!A$2:A1000=AA12))
 -MIN(FILTER(data!B$2:B1000, data!E$2:E1000=3, data!A$2:A1000=AA12))
)
"),4.5)</f>
        <v>4.5</v>
      </c>
      <c r="AF12" s="62">
        <f>IFERROR(__xludf.DUMMYFUNCTION("IF(AA12="""",,
  MAX(FILTER(data!C$2:C1000, data!E$2:E1000=3, data!A$2:A1000=AA12))
 -MIN(FILTER(data!C$2:C1000, data!E$2:E1000=3, data!A$2:A1000=AA12))
)
"),2.0)</f>
        <v>2</v>
      </c>
      <c r="AG12" s="61" t="str">
        <f t="shared" si="6"/>
        <v>Intermédiaire</v>
      </c>
      <c r="AH12" s="55"/>
      <c r="AI12" s="64"/>
      <c r="AJ12" s="64"/>
      <c r="AK12" s="64"/>
      <c r="AL12" s="64"/>
      <c r="AM12" s="64"/>
      <c r="AN12" s="64"/>
      <c r="AO12" s="55"/>
      <c r="AP12" s="55"/>
      <c r="AQ12" s="64"/>
      <c r="AR12" s="64"/>
      <c r="AS12" s="64"/>
      <c r="AT12" s="64"/>
      <c r="AU12" s="64"/>
      <c r="AV12" s="55"/>
      <c r="AW12" s="55"/>
      <c r="AX12" s="64"/>
      <c r="AY12" s="64"/>
      <c r="AZ12" s="64"/>
      <c r="BA12" s="64"/>
      <c r="BB12" s="64"/>
      <c r="BC12" s="55"/>
      <c r="BD12" s="61">
        <f>IFERROR(__xludf.DUMMYFUNCTION("""COMPUTED_VALUE"""),81.0)</f>
        <v>81</v>
      </c>
      <c r="BE12" s="62">
        <f>IFERROR(__xludf.DUMMYFUNCTION("""COMPUTED_VALUE"""),2.0)</f>
        <v>2</v>
      </c>
      <c r="BF12" s="62">
        <f>IFERROR(__xludf.DUMMYFUNCTION("IF(BD12="""",,IFERROR(ROUND(AVERAGE(FILTER(data!B$2:B1000, (data!E$2:E1000&amp;"""")=""3"", (data!A$2:A1000&amp;"""")=(BD12&amp;""""))),2),""""))
"),3.25)</f>
        <v>3.25</v>
      </c>
      <c r="BG12" s="62">
        <f>IFERROR(__xludf.DUMMYFUNCTION("IF(BD12="""",,IFERROR(ROUND(AVERAGE(FILTER(data!C$2:C1000, (data!E$2:E1000&amp;"""")=""3"", (data!A$2:A1000&amp;"""")=(BD12&amp;""""))),2),""""))
"),9.0)</f>
        <v>9</v>
      </c>
      <c r="BH12" s="62">
        <f>IFERROR(__xludf.DUMMYFUNCTION("IF(BD12="""",,IFERROR(
  MAX(FILTER(data!B$2:B1000, (data!E$2:E1000&amp;"""")=""3"", (data!A$2:A1000&amp;"""")=(BD12&amp;"""")))
 -MIN(FILTER(data!B$2:B1000, (data!E$2:E1000&amp;"""")=""3"", (data!A$2:A1000&amp;"""")=(BD12&amp;"""")))
,""""))
"),4.5)</f>
        <v>4.5</v>
      </c>
      <c r="BI12" s="62">
        <f>IFERROR(__xludf.DUMMYFUNCTION("IF(BD12="""",,IFERROR(
  MAX(FILTER(data!C$2:C1000, (data!E$2:E1000&amp;"""")=""3"", (data!A$2:A1000&amp;"""")=(BD12&amp;"""")))
 -MIN(FILTER(data!C$2:C1000, (data!E$2:E1000&amp;"""")=""3"", (data!A$2:A1000&amp;"""")=(BD12&amp;"""")))
,""""))
"),2.0)</f>
        <v>2</v>
      </c>
      <c r="BJ12" s="62">
        <f t="shared" si="7"/>
        <v>4.924428901</v>
      </c>
      <c r="BK12" s="55"/>
      <c r="BL12" s="65">
        <f>IFERROR(__xludf.DUMMYFUNCTION("""COMPUTED_VALUE"""),12.0)</f>
        <v>12</v>
      </c>
      <c r="BM12" s="65" t="str">
        <f>IFERROR(__xludf.DUMMYFUNCTION("""COMPUTED_VALUE"""),"B")</f>
        <v>B</v>
      </c>
      <c r="BN12" s="63">
        <f>IFERROR(__xludf.DUMMYFUNCTION("""COMPUTED_VALUE"""),1.0)</f>
        <v>1</v>
      </c>
      <c r="BO12" s="63">
        <f>IFERROR(__xludf.DUMMYFUNCTION("""COMPUTED_VALUE"""),1.0)</f>
        <v>1</v>
      </c>
      <c r="BP12" s="63">
        <f>IFERROR(__xludf.DUMMYFUNCTION("""COMPUTED_VALUE"""),5.0)</f>
        <v>5</v>
      </c>
      <c r="BQ12" s="63">
        <f>IFERROR(__xludf.DUMMYFUNCTION("""COMPUTED_VALUE"""),1.0)</f>
        <v>1</v>
      </c>
      <c r="BR12" s="63">
        <f>IFERROR(__xludf.DUMMYFUNCTION("""COMPUTED_VALUE"""),1.0)</f>
        <v>1</v>
      </c>
      <c r="BS12" s="63">
        <f>IFERROR(__xludf.DUMMYFUNCTION("""COMPUTED_VALUE"""),4.0)</f>
        <v>4</v>
      </c>
      <c r="BT12" s="63">
        <v>0.0</v>
      </c>
      <c r="BU12" s="63">
        <v>7.0</v>
      </c>
      <c r="BV12" s="67">
        <v>7.0</v>
      </c>
      <c r="BW12" s="65" t="b">
        <v>1</v>
      </c>
      <c r="BX12" s="55"/>
      <c r="BY12" s="65">
        <f>IFERROR(__xludf.DUMMYFUNCTION("""COMPUTED_VALUE"""),25.0)</f>
        <v>25</v>
      </c>
      <c r="BZ12" s="65">
        <f>IFERROR(__xludf.DUMMYFUNCTION("""COMPUTED_VALUE"""),1.0)</f>
        <v>1</v>
      </c>
      <c r="CA12" s="55"/>
      <c r="CB12" s="55"/>
      <c r="CC12" s="55"/>
      <c r="CD12" s="55"/>
      <c r="CE12" s="55"/>
      <c r="CF12" s="55"/>
      <c r="CG12" s="55"/>
      <c r="CH12" s="55"/>
    </row>
    <row r="13" ht="16.5" customHeight="1">
      <c r="A13" s="61">
        <f>IFERROR(__xludf.DUMMYFUNCTION("""COMPUTED_VALUE"""),84.0)</f>
        <v>84</v>
      </c>
      <c r="B13" s="61">
        <f>IFERROR(__xludf.DUMMYFUNCTION("""COMPUTED_VALUE"""),2.0)</f>
        <v>2</v>
      </c>
      <c r="C13" s="55"/>
      <c r="D13" s="61">
        <f>IFERROR(__xludf.DUMMYFUNCTION("""COMPUTED_VALUE"""),84.0)</f>
        <v>84</v>
      </c>
      <c r="E13" s="55"/>
      <c r="F13" s="61">
        <f>IFERROR(__xludf.DUMMYFUNCTION("""COMPUTED_VALUE"""),60.0)</f>
        <v>60</v>
      </c>
      <c r="G13" s="61" t="str">
        <f>IFERROR(__xludf.DUMMYFUNCTION("""COMPUTED_VALUE"""),"B")</f>
        <v>B</v>
      </c>
      <c r="H13" s="62">
        <f>IFERROR(__xludf.DUMMYFUNCTION("IFERROR(
  AVERAGE(FILTER(data!B$2:B1000, data!A$2:A1000=$F13, data!D$2:D1000=$G13, data!E$2:E1000=2))
  -
  AVERAGE(FILTER(data!B$2:B1000, data!A$2:A1000=$F13, data!D$2:D1000=$G13, data!E$2:E1000=1))
, """")
"),0.0)</f>
        <v>0</v>
      </c>
      <c r="I13" s="62">
        <f>IFERROR(__xludf.DUMMYFUNCTION("IFERROR(
  AVERAGE(FILTER(data!B$2:B1000, data!A$2:A1000=$F13, data!D$2:D1000=$G13, data!E$2:E1000=3))
  -
  AVERAGE(FILTER(data!B$2:B1000, data!A$2:A1000=$F13, data!D$2:D1000=$G13, data!E$2:E1000=2))
, """")
"),0.5)</f>
        <v>0.5</v>
      </c>
      <c r="J13" s="62">
        <f>IFERROR(__xludf.DUMMYFUNCTION("IFERROR(
  AVERAGE(FILTER(data!B$2:B1000, data!A$2:A1000=$F13, data!D$2:D1000=$G13, data!E$2:E1000=3))
  -
  AVERAGE(FILTER(data!B$2:B1000, data!A$2:A1000=$F13, data!D$2:D1000=$G13, data!E$2:E1000=1))
, """")
"),0.5)</f>
        <v>0.5</v>
      </c>
      <c r="K13" s="62">
        <f>IFERROR(__xludf.DUMMYFUNCTION("IFERROR(
  AVERAGE(FILTER(data!C$2:C1000, data!A$2:A1000=$F13, data!D$2:D1000=$G13, data!E$2:E1000=2))
  -
  AVERAGE(FILTER(data!C$2:C1000, data!A$2:A1000=$F13, data!D$2:D1000=$G13, data!E$2:E1000=1))
, """")
"),0.0)</f>
        <v>0</v>
      </c>
      <c r="L13" s="62">
        <f>IFERROR(__xludf.DUMMYFUNCTION("IFERROR(
  AVERAGE(FILTER(data!C$2:C1000, data!A$2:A1000=$F13, data!D$2:D1000=$G13, data!E$2:E1000=3))
  -
  AVERAGE(FILTER(data!C$2:C1000, data!A$2:A1000=$F13, data!D$2:D1000=$G13, data!E$2:E1000=2))
, """")
"),-1.0)</f>
        <v>-1</v>
      </c>
      <c r="M13" s="62">
        <f>IFERROR(__xludf.DUMMYFUNCTION("IFERROR(
  AVERAGE(FILTER(data!C$2:C1000, data!A$2:A1000=$F13, data!D$2:D1000=$G13, data!E$2:E1000=3))
  -
  AVERAGE(FILTER(data!C$2:C1000, data!A$2:A1000=$F13, data!D$2:D1000=$G13, data!E$2:E1000=1))
, """")
"),-1.0)</f>
        <v>-1</v>
      </c>
      <c r="N13" s="62">
        <f t="shared" ref="N13:P13" si="24">IF(H13="",,ABS(H13))
</f>
        <v>0</v>
      </c>
      <c r="O13" s="62">
        <f t="shared" si="24"/>
        <v>0.5</v>
      </c>
      <c r="P13" s="62">
        <f t="shared" si="24"/>
        <v>0.5</v>
      </c>
      <c r="Q13" s="62">
        <f t="shared" si="4"/>
        <v>1</v>
      </c>
      <c r="R13" s="62">
        <f t="shared" ref="R13:S13" si="25">IF(L13="",,ABS(L13))
</f>
        <v>1</v>
      </c>
      <c r="S13" s="62">
        <f t="shared" si="25"/>
        <v>1</v>
      </c>
      <c r="T13" s="55"/>
      <c r="U13" s="61">
        <f>IFERROR(__xludf.DUMMYFUNCTION("""COMPUTED_VALUE"""),49.0)</f>
        <v>49</v>
      </c>
      <c r="V13" s="61" t="str">
        <f>IFERROR(__xludf.DUMMYFUNCTION("""COMPUTED_VALUE"""),"A")</f>
        <v>A</v>
      </c>
      <c r="W13" s="62">
        <f>IFERROR(__xludf.DUMMYFUNCTION("""COMPUTED_VALUE"""),9.5)</f>
        <v>9.5</v>
      </c>
      <c r="X13" s="62">
        <f>IFERROR(__xludf.DUMMYFUNCTION("""COMPUTED_VALUE"""),9.0)</f>
        <v>9</v>
      </c>
      <c r="Y13" s="55"/>
      <c r="Z13" s="55"/>
      <c r="AA13" s="61">
        <f>IFERROR(__xludf.DUMMYFUNCTION("""COMPUTED_VALUE"""),84.0)</f>
        <v>84</v>
      </c>
      <c r="AB13" s="62">
        <f>IFERROR(__xludf.DUMMYFUNCTION("IF(AA13="""",,COUNTUNIQUE(FILTER(data!D$2:D1000, data!E$2:E1000=3, data!A$2:A1000=AA13)))
"),2.0)</f>
        <v>2</v>
      </c>
      <c r="AC13" s="62">
        <f>IFERROR(__xludf.DUMMYFUNCTION("IF(AA13="""",,ROUND(AVERAGE(FILTER(data!B$2:B1000, data!E$2:E1000=3, data!A$2:A1000=AA13)),2))
"),7.75)</f>
        <v>7.75</v>
      </c>
      <c r="AD13" s="62">
        <f>IFERROR(__xludf.DUMMYFUNCTION("IF(AA13="""",,ROUND(AVERAGE(FILTER(data!C$2:C1000, data!E$2:E1000=3, data!A$2:A1000=AA13)),2))
"),7.5)</f>
        <v>7.5</v>
      </c>
      <c r="AE13" s="62">
        <f>IFERROR(__xludf.DUMMYFUNCTION("IF(AA13="""",,
  MAX(FILTER(data!B$2:B1000, data!E$2:E1000=3, data!A$2:A1000=AA13))
 -MIN(FILTER(data!B$2:B1000, data!E$2:E1000=3, data!A$2:A1000=AA13))
)
"),2.5)</f>
        <v>2.5</v>
      </c>
      <c r="AF13" s="62">
        <f>IFERROR(__xludf.DUMMYFUNCTION("IF(AA13="""",,
  MAX(FILTER(data!C$2:C1000, data!E$2:E1000=3, data!A$2:A1000=AA13))
 -MIN(FILTER(data!C$2:C1000, data!E$2:E1000=3, data!A$2:A1000=AA13))
)
"),5.0)</f>
        <v>5</v>
      </c>
      <c r="AG13" s="61" t="str">
        <f t="shared" si="6"/>
        <v>Non-consensuelle</v>
      </c>
      <c r="AH13" s="55"/>
      <c r="AI13" s="64"/>
      <c r="AJ13" s="64"/>
      <c r="AK13" s="64"/>
      <c r="AL13" s="64"/>
      <c r="AM13" s="64"/>
      <c r="AN13" s="64"/>
      <c r="AO13" s="55"/>
      <c r="AP13" s="55"/>
      <c r="AQ13" s="64"/>
      <c r="AR13" s="64"/>
      <c r="AS13" s="64"/>
      <c r="AT13" s="64"/>
      <c r="AU13" s="64"/>
      <c r="AV13" s="55"/>
      <c r="AW13" s="55"/>
      <c r="AX13" s="64"/>
      <c r="AY13" s="64"/>
      <c r="AZ13" s="64"/>
      <c r="BA13" s="64"/>
      <c r="BB13" s="64"/>
      <c r="BC13" s="55"/>
      <c r="BD13" s="61">
        <f>IFERROR(__xludf.DUMMYFUNCTION("""COMPUTED_VALUE"""),84.0)</f>
        <v>84</v>
      </c>
      <c r="BE13" s="62">
        <f>IFERROR(__xludf.DUMMYFUNCTION("""COMPUTED_VALUE"""),2.0)</f>
        <v>2</v>
      </c>
      <c r="BF13" s="62">
        <f>IFERROR(__xludf.DUMMYFUNCTION("IF(BD13="""",,IFERROR(ROUND(AVERAGE(FILTER(data!B$2:B1000, (data!E$2:E1000&amp;"""")=""3"", (data!A$2:A1000&amp;"""")=(BD13&amp;""""))),2),""""))
"),7.75)</f>
        <v>7.75</v>
      </c>
      <c r="BG13" s="62">
        <f>IFERROR(__xludf.DUMMYFUNCTION("IF(BD13="""",,IFERROR(ROUND(AVERAGE(FILTER(data!C$2:C1000, (data!E$2:E1000&amp;"""")=""3"", (data!A$2:A1000&amp;"""")=(BD13&amp;""""))),2),""""))
"),7.5)</f>
        <v>7.5</v>
      </c>
      <c r="BH13" s="62">
        <f>IFERROR(__xludf.DUMMYFUNCTION("IF(BD13="""",,IFERROR(
  MAX(FILTER(data!B$2:B1000, (data!E$2:E1000&amp;"""")=""3"", (data!A$2:A1000&amp;"""")=(BD13&amp;"""")))
 -MIN(FILTER(data!B$2:B1000, (data!E$2:E1000&amp;"""")=""3"", (data!A$2:A1000&amp;"""")=(BD13&amp;"""")))
,""""))
"),2.5)</f>
        <v>2.5</v>
      </c>
      <c r="BI13" s="62">
        <f>IFERROR(__xludf.DUMMYFUNCTION("IF(BD13="""",,IFERROR(
  MAX(FILTER(data!C$2:C1000, (data!E$2:E1000&amp;"""")=""3"", (data!A$2:A1000&amp;"""")=(BD13&amp;"""")))
 -MIN(FILTER(data!C$2:C1000, (data!E$2:E1000&amp;"""")=""3"", (data!A$2:A1000&amp;"""")=(BD13&amp;"""")))
,""""))
"),5.0)</f>
        <v>5</v>
      </c>
      <c r="BJ13" s="62">
        <f t="shared" si="7"/>
        <v>5.590169944</v>
      </c>
      <c r="BK13" s="55"/>
      <c r="BL13" s="65">
        <f>IFERROR(__xludf.DUMMYFUNCTION("""COMPUTED_VALUE"""),12.0)</f>
        <v>12</v>
      </c>
      <c r="BM13" s="65" t="str">
        <f>IFERROR(__xludf.DUMMYFUNCTION("""COMPUTED_VALUE"""),"E")</f>
        <v>E</v>
      </c>
      <c r="BN13" s="63">
        <f>IFERROR(__xludf.DUMMYFUNCTION("""COMPUTED_VALUE"""),1.5)</f>
        <v>1.5</v>
      </c>
      <c r="BO13" s="63">
        <f>IFERROR(__xludf.DUMMYFUNCTION("""COMPUTED_VALUE"""),2.0)</f>
        <v>2</v>
      </c>
      <c r="BP13" s="63">
        <f>IFERROR(__xludf.DUMMYFUNCTION("""COMPUTED_VALUE"""),2.0)</f>
        <v>2</v>
      </c>
      <c r="BQ13" s="63">
        <f>IFERROR(__xludf.DUMMYFUNCTION("""COMPUTED_VALUE"""),8.0)</f>
        <v>8</v>
      </c>
      <c r="BR13" s="63">
        <f>IFERROR(__xludf.DUMMYFUNCTION("""COMPUTED_VALUE"""),8.0)</f>
        <v>8</v>
      </c>
      <c r="BS13" s="63">
        <f>IFERROR(__xludf.DUMMYFUNCTION("""COMPUTED_VALUE"""),8.0)</f>
        <v>8</v>
      </c>
      <c r="BT13" s="63">
        <v>0.5</v>
      </c>
      <c r="BU13" s="63">
        <v>0.0</v>
      </c>
      <c r="BV13" s="67">
        <v>0.5</v>
      </c>
      <c r="BW13" s="65" t="b">
        <v>0</v>
      </c>
      <c r="BX13" s="55"/>
      <c r="BY13" s="65">
        <f>IFERROR(__xludf.DUMMYFUNCTION("""COMPUTED_VALUE"""),36.0)</f>
        <v>36</v>
      </c>
      <c r="BZ13" s="65">
        <f>IFERROR(__xludf.DUMMYFUNCTION("""COMPUTED_VALUE"""),1.0)</f>
        <v>1</v>
      </c>
      <c r="CA13" s="55"/>
      <c r="CB13" s="55"/>
      <c r="CC13" s="55"/>
      <c r="CD13" s="55"/>
      <c r="CE13" s="55"/>
      <c r="CF13" s="55"/>
      <c r="CG13" s="55"/>
      <c r="CH13" s="55"/>
    </row>
    <row r="14" ht="16.5" customHeight="1">
      <c r="A14" s="61">
        <f>IFERROR(__xludf.DUMMYFUNCTION("""COMPUTED_VALUE"""),87.0)</f>
        <v>87</v>
      </c>
      <c r="B14" s="61">
        <f>IFERROR(__xludf.DUMMYFUNCTION("""COMPUTED_VALUE"""),2.0)</f>
        <v>2</v>
      </c>
      <c r="C14" s="55"/>
      <c r="D14" s="61">
        <f>IFERROR(__xludf.DUMMYFUNCTION("""COMPUTED_VALUE"""),87.0)</f>
        <v>87</v>
      </c>
      <c r="E14" s="55"/>
      <c r="F14" s="61">
        <f>IFERROR(__xludf.DUMMYFUNCTION("""COMPUTED_VALUE"""),68.0)</f>
        <v>68</v>
      </c>
      <c r="G14" s="61" t="str">
        <f>IFERROR(__xludf.DUMMYFUNCTION("""COMPUTED_VALUE"""),"B")</f>
        <v>B</v>
      </c>
      <c r="H14" s="62">
        <f>IFERROR(__xludf.DUMMYFUNCTION("IFERROR(
  AVERAGE(FILTER(data!B$2:B1000, data!A$2:A1000=$F14, data!D$2:D1000=$G14, data!E$2:E1000=2))
  -
  AVERAGE(FILTER(data!B$2:B1000, data!A$2:A1000=$F14, data!D$2:D1000=$G14, data!E$2:E1000=1))
, """")
"),-0.5)</f>
        <v>-0.5</v>
      </c>
      <c r="I14" s="62">
        <f>IFERROR(__xludf.DUMMYFUNCTION("IFERROR(
  AVERAGE(FILTER(data!B$2:B1000, data!A$2:A1000=$F14, data!D$2:D1000=$G14, data!E$2:E1000=3))
  -
  AVERAGE(FILTER(data!B$2:B1000, data!A$2:A1000=$F14, data!D$2:D1000=$G14, data!E$2:E1000=2))
, """")
"),-0.5)</f>
        <v>-0.5</v>
      </c>
      <c r="J14" s="62">
        <f>IFERROR(__xludf.DUMMYFUNCTION("IFERROR(
  AVERAGE(FILTER(data!B$2:B1000, data!A$2:A1000=$F14, data!D$2:D1000=$G14, data!E$2:E1000=3))
  -
  AVERAGE(FILTER(data!B$2:B1000, data!A$2:A1000=$F14, data!D$2:D1000=$G14, data!E$2:E1000=1))
, """")
"),-1.0)</f>
        <v>-1</v>
      </c>
      <c r="K14" s="62">
        <f>IFERROR(__xludf.DUMMYFUNCTION("IFERROR(
  AVERAGE(FILTER(data!C$2:C1000, data!A$2:A1000=$F14, data!D$2:D1000=$G14, data!E$2:E1000=2))
  -
  AVERAGE(FILTER(data!C$2:C1000, data!A$2:A1000=$F14, data!D$2:D1000=$G14, data!E$2:E1000=1))
, """")
"),0.0)</f>
        <v>0</v>
      </c>
      <c r="L14" s="62">
        <f>IFERROR(__xludf.DUMMYFUNCTION("IFERROR(
  AVERAGE(FILTER(data!C$2:C1000, data!A$2:A1000=$F14, data!D$2:D1000=$G14, data!E$2:E1000=3))
  -
  AVERAGE(FILTER(data!C$2:C1000, data!A$2:A1000=$F14, data!D$2:D1000=$G14, data!E$2:E1000=2))
, """")
"),0.0)</f>
        <v>0</v>
      </c>
      <c r="M14" s="62">
        <f>IFERROR(__xludf.DUMMYFUNCTION("IFERROR(
  AVERAGE(FILTER(data!C$2:C1000, data!A$2:A1000=$F14, data!D$2:D1000=$G14, data!E$2:E1000=3))
  -
  AVERAGE(FILTER(data!C$2:C1000, data!A$2:A1000=$F14, data!D$2:D1000=$G14, data!E$2:E1000=1))
, """")
"),0.0)</f>
        <v>0</v>
      </c>
      <c r="N14" s="62">
        <f t="shared" ref="N14:P14" si="26">IF(H14="",,ABS(H14))
</f>
        <v>0.5</v>
      </c>
      <c r="O14" s="62">
        <f t="shared" si="26"/>
        <v>0.5</v>
      </c>
      <c r="P14" s="62">
        <f t="shared" si="26"/>
        <v>1</v>
      </c>
      <c r="Q14" s="62">
        <f t="shared" si="4"/>
        <v>0</v>
      </c>
      <c r="R14" s="62">
        <f t="shared" ref="R14:S14" si="27">IF(L14="",,ABS(L14))
</f>
        <v>0</v>
      </c>
      <c r="S14" s="62">
        <f t="shared" si="27"/>
        <v>0</v>
      </c>
      <c r="T14" s="55"/>
      <c r="U14" s="61">
        <f>IFERROR(__xludf.DUMMYFUNCTION("""COMPUTED_VALUE"""),60.0)</f>
        <v>60</v>
      </c>
      <c r="V14" s="61" t="str">
        <f>IFERROR(__xludf.DUMMYFUNCTION("""COMPUTED_VALUE"""),"B")</f>
        <v>B</v>
      </c>
      <c r="W14" s="62">
        <f>IFERROR(__xludf.DUMMYFUNCTION("""COMPUTED_VALUE"""),8.0)</f>
        <v>8</v>
      </c>
      <c r="X14" s="62">
        <f>IFERROR(__xludf.DUMMYFUNCTION("""COMPUTED_VALUE"""),9.0)</f>
        <v>9</v>
      </c>
      <c r="Y14" s="55"/>
      <c r="Z14" s="55"/>
      <c r="AA14" s="61">
        <f>IFERROR(__xludf.DUMMYFUNCTION("""COMPUTED_VALUE"""),87.0)</f>
        <v>87</v>
      </c>
      <c r="AB14" s="62">
        <f>IFERROR(__xludf.DUMMYFUNCTION("IF(AA14="""",,COUNTUNIQUE(FILTER(data!D$2:D1000, data!E$2:E1000=3, data!A$2:A1000=AA14)))
"),2.0)</f>
        <v>2</v>
      </c>
      <c r="AC14" s="62">
        <f>IFERROR(__xludf.DUMMYFUNCTION("IF(AA14="""",,ROUND(AVERAGE(FILTER(data!B$2:B1000, data!E$2:E1000=3, data!A$2:A1000=AA14)),2))
"),3.25)</f>
        <v>3.25</v>
      </c>
      <c r="AD14" s="62">
        <f>IFERROR(__xludf.DUMMYFUNCTION("IF(AA14="""",,ROUND(AVERAGE(FILTER(data!C$2:C1000, data!E$2:E1000=3, data!A$2:A1000=AA14)),2))
"),8.0)</f>
        <v>8</v>
      </c>
      <c r="AE14" s="62">
        <f>IFERROR(__xludf.DUMMYFUNCTION("IF(AA14="""",,
  MAX(FILTER(data!B$2:B1000, data!E$2:E1000=3, data!A$2:A1000=AA14))
 -MIN(FILTER(data!B$2:B1000, data!E$2:E1000=3, data!A$2:A1000=AA14))
)
"),0.5)</f>
        <v>0.5</v>
      </c>
      <c r="AF14" s="62">
        <f>IFERROR(__xludf.DUMMYFUNCTION("IF(AA14="""",,
  MAX(FILTER(data!C$2:C1000, data!E$2:E1000=3, data!A$2:A1000=AA14))
 -MIN(FILTER(data!C$2:C1000, data!E$2:E1000=3, data!A$2:A1000=AA14))
)
"),0.0)</f>
        <v>0</v>
      </c>
      <c r="AG14" s="61" t="str">
        <f t="shared" si="6"/>
        <v>Consensuelle</v>
      </c>
      <c r="AH14" s="55"/>
      <c r="AI14" s="64"/>
      <c r="AJ14" s="64"/>
      <c r="AK14" s="64"/>
      <c r="AL14" s="64"/>
      <c r="AM14" s="64"/>
      <c r="AN14" s="64"/>
      <c r="AO14" s="55"/>
      <c r="AP14" s="55"/>
      <c r="AQ14" s="64"/>
      <c r="AR14" s="64"/>
      <c r="AS14" s="64"/>
      <c r="AT14" s="64"/>
      <c r="AU14" s="64"/>
      <c r="AV14" s="55"/>
      <c r="AW14" s="55"/>
      <c r="AX14" s="64"/>
      <c r="AY14" s="64"/>
      <c r="AZ14" s="64"/>
      <c r="BA14" s="64"/>
      <c r="BB14" s="64"/>
      <c r="BC14" s="55"/>
      <c r="BD14" s="61">
        <f>IFERROR(__xludf.DUMMYFUNCTION("""COMPUTED_VALUE"""),87.0)</f>
        <v>87</v>
      </c>
      <c r="BE14" s="62">
        <f>IFERROR(__xludf.DUMMYFUNCTION("""COMPUTED_VALUE"""),2.0)</f>
        <v>2</v>
      </c>
      <c r="BF14" s="62">
        <f>IFERROR(__xludf.DUMMYFUNCTION("IF(BD14="""",,IFERROR(ROUND(AVERAGE(FILTER(data!B$2:B1000, (data!E$2:E1000&amp;"""")=""3"", (data!A$2:A1000&amp;"""")=(BD14&amp;""""))),2),""""))
"),3.25)</f>
        <v>3.25</v>
      </c>
      <c r="BG14" s="62">
        <f>IFERROR(__xludf.DUMMYFUNCTION("IF(BD14="""",,IFERROR(ROUND(AVERAGE(FILTER(data!C$2:C1000, (data!E$2:E1000&amp;"""")=""3"", (data!A$2:A1000&amp;"""")=(BD14&amp;""""))),2),""""))
"),8.0)</f>
        <v>8</v>
      </c>
      <c r="BH14" s="62">
        <f>IFERROR(__xludf.DUMMYFUNCTION("IF(BD14="""",,IFERROR(
  MAX(FILTER(data!B$2:B1000, (data!E$2:E1000&amp;"""")=""3"", (data!A$2:A1000&amp;"""")=(BD14&amp;"""")))
 -MIN(FILTER(data!B$2:B1000, (data!E$2:E1000&amp;"""")=""3"", (data!A$2:A1000&amp;"""")=(BD14&amp;"""")))
,""""))
"),0.5)</f>
        <v>0.5</v>
      </c>
      <c r="BI14" s="62">
        <f>IFERROR(__xludf.DUMMYFUNCTION("IF(BD14="""",,IFERROR(
  MAX(FILTER(data!C$2:C1000, (data!E$2:E1000&amp;"""")=""3"", (data!A$2:A1000&amp;"""")=(BD14&amp;"""")))
 -MIN(FILTER(data!C$2:C1000, (data!E$2:E1000&amp;"""")=""3"", (data!A$2:A1000&amp;"""")=(BD14&amp;"""")))
,""""))
"),0.0)</f>
        <v>0</v>
      </c>
      <c r="BJ14" s="62">
        <f t="shared" si="7"/>
        <v>0.5</v>
      </c>
      <c r="BK14" s="55"/>
      <c r="BL14" s="65">
        <f>IFERROR(__xludf.DUMMYFUNCTION("""COMPUTED_VALUE"""),13.0)</f>
        <v>13</v>
      </c>
      <c r="BM14" s="65" t="str">
        <f>IFERROR(__xludf.DUMMYFUNCTION("""COMPUTED_VALUE"""),"A")</f>
        <v>A</v>
      </c>
      <c r="BN14" s="63">
        <f>IFERROR(__xludf.DUMMYFUNCTION("""COMPUTED_VALUE"""),4.0)</f>
        <v>4</v>
      </c>
      <c r="BO14" s="63">
        <f>IFERROR(__xludf.DUMMYFUNCTION("""COMPUTED_VALUE"""),4.0)</f>
        <v>4</v>
      </c>
      <c r="BP14" s="63">
        <f>IFERROR(__xludf.DUMMYFUNCTION("""COMPUTED_VALUE"""),4.0)</f>
        <v>4</v>
      </c>
      <c r="BQ14" s="63">
        <f>IFERROR(__xludf.DUMMYFUNCTION("""COMPUTED_VALUE"""),10.0)</f>
        <v>10</v>
      </c>
      <c r="BR14" s="63">
        <f>IFERROR(__xludf.DUMMYFUNCTION("""COMPUTED_VALUE"""),10.0)</f>
        <v>10</v>
      </c>
      <c r="BS14" s="63">
        <f>IFERROR(__xludf.DUMMYFUNCTION("""COMPUTED_VALUE"""),10.0)</f>
        <v>10</v>
      </c>
      <c r="BT14" s="63">
        <v>0.0</v>
      </c>
      <c r="BU14" s="63">
        <v>0.0</v>
      </c>
      <c r="BV14" s="67">
        <v>0.0</v>
      </c>
      <c r="BW14" s="65" t="b">
        <v>0</v>
      </c>
      <c r="BX14" s="55"/>
      <c r="BY14" s="65">
        <f>IFERROR(__xludf.DUMMYFUNCTION("""COMPUTED_VALUE"""),39.0)</f>
        <v>39</v>
      </c>
      <c r="BZ14" s="65">
        <f>IFERROR(__xludf.DUMMYFUNCTION("""COMPUTED_VALUE"""),1.0)</f>
        <v>1</v>
      </c>
      <c r="CA14" s="55"/>
      <c r="CB14" s="55"/>
      <c r="CC14" s="55"/>
      <c r="CD14" s="55"/>
      <c r="CE14" s="55"/>
      <c r="CF14" s="55"/>
      <c r="CG14" s="55"/>
      <c r="CH14" s="55"/>
    </row>
    <row r="15" ht="16.5" customHeight="1">
      <c r="A15" s="61">
        <f>IFERROR(__xludf.DUMMYFUNCTION("""COMPUTED_VALUE"""),2.0)</f>
        <v>2</v>
      </c>
      <c r="B15" s="61">
        <f>IFERROR(__xludf.DUMMYFUNCTION("""COMPUTED_VALUE"""),1.0)</f>
        <v>1</v>
      </c>
      <c r="C15" s="55"/>
      <c r="D15" s="55"/>
      <c r="E15" s="55"/>
      <c r="F15" s="61">
        <f>IFERROR(__xludf.DUMMYFUNCTION("""COMPUTED_VALUE"""),79.0)</f>
        <v>79</v>
      </c>
      <c r="G15" s="61" t="str">
        <f>IFERROR(__xludf.DUMMYFUNCTION("""COMPUTED_VALUE"""),"B")</f>
        <v>B</v>
      </c>
      <c r="H15" s="62">
        <f>IFERROR(__xludf.DUMMYFUNCTION("IFERROR(
  AVERAGE(FILTER(data!B$2:B1000, data!A$2:A1000=$F15, data!D$2:D1000=$G15, data!E$2:E1000=2))
  -
  AVERAGE(FILTER(data!B$2:B1000, data!A$2:A1000=$F15, data!D$2:D1000=$G15, data!E$2:E1000=1))
, """")
"),0.0)</f>
        <v>0</v>
      </c>
      <c r="I15" s="62">
        <f>IFERROR(__xludf.DUMMYFUNCTION("IFERROR(
  AVERAGE(FILTER(data!B$2:B1000, data!A$2:A1000=$F15, data!D$2:D1000=$G15, data!E$2:E1000=3))
  -
  AVERAGE(FILTER(data!B$2:B1000, data!A$2:A1000=$F15, data!D$2:D1000=$G15, data!E$2:E1000=2))
, """")
"),4.5)</f>
        <v>4.5</v>
      </c>
      <c r="J15" s="62">
        <f>IFERROR(__xludf.DUMMYFUNCTION("IFERROR(
  AVERAGE(FILTER(data!B$2:B1000, data!A$2:A1000=$F15, data!D$2:D1000=$G15, data!E$2:E1000=3))
  -
  AVERAGE(FILTER(data!B$2:B1000, data!A$2:A1000=$F15, data!D$2:D1000=$G15, data!E$2:E1000=1))
, """")
"),4.5)</f>
        <v>4.5</v>
      </c>
      <c r="K15" s="62">
        <f>IFERROR(__xludf.DUMMYFUNCTION("IFERROR(
  AVERAGE(FILTER(data!C$2:C1000, data!A$2:A1000=$F15, data!D$2:D1000=$G15, data!E$2:E1000=2))
  -
  AVERAGE(FILTER(data!C$2:C1000, data!A$2:A1000=$F15, data!D$2:D1000=$G15, data!E$2:E1000=1))
, """")
"),0.0)</f>
        <v>0</v>
      </c>
      <c r="L15" s="62">
        <f>IFERROR(__xludf.DUMMYFUNCTION("IFERROR(
  AVERAGE(FILTER(data!C$2:C1000, data!A$2:A1000=$F15, data!D$2:D1000=$G15, data!E$2:E1000=3))
  -
  AVERAGE(FILTER(data!C$2:C1000, data!A$2:A1000=$F15, data!D$2:D1000=$G15, data!E$2:E1000=2))
, """")
"),-1.5)</f>
        <v>-1.5</v>
      </c>
      <c r="M15" s="62">
        <f>IFERROR(__xludf.DUMMYFUNCTION("IFERROR(
  AVERAGE(FILTER(data!C$2:C1000, data!A$2:A1000=$F15, data!D$2:D1000=$G15, data!E$2:E1000=3))
  -
  AVERAGE(FILTER(data!C$2:C1000, data!A$2:A1000=$F15, data!D$2:D1000=$G15, data!E$2:E1000=1))
, """")
"),-1.5)</f>
        <v>-1.5</v>
      </c>
      <c r="N15" s="62">
        <f t="shared" ref="N15:P15" si="28">IF(H15="",,ABS(H15))
</f>
        <v>0</v>
      </c>
      <c r="O15" s="62">
        <f t="shared" si="28"/>
        <v>4.5</v>
      </c>
      <c r="P15" s="62">
        <f t="shared" si="28"/>
        <v>4.5</v>
      </c>
      <c r="Q15" s="62">
        <f t="shared" si="4"/>
        <v>1.5</v>
      </c>
      <c r="R15" s="62">
        <f t="shared" ref="R15:S15" si="29">IF(L15="",,ABS(L15))
</f>
        <v>1.5</v>
      </c>
      <c r="S15" s="62">
        <f t="shared" si="29"/>
        <v>1.5</v>
      </c>
      <c r="T15" s="55"/>
      <c r="U15" s="61">
        <f>IFERROR(__xludf.DUMMYFUNCTION("""COMPUTED_VALUE"""),68.0)</f>
        <v>68</v>
      </c>
      <c r="V15" s="61" t="str">
        <f>IFERROR(__xludf.DUMMYFUNCTION("""COMPUTED_VALUE"""),"B")</f>
        <v>B</v>
      </c>
      <c r="W15" s="62">
        <f>IFERROR(__xludf.DUMMYFUNCTION("""COMPUTED_VALUE"""),6.0)</f>
        <v>6</v>
      </c>
      <c r="X15" s="62">
        <f>IFERROR(__xludf.DUMMYFUNCTION("""COMPUTED_VALUE"""),7.0)</f>
        <v>7</v>
      </c>
      <c r="Y15" s="55"/>
      <c r="Z15" s="55"/>
      <c r="AA15" s="55"/>
      <c r="AB15" s="64" t="str">
        <f>IFERROR(__xludf.DUMMYFUNCTION("IF(AA15="""",,COUNTUNIQUE(FILTER(data!D$2:D1000, data!E$2:E1000=3, data!A$2:A1000=AA15)))
"),"")</f>
        <v/>
      </c>
      <c r="AC15" s="64" t="str">
        <f>IFERROR(__xludf.DUMMYFUNCTION("IF(AA15="""",,ROUND(AVERAGE(FILTER(data!B$2:B1000, data!E$2:E1000=3, data!A$2:A1000=AA15)),2))
"),"")</f>
        <v/>
      </c>
      <c r="AD15" s="64" t="str">
        <f>IFERROR(__xludf.DUMMYFUNCTION("IF(AA15="""",,ROUND(AVERAGE(FILTER(data!C$2:C1000, data!E$2:E1000=3, data!A$2:A1000=AA15)),2))
"),"")</f>
        <v/>
      </c>
      <c r="AE15" s="64" t="str">
        <f>IFERROR(__xludf.DUMMYFUNCTION("IF(AA15="""",,
  MAX(FILTER(data!B$2:B1000, data!E$2:E1000=3, data!A$2:A1000=AA15))
 -MIN(FILTER(data!B$2:B1000, data!E$2:E1000=3, data!A$2:A1000=AA15))
)
"),"")</f>
        <v/>
      </c>
      <c r="AF15" s="64" t="str">
        <f>IFERROR(__xludf.DUMMYFUNCTION("IF(AA15="""",,
  MAX(FILTER(data!C$2:C1000, data!E$2:E1000=3, data!A$2:A1000=AA15))
 -MIN(FILTER(data!C$2:C1000, data!E$2:E1000=3, data!A$2:A1000=AA15))
)
"),"")</f>
        <v/>
      </c>
      <c r="AG15" s="55" t="str">
        <f t="shared" si="6"/>
        <v/>
      </c>
      <c r="AH15" s="55"/>
      <c r="AI15" s="64"/>
      <c r="AJ15" s="64"/>
      <c r="AK15" s="64"/>
      <c r="AL15" s="64"/>
      <c r="AM15" s="64"/>
      <c r="AN15" s="64"/>
      <c r="AO15" s="55"/>
      <c r="AP15" s="55"/>
      <c r="AQ15" s="64"/>
      <c r="AR15" s="64"/>
      <c r="AS15" s="64"/>
      <c r="AT15" s="64"/>
      <c r="AU15" s="64"/>
      <c r="AV15" s="55"/>
      <c r="AW15" s="55"/>
      <c r="AX15" s="64"/>
      <c r="AY15" s="64"/>
      <c r="AZ15" s="64"/>
      <c r="BA15" s="64"/>
      <c r="BB15" s="64"/>
      <c r="BC15" s="55"/>
      <c r="BD15" s="55"/>
      <c r="BE15" s="64"/>
      <c r="BF15" s="64" t="str">
        <f>IFERROR(__xludf.DUMMYFUNCTION("IF(BD15="""",,IFERROR(ROUND(AVERAGE(FILTER(data!B$2:B1000, (data!E$2:E1000&amp;"""")=""3"", (data!A$2:A1000&amp;"""")=(BD15&amp;""""))),2),""""))
"),"")</f>
        <v/>
      </c>
      <c r="BG15" s="64" t="str">
        <f>IFERROR(__xludf.DUMMYFUNCTION("IF(BD15="""",,IFERROR(ROUND(AVERAGE(FILTER(data!C$2:C1000, (data!E$2:E1000&amp;"""")=""3"", (data!A$2:A1000&amp;"""")=(BD15&amp;""""))),2),""""))
"),"")</f>
        <v/>
      </c>
      <c r="BH15" s="64" t="str">
        <f>IFERROR(__xludf.DUMMYFUNCTION("IF(BD15="""",,IFERROR(
  MAX(FILTER(data!B$2:B1000, (data!E$2:E1000&amp;"""")=""3"", (data!A$2:A1000&amp;"""")=(BD15&amp;"""")))
 -MIN(FILTER(data!B$2:B1000, (data!E$2:E1000&amp;"""")=""3"", (data!A$2:A1000&amp;"""")=(BD15&amp;"""")))
,""""))
"),"")</f>
        <v/>
      </c>
      <c r="BI15" s="64" t="str">
        <f>IFERROR(__xludf.DUMMYFUNCTION("IF(BD15="""",,IFERROR(
  MAX(FILTER(data!C$2:C1000, (data!E$2:E1000&amp;"""")=""3"", (data!A$2:A1000&amp;"""")=(BD15&amp;"""")))
 -MIN(FILTER(data!C$2:C1000, (data!E$2:E1000&amp;"""")=""3"", (data!A$2:A1000&amp;"""")=(BD15&amp;"""")))
,""""))
"),"")</f>
        <v/>
      </c>
      <c r="BJ15" s="64" t="str">
        <f t="shared" si="7"/>
        <v/>
      </c>
      <c r="BK15" s="55"/>
      <c r="BL15" s="65">
        <f>IFERROR(__xludf.DUMMYFUNCTION("""COMPUTED_VALUE"""),13.0)</f>
        <v>13</v>
      </c>
      <c r="BM15" s="65" t="str">
        <f>IFERROR(__xludf.DUMMYFUNCTION("""COMPUTED_VALUE"""),"E")</f>
        <v>E</v>
      </c>
      <c r="BN15" s="64"/>
      <c r="BO15" s="63">
        <f>IFERROR(__xludf.DUMMYFUNCTION("""COMPUTED_VALUE"""),2.0)</f>
        <v>2</v>
      </c>
      <c r="BP15" s="63">
        <f>IFERROR(__xludf.DUMMYFUNCTION("""COMPUTED_VALUE"""),2.0)</f>
        <v>2</v>
      </c>
      <c r="BQ15" s="64"/>
      <c r="BR15" s="63">
        <f>IFERROR(__xludf.DUMMYFUNCTION("""COMPUTED_VALUE"""),8.0)</f>
        <v>8</v>
      </c>
      <c r="BS15" s="63">
        <f>IFERROR(__xludf.DUMMYFUNCTION("""COMPUTED_VALUE"""),8.0)</f>
        <v>8</v>
      </c>
      <c r="BT15" s="64"/>
      <c r="BU15" s="63">
        <v>0.0</v>
      </c>
      <c r="BV15" s="67">
        <v>0.0</v>
      </c>
      <c r="BW15" s="65" t="b">
        <v>0</v>
      </c>
      <c r="BX15" s="55"/>
      <c r="BY15" s="65">
        <f>IFERROR(__xludf.DUMMYFUNCTION("""COMPUTED_VALUE"""),41.0)</f>
        <v>41</v>
      </c>
      <c r="BZ15" s="65">
        <f>IFERROR(__xludf.DUMMYFUNCTION("""COMPUTED_VALUE"""),1.0)</f>
        <v>1</v>
      </c>
      <c r="CA15" s="55"/>
      <c r="CB15" s="55"/>
      <c r="CC15" s="55"/>
      <c r="CD15" s="55"/>
      <c r="CE15" s="55"/>
      <c r="CF15" s="55"/>
      <c r="CG15" s="55"/>
      <c r="CH15" s="55"/>
    </row>
    <row r="16" ht="16.5" customHeight="1">
      <c r="A16" s="61">
        <f>IFERROR(__xludf.DUMMYFUNCTION("""COMPUTED_VALUE"""),3.0)</f>
        <v>3</v>
      </c>
      <c r="B16" s="61">
        <f>IFERROR(__xludf.DUMMYFUNCTION("""COMPUTED_VALUE"""),1.0)</f>
        <v>1</v>
      </c>
      <c r="C16" s="55"/>
      <c r="D16" s="55"/>
      <c r="E16" s="55"/>
      <c r="F16" s="61">
        <f>IFERROR(__xludf.DUMMYFUNCTION("""COMPUTED_VALUE"""),81.0)</f>
        <v>81</v>
      </c>
      <c r="G16" s="61" t="str">
        <f>IFERROR(__xludf.DUMMYFUNCTION("""COMPUTED_VALUE"""),"B")</f>
        <v>B</v>
      </c>
      <c r="H16" s="62">
        <f>IFERROR(__xludf.DUMMYFUNCTION("IFERROR(
  AVERAGE(FILTER(data!B$2:B1000, data!A$2:A1000=$F16, data!D$2:D1000=$G16, data!E$2:E1000=2))
  -
  AVERAGE(FILTER(data!B$2:B1000, data!A$2:A1000=$F16, data!D$2:D1000=$G16, data!E$2:E1000=1))
, """")
"),0.0)</f>
        <v>0</v>
      </c>
      <c r="I16" s="62">
        <f>IFERROR(__xludf.DUMMYFUNCTION("IFERROR(
  AVERAGE(FILTER(data!B$2:B1000, data!A$2:A1000=$F16, data!D$2:D1000=$G16, data!E$2:E1000=3))
  -
  AVERAGE(FILTER(data!B$2:B1000, data!A$2:A1000=$F16, data!D$2:D1000=$G16, data!E$2:E1000=2))
, """")
"),0.0)</f>
        <v>0</v>
      </c>
      <c r="J16" s="62">
        <f>IFERROR(__xludf.DUMMYFUNCTION("IFERROR(
  AVERAGE(FILTER(data!B$2:B1000, data!A$2:A1000=$F16, data!D$2:D1000=$G16, data!E$2:E1000=3))
  -
  AVERAGE(FILTER(data!B$2:B1000, data!A$2:A1000=$F16, data!D$2:D1000=$G16, data!E$2:E1000=1))
, """")
"),0.0)</f>
        <v>0</v>
      </c>
      <c r="K16" s="62">
        <f>IFERROR(__xludf.DUMMYFUNCTION("IFERROR(
  AVERAGE(FILTER(data!C$2:C1000, data!A$2:A1000=$F16, data!D$2:D1000=$G16, data!E$2:E1000=2))
  -
  AVERAGE(FILTER(data!C$2:C1000, data!A$2:A1000=$F16, data!D$2:D1000=$G16, data!E$2:E1000=1))
, """")
"),0.0)</f>
        <v>0</v>
      </c>
      <c r="L16" s="62">
        <f>IFERROR(__xludf.DUMMYFUNCTION("IFERROR(
  AVERAGE(FILTER(data!C$2:C1000, data!A$2:A1000=$F16, data!D$2:D1000=$G16, data!E$2:E1000=3))
  -
  AVERAGE(FILTER(data!C$2:C1000, data!A$2:A1000=$F16, data!D$2:D1000=$G16, data!E$2:E1000=2))
, """")
"),-2.0)</f>
        <v>-2</v>
      </c>
      <c r="M16" s="62">
        <f>IFERROR(__xludf.DUMMYFUNCTION("IFERROR(
  AVERAGE(FILTER(data!C$2:C1000, data!A$2:A1000=$F16, data!D$2:D1000=$G16, data!E$2:E1000=3))
  -
  AVERAGE(FILTER(data!C$2:C1000, data!A$2:A1000=$F16, data!D$2:D1000=$G16, data!E$2:E1000=1))
, """")
"),-2.0)</f>
        <v>-2</v>
      </c>
      <c r="N16" s="62">
        <f t="shared" ref="N16:P16" si="30">IF(H16="",,ABS(H16))
</f>
        <v>0</v>
      </c>
      <c r="O16" s="62">
        <f t="shared" si="30"/>
        <v>0</v>
      </c>
      <c r="P16" s="62">
        <f t="shared" si="30"/>
        <v>0</v>
      </c>
      <c r="Q16" s="62">
        <f t="shared" si="4"/>
        <v>2</v>
      </c>
      <c r="R16" s="62">
        <f t="shared" ref="R16:S16" si="31">IF(L16="",,ABS(L16))
</f>
        <v>2</v>
      </c>
      <c r="S16" s="62">
        <f t="shared" si="31"/>
        <v>2</v>
      </c>
      <c r="T16" s="55"/>
      <c r="U16" s="61">
        <f>IFERROR(__xludf.DUMMYFUNCTION("""COMPUTED_VALUE"""),70.0)</f>
        <v>70</v>
      </c>
      <c r="V16" s="61" t="str">
        <f>IFERROR(__xludf.DUMMYFUNCTION("""COMPUTED_VALUE"""),"B")</f>
        <v>B</v>
      </c>
      <c r="W16" s="62">
        <f>IFERROR(__xludf.DUMMYFUNCTION("""COMPUTED_VALUE"""),7.5)</f>
        <v>7.5</v>
      </c>
      <c r="X16" s="62">
        <f>IFERROR(__xludf.DUMMYFUNCTION("""COMPUTED_VALUE"""),8.0)</f>
        <v>8</v>
      </c>
      <c r="Y16" s="55"/>
      <c r="Z16" s="55"/>
      <c r="AA16" s="55"/>
      <c r="AB16" s="64" t="str">
        <f>IFERROR(__xludf.DUMMYFUNCTION("IF(AA16="""",,COUNTUNIQUE(FILTER(data!D$2:D1000, data!E$2:E1000=3, data!A$2:A1000=AA16)))
"),"")</f>
        <v/>
      </c>
      <c r="AC16" s="64" t="str">
        <f>IFERROR(__xludf.DUMMYFUNCTION("IF(AA16="""",,ROUND(AVERAGE(FILTER(data!B$2:B1000, data!E$2:E1000=3, data!A$2:A1000=AA16)),2))
"),"")</f>
        <v/>
      </c>
      <c r="AD16" s="64" t="str">
        <f>IFERROR(__xludf.DUMMYFUNCTION("IF(AA16="""",,ROUND(AVERAGE(FILTER(data!C$2:C1000, data!E$2:E1000=3, data!A$2:A1000=AA16)),2))
"),"")</f>
        <v/>
      </c>
      <c r="AE16" s="64" t="str">
        <f>IFERROR(__xludf.DUMMYFUNCTION("IF(AA16="""",,
  MAX(FILTER(data!B$2:B1000, data!E$2:E1000=3, data!A$2:A1000=AA16))
 -MIN(FILTER(data!B$2:B1000, data!E$2:E1000=3, data!A$2:A1000=AA16))
)
"),"")</f>
        <v/>
      </c>
      <c r="AF16" s="64" t="str">
        <f>IFERROR(__xludf.DUMMYFUNCTION("IF(AA16="""",,
  MAX(FILTER(data!C$2:C1000, data!E$2:E1000=3, data!A$2:A1000=AA16))
 -MIN(FILTER(data!C$2:C1000, data!E$2:E1000=3, data!A$2:A1000=AA16))
)
"),"")</f>
        <v/>
      </c>
      <c r="AG16" s="55" t="str">
        <f t="shared" si="6"/>
        <v/>
      </c>
      <c r="AH16" s="55"/>
      <c r="AI16" s="64"/>
      <c r="AJ16" s="64"/>
      <c r="AK16" s="64"/>
      <c r="AL16" s="64"/>
      <c r="AM16" s="64"/>
      <c r="AN16" s="64"/>
      <c r="AO16" s="55"/>
      <c r="AP16" s="55"/>
      <c r="AQ16" s="64"/>
      <c r="AR16" s="64"/>
      <c r="AS16" s="64"/>
      <c r="AT16" s="64"/>
      <c r="AU16" s="64"/>
      <c r="AV16" s="55"/>
      <c r="AW16" s="55"/>
      <c r="AX16" s="64"/>
      <c r="AY16" s="64"/>
      <c r="AZ16" s="64"/>
      <c r="BA16" s="64"/>
      <c r="BB16" s="64"/>
      <c r="BC16" s="55"/>
      <c r="BD16" s="55"/>
      <c r="BE16" s="64"/>
      <c r="BF16" s="64" t="str">
        <f>IFERROR(__xludf.DUMMYFUNCTION("IF(BD16="""",,IFERROR(ROUND(AVERAGE(FILTER(data!B$2:B1000, (data!E$2:E1000&amp;"""")=""3"", (data!A$2:A1000&amp;"""")=(BD16&amp;""""))),2),""""))
"),"")</f>
        <v/>
      </c>
      <c r="BG16" s="64" t="str">
        <f>IFERROR(__xludf.DUMMYFUNCTION("IF(BD16="""",,IFERROR(ROUND(AVERAGE(FILTER(data!C$2:C1000, (data!E$2:E1000&amp;"""")=""3"", (data!A$2:A1000&amp;"""")=(BD16&amp;""""))),2),""""))
"),"")</f>
        <v/>
      </c>
      <c r="BH16" s="64" t="str">
        <f>IFERROR(__xludf.DUMMYFUNCTION("IF(BD16="""",,IFERROR(
  MAX(FILTER(data!B$2:B1000, (data!E$2:E1000&amp;"""")=""3"", (data!A$2:A1000&amp;"""")=(BD16&amp;"""")))
 -MIN(FILTER(data!B$2:B1000, (data!E$2:E1000&amp;"""")=""3"", (data!A$2:A1000&amp;"""")=(BD16&amp;"""")))
,""""))
"),"")</f>
        <v/>
      </c>
      <c r="BI16" s="64" t="str">
        <f>IFERROR(__xludf.DUMMYFUNCTION("IF(BD16="""",,IFERROR(
  MAX(FILTER(data!C$2:C1000, (data!E$2:E1000&amp;"""")=""3"", (data!A$2:A1000&amp;"""")=(BD16&amp;"""")))
 -MIN(FILTER(data!C$2:C1000, (data!E$2:E1000&amp;"""")=""3"", (data!A$2:A1000&amp;"""")=(BD16&amp;"""")))
,""""))
"),"")</f>
        <v/>
      </c>
      <c r="BJ16" s="64" t="str">
        <f t="shared" si="7"/>
        <v/>
      </c>
      <c r="BK16" s="55"/>
      <c r="BL16" s="65">
        <f>IFERROR(__xludf.DUMMYFUNCTION("""COMPUTED_VALUE"""),16.0)</f>
        <v>16</v>
      </c>
      <c r="BM16" s="65" t="str">
        <f>IFERROR(__xludf.DUMMYFUNCTION("""COMPUTED_VALUE"""),"E")</f>
        <v>E</v>
      </c>
      <c r="BN16" s="63">
        <f>IFERROR(__xludf.DUMMYFUNCTION("""COMPUTED_VALUE"""),1.0)</f>
        <v>1</v>
      </c>
      <c r="BO16" s="63">
        <f>IFERROR(__xludf.DUMMYFUNCTION("""COMPUTED_VALUE"""),1.0)</f>
        <v>1</v>
      </c>
      <c r="BP16" s="63">
        <f>IFERROR(__xludf.DUMMYFUNCTION("""COMPUTED_VALUE"""),1.0)</f>
        <v>1</v>
      </c>
      <c r="BQ16" s="63">
        <f>IFERROR(__xludf.DUMMYFUNCTION("""COMPUTED_VALUE"""),6.0)</f>
        <v>6</v>
      </c>
      <c r="BR16" s="63">
        <f>IFERROR(__xludf.DUMMYFUNCTION("""COMPUTED_VALUE"""),6.0)</f>
        <v>6</v>
      </c>
      <c r="BS16" s="63">
        <f>IFERROR(__xludf.DUMMYFUNCTION("""COMPUTED_VALUE"""),6.0)</f>
        <v>6</v>
      </c>
      <c r="BT16" s="63">
        <v>0.0</v>
      </c>
      <c r="BU16" s="63">
        <v>0.0</v>
      </c>
      <c r="BV16" s="67">
        <v>0.0</v>
      </c>
      <c r="BW16" s="65" t="b">
        <v>0</v>
      </c>
      <c r="BX16" s="55"/>
      <c r="BY16" s="65">
        <f>IFERROR(__xludf.DUMMYFUNCTION("""COMPUTED_VALUE"""),44.0)</f>
        <v>44</v>
      </c>
      <c r="BZ16" s="65">
        <f>IFERROR(__xludf.DUMMYFUNCTION("""COMPUTED_VALUE"""),1.0)</f>
        <v>1</v>
      </c>
      <c r="CA16" s="55"/>
      <c r="CB16" s="55"/>
      <c r="CC16" s="55"/>
      <c r="CD16" s="55"/>
      <c r="CE16" s="55"/>
      <c r="CF16" s="55"/>
      <c r="CG16" s="55"/>
      <c r="CH16" s="55"/>
    </row>
    <row r="17" ht="16.5" customHeight="1">
      <c r="A17" s="61">
        <f>IFERROR(__xludf.DUMMYFUNCTION("""COMPUTED_VALUE"""),5.0)</f>
        <v>5</v>
      </c>
      <c r="B17" s="61">
        <f>IFERROR(__xludf.DUMMYFUNCTION("""COMPUTED_VALUE"""),1.0)</f>
        <v>1</v>
      </c>
      <c r="C17" s="55"/>
      <c r="D17" s="55"/>
      <c r="E17" s="55"/>
      <c r="F17" s="61">
        <f>IFERROR(__xludf.DUMMYFUNCTION("""COMPUTED_VALUE"""),87.0)</f>
        <v>87</v>
      </c>
      <c r="G17" s="61" t="str">
        <f>IFERROR(__xludf.DUMMYFUNCTION("""COMPUTED_VALUE"""),"B")</f>
        <v>B</v>
      </c>
      <c r="H17" s="62">
        <f>IFERROR(__xludf.DUMMYFUNCTION("IFERROR(
  AVERAGE(FILTER(data!B$2:B1000, data!A$2:A1000=$F17, data!D$2:D1000=$G17, data!E$2:E1000=2))
  -
  AVERAGE(FILTER(data!B$2:B1000, data!A$2:A1000=$F17, data!D$2:D1000=$G17, data!E$2:E1000=1))
, """")
"),0.0)</f>
        <v>0</v>
      </c>
      <c r="I17" s="62">
        <f>IFERROR(__xludf.DUMMYFUNCTION("IFERROR(
  AVERAGE(FILTER(data!B$2:B1000, data!A$2:A1000=$F17, data!D$2:D1000=$G17, data!E$2:E1000=3))
  -
  AVERAGE(FILTER(data!B$2:B1000, data!A$2:A1000=$F17, data!D$2:D1000=$G17, data!E$2:E1000=2))
, """")
"),-0.5)</f>
        <v>-0.5</v>
      </c>
      <c r="J17" s="62">
        <f>IFERROR(__xludf.DUMMYFUNCTION("IFERROR(
  AVERAGE(FILTER(data!B$2:B1000, data!A$2:A1000=$F17, data!D$2:D1000=$G17, data!E$2:E1000=3))
  -
  AVERAGE(FILTER(data!B$2:B1000, data!A$2:A1000=$F17, data!D$2:D1000=$G17, data!E$2:E1000=1))
, """")
"),-0.5)</f>
        <v>-0.5</v>
      </c>
      <c r="K17" s="62">
        <f>IFERROR(__xludf.DUMMYFUNCTION("IFERROR(
  AVERAGE(FILTER(data!C$2:C1000, data!A$2:A1000=$F17, data!D$2:D1000=$G17, data!E$2:E1000=2))
  -
  AVERAGE(FILTER(data!C$2:C1000, data!A$2:A1000=$F17, data!D$2:D1000=$G17, data!E$2:E1000=1))
, """")
"),0.0)</f>
        <v>0</v>
      </c>
      <c r="L17" s="62">
        <f>IFERROR(__xludf.DUMMYFUNCTION("IFERROR(
  AVERAGE(FILTER(data!C$2:C1000, data!A$2:A1000=$F17, data!D$2:D1000=$G17, data!E$2:E1000=3))
  -
  AVERAGE(FILTER(data!C$2:C1000, data!A$2:A1000=$F17, data!D$2:D1000=$G17, data!E$2:E1000=2))
, """")
"),0.0)</f>
        <v>0</v>
      </c>
      <c r="M17" s="62">
        <f>IFERROR(__xludf.DUMMYFUNCTION("IFERROR(
  AVERAGE(FILTER(data!C$2:C1000, data!A$2:A1000=$F17, data!D$2:D1000=$G17, data!E$2:E1000=3))
  -
  AVERAGE(FILTER(data!C$2:C1000, data!A$2:A1000=$F17, data!D$2:D1000=$G17, data!E$2:E1000=1))
, """")
"),0.0)</f>
        <v>0</v>
      </c>
      <c r="N17" s="62">
        <f t="shared" ref="N17:P17" si="32">IF(H17="",,ABS(H17))
</f>
        <v>0</v>
      </c>
      <c r="O17" s="62">
        <f t="shared" si="32"/>
        <v>0.5</v>
      </c>
      <c r="P17" s="62">
        <f t="shared" si="32"/>
        <v>0.5</v>
      </c>
      <c r="Q17" s="62">
        <f t="shared" si="4"/>
        <v>0</v>
      </c>
      <c r="R17" s="62">
        <f t="shared" ref="R17:S17" si="33">IF(L17="",,ABS(L17))
</f>
        <v>0</v>
      </c>
      <c r="S17" s="62">
        <f t="shared" si="33"/>
        <v>0</v>
      </c>
      <c r="T17" s="55"/>
      <c r="U17" s="61">
        <f>IFERROR(__xludf.DUMMYFUNCTION("""COMPUTED_VALUE"""),74.0)</f>
        <v>74</v>
      </c>
      <c r="V17" s="61" t="str">
        <f>IFERROR(__xludf.DUMMYFUNCTION("""COMPUTED_VALUE"""),"A")</f>
        <v>A</v>
      </c>
      <c r="W17" s="62">
        <f>IFERROR(__xludf.DUMMYFUNCTION("""COMPUTED_VALUE"""),6.0)</f>
        <v>6</v>
      </c>
      <c r="X17" s="62">
        <f>IFERROR(__xludf.DUMMYFUNCTION("""COMPUTED_VALUE"""),6.0)</f>
        <v>6</v>
      </c>
      <c r="Y17" s="55"/>
      <c r="Z17" s="55"/>
      <c r="AA17" s="55"/>
      <c r="AB17" s="64" t="str">
        <f>IFERROR(__xludf.DUMMYFUNCTION("IF(AA17="""",,COUNTUNIQUE(FILTER(data!D$2:D1000, data!E$2:E1000=3, data!A$2:A1000=AA17)))
"),"")</f>
        <v/>
      </c>
      <c r="AC17" s="64" t="str">
        <f>IFERROR(__xludf.DUMMYFUNCTION("IF(AA17="""",,ROUND(AVERAGE(FILTER(data!B$2:B1000, data!E$2:E1000=3, data!A$2:A1000=AA17)),2))
"),"")</f>
        <v/>
      </c>
      <c r="AD17" s="64" t="str">
        <f>IFERROR(__xludf.DUMMYFUNCTION("IF(AA17="""",,ROUND(AVERAGE(FILTER(data!C$2:C1000, data!E$2:E1000=3, data!A$2:A1000=AA17)),2))
"),"")</f>
        <v/>
      </c>
      <c r="AE17" s="64" t="str">
        <f>IFERROR(__xludf.DUMMYFUNCTION("IF(AA17="""",,
  MAX(FILTER(data!B$2:B1000, data!E$2:E1000=3, data!A$2:A1000=AA17))
 -MIN(FILTER(data!B$2:B1000, data!E$2:E1000=3, data!A$2:A1000=AA17))
)
"),"")</f>
        <v/>
      </c>
      <c r="AF17" s="64" t="str">
        <f>IFERROR(__xludf.DUMMYFUNCTION("IF(AA17="""",,
  MAX(FILTER(data!C$2:C1000, data!E$2:E1000=3, data!A$2:A1000=AA17))
 -MIN(FILTER(data!C$2:C1000, data!E$2:E1000=3, data!A$2:A1000=AA17))
)
"),"")</f>
        <v/>
      </c>
      <c r="AG17" s="55" t="str">
        <f t="shared" si="6"/>
        <v/>
      </c>
      <c r="AH17" s="55"/>
      <c r="AI17" s="64"/>
      <c r="AJ17" s="64"/>
      <c r="AK17" s="64"/>
      <c r="AL17" s="64"/>
      <c r="AM17" s="64"/>
      <c r="AN17" s="64"/>
      <c r="AO17" s="55"/>
      <c r="AP17" s="55"/>
      <c r="AQ17" s="64"/>
      <c r="AR17" s="64"/>
      <c r="AS17" s="64"/>
      <c r="AT17" s="64"/>
      <c r="AU17" s="64"/>
      <c r="AV17" s="55"/>
      <c r="AW17" s="55"/>
      <c r="AX17" s="64"/>
      <c r="AY17" s="64"/>
      <c r="AZ17" s="64"/>
      <c r="BA17" s="64"/>
      <c r="BB17" s="64"/>
      <c r="BC17" s="55"/>
      <c r="BD17" s="55"/>
      <c r="BE17" s="64"/>
      <c r="BF17" s="64" t="str">
        <f>IFERROR(__xludf.DUMMYFUNCTION("IF(BD17="""",,IFERROR(ROUND(AVERAGE(FILTER(data!B$2:B1000, (data!E$2:E1000&amp;"""")=""3"", (data!A$2:A1000&amp;"""")=(BD17&amp;""""))),2),""""))
"),"")</f>
        <v/>
      </c>
      <c r="BG17" s="64" t="str">
        <f>IFERROR(__xludf.DUMMYFUNCTION("IF(BD17="""",,IFERROR(ROUND(AVERAGE(FILTER(data!C$2:C1000, (data!E$2:E1000&amp;"""")=""3"", (data!A$2:A1000&amp;"""")=(BD17&amp;""""))),2),""""))
"),"")</f>
        <v/>
      </c>
      <c r="BH17" s="64" t="str">
        <f>IFERROR(__xludf.DUMMYFUNCTION("IF(BD17="""",,IFERROR(
  MAX(FILTER(data!B$2:B1000, (data!E$2:E1000&amp;"""")=""3"", (data!A$2:A1000&amp;"""")=(BD17&amp;"""")))
 -MIN(FILTER(data!B$2:B1000, (data!E$2:E1000&amp;"""")=""3"", (data!A$2:A1000&amp;"""")=(BD17&amp;"""")))
,""""))
"),"")</f>
        <v/>
      </c>
      <c r="BI17" s="64" t="str">
        <f>IFERROR(__xludf.DUMMYFUNCTION("IF(BD17="""",,IFERROR(
  MAX(FILTER(data!C$2:C1000, (data!E$2:E1000&amp;"""")=""3"", (data!A$2:A1000&amp;"""")=(BD17&amp;"""")))
 -MIN(FILTER(data!C$2:C1000, (data!E$2:E1000&amp;"""")=""3"", (data!A$2:A1000&amp;"""")=(BD17&amp;"""")))
,""""))
"),"")</f>
        <v/>
      </c>
      <c r="BJ17" s="64" t="str">
        <f t="shared" si="7"/>
        <v/>
      </c>
      <c r="BK17" s="55"/>
      <c r="BL17" s="65">
        <f>IFERROR(__xludf.DUMMYFUNCTION("""COMPUTED_VALUE"""),19.0)</f>
        <v>19</v>
      </c>
      <c r="BM17" s="65" t="str">
        <f>IFERROR(__xludf.DUMMYFUNCTION("""COMPUTED_VALUE"""),"B")</f>
        <v>B</v>
      </c>
      <c r="BN17" s="63">
        <f>IFERROR(__xludf.DUMMYFUNCTION("""COMPUTED_VALUE"""),5.0)</f>
        <v>5</v>
      </c>
      <c r="BO17" s="63">
        <f>IFERROR(__xludf.DUMMYFUNCTION("""COMPUTED_VALUE"""),5.0)</f>
        <v>5</v>
      </c>
      <c r="BP17" s="63">
        <f>IFERROR(__xludf.DUMMYFUNCTION("""COMPUTED_VALUE"""),5.0)</f>
        <v>5</v>
      </c>
      <c r="BQ17" s="63">
        <f>IFERROR(__xludf.DUMMYFUNCTION("""COMPUTED_VALUE"""),8.0)</f>
        <v>8</v>
      </c>
      <c r="BR17" s="63">
        <f>IFERROR(__xludf.DUMMYFUNCTION("""COMPUTED_VALUE"""),8.0)</f>
        <v>8</v>
      </c>
      <c r="BS17" s="63">
        <f>IFERROR(__xludf.DUMMYFUNCTION("""COMPUTED_VALUE"""),8.0)</f>
        <v>8</v>
      </c>
      <c r="BT17" s="63">
        <v>0.0</v>
      </c>
      <c r="BU17" s="63">
        <v>0.0</v>
      </c>
      <c r="BV17" s="67">
        <v>0.0</v>
      </c>
      <c r="BW17" s="65" t="b">
        <v>0</v>
      </c>
      <c r="BX17" s="55"/>
      <c r="BY17" s="65">
        <f>IFERROR(__xludf.DUMMYFUNCTION("""COMPUTED_VALUE"""),68.0)</f>
        <v>68</v>
      </c>
      <c r="BZ17" s="65">
        <f>IFERROR(__xludf.DUMMYFUNCTION("""COMPUTED_VALUE"""),1.0)</f>
        <v>1</v>
      </c>
      <c r="CA17" s="55"/>
      <c r="CB17" s="55"/>
      <c r="CC17" s="55"/>
      <c r="CD17" s="55"/>
      <c r="CE17" s="55"/>
      <c r="CF17" s="55"/>
      <c r="CG17" s="55"/>
      <c r="CH17" s="55"/>
    </row>
    <row r="18" ht="16.5" customHeight="1">
      <c r="A18" s="61">
        <f>IFERROR(__xludf.DUMMYFUNCTION("""COMPUTED_VALUE"""),9.0)</f>
        <v>9</v>
      </c>
      <c r="B18" s="61">
        <f>IFERROR(__xludf.DUMMYFUNCTION("""COMPUTED_VALUE"""),1.0)</f>
        <v>1</v>
      </c>
      <c r="C18" s="55"/>
      <c r="D18" s="55"/>
      <c r="E18" s="55"/>
      <c r="F18" s="61">
        <f>IFERROR(__xludf.DUMMYFUNCTION("""COMPUTED_VALUE"""),81.0)</f>
        <v>81</v>
      </c>
      <c r="G18" s="61" t="str">
        <f>IFERROR(__xludf.DUMMYFUNCTION("""COMPUTED_VALUE"""),"C")</f>
        <v>C</v>
      </c>
      <c r="H18" s="62">
        <f>IFERROR(__xludf.DUMMYFUNCTION("IFERROR(
  AVERAGE(FILTER(data!B$2:B1000, data!A$2:A1000=$F18, data!D$2:D1000=$G18, data!E$2:E1000=2))
  -
  AVERAGE(FILTER(data!B$2:B1000, data!A$2:A1000=$F18, data!D$2:D1000=$G18, data!E$2:E1000=1))
, """")
"),0.0)</f>
        <v>0</v>
      </c>
      <c r="I18" s="64" t="str">
        <f>IFERROR(__xludf.DUMMYFUNCTION("IFERROR(
  AVERAGE(FILTER(data!B$2:B1000, data!A$2:A1000=$F18, data!D$2:D1000=$G18, data!E$2:E1000=3))
  -
  AVERAGE(FILTER(data!B$2:B1000, data!A$2:A1000=$F18, data!D$2:D1000=$G18, data!E$2:E1000=2))
, """")
"),"")</f>
        <v/>
      </c>
      <c r="J18" s="64" t="str">
        <f>IFERROR(__xludf.DUMMYFUNCTION("IFERROR(
  AVERAGE(FILTER(data!B$2:B1000, data!A$2:A1000=$F18, data!D$2:D1000=$G18, data!E$2:E1000=3))
  -
  AVERAGE(FILTER(data!B$2:B1000, data!A$2:A1000=$F18, data!D$2:D1000=$G18, data!E$2:E1000=1))
, """")
"),"")</f>
        <v/>
      </c>
      <c r="K18" s="62">
        <f>IFERROR(__xludf.DUMMYFUNCTION("IFERROR(
  AVERAGE(FILTER(data!C$2:C1000, data!A$2:A1000=$F18, data!D$2:D1000=$G18, data!E$2:E1000=2))
  -
  AVERAGE(FILTER(data!C$2:C1000, data!A$2:A1000=$F18, data!D$2:D1000=$G18, data!E$2:E1000=1))
, """")
"),0.0)</f>
        <v>0</v>
      </c>
      <c r="L18" s="64" t="str">
        <f>IFERROR(__xludf.DUMMYFUNCTION("IFERROR(
  AVERAGE(FILTER(data!C$2:C1000, data!A$2:A1000=$F18, data!D$2:D1000=$G18, data!E$2:E1000=3))
  -
  AVERAGE(FILTER(data!C$2:C1000, data!A$2:A1000=$F18, data!D$2:D1000=$G18, data!E$2:E1000=2))
, """")
"),"")</f>
        <v/>
      </c>
      <c r="M18" s="64" t="str">
        <f>IFERROR(__xludf.DUMMYFUNCTION("IFERROR(
  AVERAGE(FILTER(data!C$2:C1000, data!A$2:A1000=$F18, data!D$2:D1000=$G18, data!E$2:E1000=3))
  -
  AVERAGE(FILTER(data!C$2:C1000, data!A$2:A1000=$F18, data!D$2:D1000=$G18, data!E$2:E1000=1))
, """")
"),"")</f>
        <v/>
      </c>
      <c r="N18" s="62">
        <f t="shared" ref="N18:P18" si="34">IF(H18="",,ABS(H18))
</f>
        <v>0</v>
      </c>
      <c r="O18" s="64" t="str">
        <f t="shared" si="34"/>
        <v/>
      </c>
      <c r="P18" s="64" t="str">
        <f t="shared" si="34"/>
        <v/>
      </c>
      <c r="Q18" s="64" t="str">
        <f t="shared" si="4"/>
        <v/>
      </c>
      <c r="R18" s="64" t="str">
        <f t="shared" ref="R18:S18" si="35">IF(L18="",,ABS(L18))
</f>
        <v/>
      </c>
      <c r="S18" s="64" t="str">
        <f t="shared" si="35"/>
        <v/>
      </c>
      <c r="T18" s="55"/>
      <c r="U18" s="61">
        <f>IFERROR(__xludf.DUMMYFUNCTION("""COMPUTED_VALUE"""),76.0)</f>
        <v>76</v>
      </c>
      <c r="V18" s="61" t="str">
        <f>IFERROR(__xludf.DUMMYFUNCTION("""COMPUTED_VALUE"""),"E")</f>
        <v>E</v>
      </c>
      <c r="W18" s="62">
        <f>IFERROR(__xludf.DUMMYFUNCTION("""COMPUTED_VALUE"""),9.0)</f>
        <v>9</v>
      </c>
      <c r="X18" s="62">
        <f>IFERROR(__xludf.DUMMYFUNCTION("""COMPUTED_VALUE"""),7.0)</f>
        <v>7</v>
      </c>
      <c r="Y18" s="55"/>
      <c r="Z18" s="55"/>
      <c r="AA18" s="55"/>
      <c r="AB18" s="64" t="str">
        <f>IFERROR(__xludf.DUMMYFUNCTION("IF(AA18="""",,COUNTUNIQUE(FILTER(data!D$2:D1000, data!E$2:E1000=3, data!A$2:A1000=AA18)))
"),"")</f>
        <v/>
      </c>
      <c r="AC18" s="64" t="str">
        <f>IFERROR(__xludf.DUMMYFUNCTION("IF(AA18="""",,ROUND(AVERAGE(FILTER(data!B$2:B1000, data!E$2:E1000=3, data!A$2:A1000=AA18)),2))
"),"")</f>
        <v/>
      </c>
      <c r="AD18" s="64" t="str">
        <f>IFERROR(__xludf.DUMMYFUNCTION("IF(AA18="""",,ROUND(AVERAGE(FILTER(data!C$2:C1000, data!E$2:E1000=3, data!A$2:A1000=AA18)),2))
"),"")</f>
        <v/>
      </c>
      <c r="AE18" s="64" t="str">
        <f>IFERROR(__xludf.DUMMYFUNCTION("IF(AA18="""",,
  MAX(FILTER(data!B$2:B1000, data!E$2:E1000=3, data!A$2:A1000=AA18))
 -MIN(FILTER(data!B$2:B1000, data!E$2:E1000=3, data!A$2:A1000=AA18))
)
"),"")</f>
        <v/>
      </c>
      <c r="AF18" s="64" t="str">
        <f>IFERROR(__xludf.DUMMYFUNCTION("IF(AA18="""",,
  MAX(FILTER(data!C$2:C1000, data!E$2:E1000=3, data!A$2:A1000=AA18))
 -MIN(FILTER(data!C$2:C1000, data!E$2:E1000=3, data!A$2:A1000=AA18))
)
"),"")</f>
        <v/>
      </c>
      <c r="AG18" s="55" t="str">
        <f t="shared" si="6"/>
        <v/>
      </c>
      <c r="AH18" s="55"/>
      <c r="AI18" s="64"/>
      <c r="AJ18" s="64"/>
      <c r="AK18" s="64"/>
      <c r="AL18" s="64"/>
      <c r="AM18" s="64"/>
      <c r="AN18" s="64"/>
      <c r="AO18" s="55"/>
      <c r="AP18" s="55"/>
      <c r="AQ18" s="64"/>
      <c r="AR18" s="64"/>
      <c r="AS18" s="64"/>
      <c r="AT18" s="64"/>
      <c r="AU18" s="64"/>
      <c r="AV18" s="55"/>
      <c r="AW18" s="55"/>
      <c r="AX18" s="64"/>
      <c r="AY18" s="64"/>
      <c r="AZ18" s="64"/>
      <c r="BA18" s="64"/>
      <c r="BB18" s="64"/>
      <c r="BC18" s="55"/>
      <c r="BD18" s="55"/>
      <c r="BE18" s="64"/>
      <c r="BF18" s="64" t="str">
        <f>IFERROR(__xludf.DUMMYFUNCTION("IF(BD18="""",,IFERROR(ROUND(AVERAGE(FILTER(data!B$2:B1000, (data!E$2:E1000&amp;"""")=""3"", (data!A$2:A1000&amp;"""")=(BD18&amp;""""))),2),""""))
"),"")</f>
        <v/>
      </c>
      <c r="BG18" s="64" t="str">
        <f>IFERROR(__xludf.DUMMYFUNCTION("IF(BD18="""",,IFERROR(ROUND(AVERAGE(FILTER(data!C$2:C1000, (data!E$2:E1000&amp;"""")=""3"", (data!A$2:A1000&amp;"""")=(BD18&amp;""""))),2),""""))
"),"")</f>
        <v/>
      </c>
      <c r="BH18" s="64" t="str">
        <f>IFERROR(__xludf.DUMMYFUNCTION("IF(BD18="""",,IFERROR(
  MAX(FILTER(data!B$2:B1000, (data!E$2:E1000&amp;"""")=""3"", (data!A$2:A1000&amp;"""")=(BD18&amp;"""")))
 -MIN(FILTER(data!B$2:B1000, (data!E$2:E1000&amp;"""")=""3"", (data!A$2:A1000&amp;"""")=(BD18&amp;"""")))
,""""))
"),"")</f>
        <v/>
      </c>
      <c r="BI18" s="64" t="str">
        <f>IFERROR(__xludf.DUMMYFUNCTION("IF(BD18="""",,IFERROR(
  MAX(FILTER(data!C$2:C1000, (data!E$2:E1000&amp;"""")=""3"", (data!A$2:A1000&amp;"""")=(BD18&amp;"""")))
 -MIN(FILTER(data!C$2:C1000, (data!E$2:E1000&amp;"""")=""3"", (data!A$2:A1000&amp;"""")=(BD18&amp;"""")))
,""""))
"),"")</f>
        <v/>
      </c>
      <c r="BJ18" s="64" t="str">
        <f t="shared" si="7"/>
        <v/>
      </c>
      <c r="BK18" s="55"/>
      <c r="BL18" s="65">
        <f>IFERROR(__xludf.DUMMYFUNCTION("""COMPUTED_VALUE"""),22.0)</f>
        <v>22</v>
      </c>
      <c r="BM18" s="65" t="str">
        <f>IFERROR(__xludf.DUMMYFUNCTION("""COMPUTED_VALUE"""),"C")</f>
        <v>C</v>
      </c>
      <c r="BN18" s="63">
        <f>IFERROR(__xludf.DUMMYFUNCTION("""COMPUTED_VALUE"""),9.5)</f>
        <v>9.5</v>
      </c>
      <c r="BO18" s="63">
        <f>IFERROR(__xludf.DUMMYFUNCTION("""COMPUTED_VALUE"""),9.5)</f>
        <v>9.5</v>
      </c>
      <c r="BP18" s="64"/>
      <c r="BQ18" s="63">
        <f>IFERROR(__xludf.DUMMYFUNCTION("""COMPUTED_VALUE"""),5.0)</f>
        <v>5</v>
      </c>
      <c r="BR18" s="63">
        <f>IFERROR(__xludf.DUMMYFUNCTION("""COMPUTED_VALUE"""),5.0)</f>
        <v>5</v>
      </c>
      <c r="BS18" s="64"/>
      <c r="BT18" s="63">
        <v>0.0</v>
      </c>
      <c r="BU18" s="64"/>
      <c r="BV18" s="67">
        <v>0.0</v>
      </c>
      <c r="BW18" s="65" t="b">
        <v>0</v>
      </c>
      <c r="BX18" s="55"/>
      <c r="BY18" s="65">
        <f>IFERROR(__xludf.DUMMYFUNCTION("""COMPUTED_VALUE"""),84.0)</f>
        <v>84</v>
      </c>
      <c r="BZ18" s="65">
        <f>IFERROR(__xludf.DUMMYFUNCTION("""COMPUTED_VALUE"""),1.0)</f>
        <v>1</v>
      </c>
      <c r="CA18" s="55"/>
      <c r="CB18" s="55"/>
      <c r="CC18" s="55"/>
      <c r="CD18" s="55"/>
      <c r="CE18" s="55"/>
      <c r="CF18" s="55"/>
      <c r="CG18" s="55"/>
      <c r="CH18" s="55"/>
    </row>
    <row r="19" ht="16.5" customHeight="1">
      <c r="A19" s="61">
        <f>IFERROR(__xludf.DUMMYFUNCTION("""COMPUTED_VALUE"""),10.0)</f>
        <v>10</v>
      </c>
      <c r="B19" s="61">
        <f>IFERROR(__xludf.DUMMYFUNCTION("""COMPUTED_VALUE"""),1.0)</f>
        <v>1</v>
      </c>
      <c r="C19" s="55"/>
      <c r="D19" s="55"/>
      <c r="E19" s="55"/>
      <c r="F19" s="61">
        <f>IFERROR(__xludf.DUMMYFUNCTION("""COMPUTED_VALUE"""),84.0)</f>
        <v>84</v>
      </c>
      <c r="G19" s="61" t="str">
        <f>IFERROR(__xludf.DUMMYFUNCTION("""COMPUTED_VALUE"""),"C")</f>
        <v>C</v>
      </c>
      <c r="H19" s="62">
        <f>IFERROR(__xludf.DUMMYFUNCTION("IFERROR(
  AVERAGE(FILTER(data!B$2:B1000, data!A$2:A1000=$F19, data!D$2:D1000=$G19, data!E$2:E1000=2))
  -
  AVERAGE(FILTER(data!B$2:B1000, data!A$2:A1000=$F19, data!D$2:D1000=$G19, data!E$2:E1000=1))
, """")
"),0.0)</f>
        <v>0</v>
      </c>
      <c r="I19" s="64" t="str">
        <f>IFERROR(__xludf.DUMMYFUNCTION("IFERROR(
  AVERAGE(FILTER(data!B$2:B1000, data!A$2:A1000=$F19, data!D$2:D1000=$G19, data!E$2:E1000=3))
  -
  AVERAGE(FILTER(data!B$2:B1000, data!A$2:A1000=$F19, data!D$2:D1000=$G19, data!E$2:E1000=2))
, """")
"),"")</f>
        <v/>
      </c>
      <c r="J19" s="64" t="str">
        <f>IFERROR(__xludf.DUMMYFUNCTION("IFERROR(
  AVERAGE(FILTER(data!B$2:B1000, data!A$2:A1000=$F19, data!D$2:D1000=$G19, data!E$2:E1000=3))
  -
  AVERAGE(FILTER(data!B$2:B1000, data!A$2:A1000=$F19, data!D$2:D1000=$G19, data!E$2:E1000=1))
, """")
"),"")</f>
        <v/>
      </c>
      <c r="K19" s="62">
        <f>IFERROR(__xludf.DUMMYFUNCTION("IFERROR(
  AVERAGE(FILTER(data!C$2:C1000, data!A$2:A1000=$F19, data!D$2:D1000=$G19, data!E$2:E1000=2))
  -
  AVERAGE(FILTER(data!C$2:C1000, data!A$2:A1000=$F19, data!D$2:D1000=$G19, data!E$2:E1000=1))
, """")
"),0.0)</f>
        <v>0</v>
      </c>
      <c r="L19" s="64" t="str">
        <f>IFERROR(__xludf.DUMMYFUNCTION("IFERROR(
  AVERAGE(FILTER(data!C$2:C1000, data!A$2:A1000=$F19, data!D$2:D1000=$G19, data!E$2:E1000=3))
  -
  AVERAGE(FILTER(data!C$2:C1000, data!A$2:A1000=$F19, data!D$2:D1000=$G19, data!E$2:E1000=2))
, """")
"),"")</f>
        <v/>
      </c>
      <c r="M19" s="64" t="str">
        <f>IFERROR(__xludf.DUMMYFUNCTION("IFERROR(
  AVERAGE(FILTER(data!C$2:C1000, data!A$2:A1000=$F19, data!D$2:D1000=$G19, data!E$2:E1000=3))
  -
  AVERAGE(FILTER(data!C$2:C1000, data!A$2:A1000=$F19, data!D$2:D1000=$G19, data!E$2:E1000=1))
, """")
"),"")</f>
        <v/>
      </c>
      <c r="N19" s="62">
        <f t="shared" ref="N19:P19" si="36">IF(H19="",,ABS(H19))
</f>
        <v>0</v>
      </c>
      <c r="O19" s="64" t="str">
        <f t="shared" si="36"/>
        <v/>
      </c>
      <c r="P19" s="64" t="str">
        <f t="shared" si="36"/>
        <v/>
      </c>
      <c r="Q19" s="64" t="str">
        <f t="shared" si="4"/>
        <v/>
      </c>
      <c r="R19" s="64" t="str">
        <f t="shared" ref="R19:S19" si="37">IF(L19="",,ABS(L19))
</f>
        <v/>
      </c>
      <c r="S19" s="64" t="str">
        <f t="shared" si="37"/>
        <v/>
      </c>
      <c r="T19" s="55"/>
      <c r="U19" s="61">
        <f>IFERROR(__xludf.DUMMYFUNCTION("""COMPUTED_VALUE"""),79.0)</f>
        <v>79</v>
      </c>
      <c r="V19" s="61" t="str">
        <f>IFERROR(__xludf.DUMMYFUNCTION("""COMPUTED_VALUE"""),"B")</f>
        <v>B</v>
      </c>
      <c r="W19" s="62">
        <f>IFERROR(__xludf.DUMMYFUNCTION("""COMPUTED_VALUE"""),5.5)</f>
        <v>5.5</v>
      </c>
      <c r="X19" s="62">
        <f>IFERROR(__xludf.DUMMYFUNCTION("""COMPUTED_VALUE"""),5.5)</f>
        <v>5.5</v>
      </c>
      <c r="Y19" s="55"/>
      <c r="Z19" s="55"/>
      <c r="AA19" s="55"/>
      <c r="AB19" s="64" t="str">
        <f>IFERROR(__xludf.DUMMYFUNCTION("IF(AA19="""",,COUNTUNIQUE(FILTER(data!D$2:D1000, data!E$2:E1000=3, data!A$2:A1000=AA19)))
"),"")</f>
        <v/>
      </c>
      <c r="AC19" s="64" t="str">
        <f>IFERROR(__xludf.DUMMYFUNCTION("IF(AA19="""",,ROUND(AVERAGE(FILTER(data!B$2:B1000, data!E$2:E1000=3, data!A$2:A1000=AA19)),2))
"),"")</f>
        <v/>
      </c>
      <c r="AD19" s="64" t="str">
        <f>IFERROR(__xludf.DUMMYFUNCTION("IF(AA19="""",,ROUND(AVERAGE(FILTER(data!C$2:C1000, data!E$2:E1000=3, data!A$2:A1000=AA19)),2))
"),"")</f>
        <v/>
      </c>
      <c r="AE19" s="64" t="str">
        <f>IFERROR(__xludf.DUMMYFUNCTION("IF(AA19="""",,
  MAX(FILTER(data!B$2:B1000, data!E$2:E1000=3, data!A$2:A1000=AA19))
 -MIN(FILTER(data!B$2:B1000, data!E$2:E1000=3, data!A$2:A1000=AA19))
)
"),"")</f>
        <v/>
      </c>
      <c r="AF19" s="64" t="str">
        <f>IFERROR(__xludf.DUMMYFUNCTION("IF(AA19="""",,
  MAX(FILTER(data!C$2:C1000, data!E$2:E1000=3, data!A$2:A1000=AA19))
 -MIN(FILTER(data!C$2:C1000, data!E$2:E1000=3, data!A$2:A1000=AA19))
)
"),"")</f>
        <v/>
      </c>
      <c r="AG19" s="55" t="str">
        <f t="shared" si="6"/>
        <v/>
      </c>
      <c r="AH19" s="55"/>
      <c r="AI19" s="64"/>
      <c r="AJ19" s="64"/>
      <c r="AK19" s="64"/>
      <c r="AL19" s="64"/>
      <c r="AM19" s="64"/>
      <c r="AN19" s="64"/>
      <c r="AO19" s="55"/>
      <c r="AP19" s="55"/>
      <c r="AQ19" s="64"/>
      <c r="AR19" s="64"/>
      <c r="AS19" s="64"/>
      <c r="AT19" s="64"/>
      <c r="AU19" s="64"/>
      <c r="AV19" s="55"/>
      <c r="AW19" s="55"/>
      <c r="AX19" s="64"/>
      <c r="AY19" s="64"/>
      <c r="AZ19" s="64"/>
      <c r="BA19" s="64"/>
      <c r="BB19" s="64"/>
      <c r="BC19" s="55"/>
      <c r="BD19" s="55"/>
      <c r="BE19" s="64"/>
      <c r="BF19" s="64" t="str">
        <f>IFERROR(__xludf.DUMMYFUNCTION("IF(BD19="""",,IFERROR(ROUND(AVERAGE(FILTER(data!B$2:B1000, (data!E$2:E1000&amp;"""")=""3"", (data!A$2:A1000&amp;"""")=(BD19&amp;""""))),2),""""))
"),"")</f>
        <v/>
      </c>
      <c r="BG19" s="64" t="str">
        <f>IFERROR(__xludf.DUMMYFUNCTION("IF(BD19="""",,IFERROR(ROUND(AVERAGE(FILTER(data!C$2:C1000, (data!E$2:E1000&amp;"""")=""3"", (data!A$2:A1000&amp;"""")=(BD19&amp;""""))),2),""""))
"),"")</f>
        <v/>
      </c>
      <c r="BH19" s="64" t="str">
        <f>IFERROR(__xludf.DUMMYFUNCTION("IF(BD19="""",,IFERROR(
  MAX(FILTER(data!B$2:B1000, (data!E$2:E1000&amp;"""")=""3"", (data!A$2:A1000&amp;"""")=(BD19&amp;"""")))
 -MIN(FILTER(data!B$2:B1000, (data!E$2:E1000&amp;"""")=""3"", (data!A$2:A1000&amp;"""")=(BD19&amp;"""")))
,""""))
"),"")</f>
        <v/>
      </c>
      <c r="BI19" s="64" t="str">
        <f>IFERROR(__xludf.DUMMYFUNCTION("IF(BD19="""",,IFERROR(
  MAX(FILTER(data!C$2:C1000, (data!E$2:E1000&amp;"""")=""3"", (data!A$2:A1000&amp;"""")=(BD19&amp;"""")))
 -MIN(FILTER(data!C$2:C1000, (data!E$2:E1000&amp;"""")=""3"", (data!A$2:A1000&amp;"""")=(BD19&amp;"""")))
,""""))
"),"")</f>
        <v/>
      </c>
      <c r="BJ19" s="64" t="str">
        <f t="shared" si="7"/>
        <v/>
      </c>
      <c r="BK19" s="55"/>
      <c r="BL19" s="65">
        <f>IFERROR(__xludf.DUMMYFUNCTION("""COMPUTED_VALUE"""),25.0)</f>
        <v>25</v>
      </c>
      <c r="BM19" s="65" t="str">
        <f>IFERROR(__xludf.DUMMYFUNCTION("""COMPUTED_VALUE"""),"A")</f>
        <v>A</v>
      </c>
      <c r="BN19" s="63">
        <f>IFERROR(__xludf.DUMMYFUNCTION("""COMPUTED_VALUE"""),1.0)</f>
        <v>1</v>
      </c>
      <c r="BO19" s="63">
        <f>IFERROR(__xludf.DUMMYFUNCTION("""COMPUTED_VALUE"""),1.0)</f>
        <v>1</v>
      </c>
      <c r="BP19" s="63">
        <f>IFERROR(__xludf.DUMMYFUNCTION("""COMPUTED_VALUE"""),1.0)</f>
        <v>1</v>
      </c>
      <c r="BQ19" s="63">
        <f>IFERROR(__xludf.DUMMYFUNCTION("""COMPUTED_VALUE"""),10.0)</f>
        <v>10</v>
      </c>
      <c r="BR19" s="63">
        <f>IFERROR(__xludf.DUMMYFUNCTION("""COMPUTED_VALUE"""),10.0)</f>
        <v>10</v>
      </c>
      <c r="BS19" s="63">
        <f>IFERROR(__xludf.DUMMYFUNCTION("""COMPUTED_VALUE"""),10.0)</f>
        <v>10</v>
      </c>
      <c r="BT19" s="63">
        <v>0.0</v>
      </c>
      <c r="BU19" s="63">
        <v>0.0</v>
      </c>
      <c r="BV19" s="67">
        <v>0.0</v>
      </c>
      <c r="BW19" s="65" t="b">
        <v>0</v>
      </c>
      <c r="BX19" s="55"/>
      <c r="BY19" s="65">
        <f>IFERROR(__xludf.DUMMYFUNCTION("""COMPUTED_VALUE"""),86.0)</f>
        <v>86</v>
      </c>
      <c r="BZ19" s="65">
        <f>IFERROR(__xludf.DUMMYFUNCTION("""COMPUTED_VALUE"""),1.0)</f>
        <v>1</v>
      </c>
      <c r="CA19" s="55"/>
      <c r="CB19" s="55"/>
      <c r="CC19" s="55"/>
      <c r="CD19" s="55"/>
      <c r="CE19" s="55"/>
      <c r="CF19" s="55"/>
      <c r="CG19" s="55"/>
      <c r="CH19" s="55"/>
    </row>
    <row r="20" ht="16.5" customHeight="1">
      <c r="A20" s="61">
        <f>IFERROR(__xludf.DUMMYFUNCTION("""COMPUTED_VALUE"""),16.0)</f>
        <v>16</v>
      </c>
      <c r="B20" s="61">
        <f>IFERROR(__xludf.DUMMYFUNCTION("""COMPUTED_VALUE"""),1.0)</f>
        <v>1</v>
      </c>
      <c r="C20" s="55"/>
      <c r="D20" s="55"/>
      <c r="E20" s="55"/>
      <c r="F20" s="61">
        <f>IFERROR(__xludf.DUMMYFUNCTION("""COMPUTED_VALUE"""),87.0)</f>
        <v>87</v>
      </c>
      <c r="G20" s="61" t="str">
        <f>IFERROR(__xludf.DUMMYFUNCTION("""COMPUTED_VALUE"""),"C")</f>
        <v>C</v>
      </c>
      <c r="H20" s="62">
        <f>IFERROR(__xludf.DUMMYFUNCTION("IFERROR(
  AVERAGE(FILTER(data!B$2:B1000, data!A$2:A1000=$F20, data!D$2:D1000=$G20, data!E$2:E1000=2))
  -
  AVERAGE(FILTER(data!B$2:B1000, data!A$2:A1000=$F20, data!D$2:D1000=$G20, data!E$2:E1000=1))
, """")
"),0.0)</f>
        <v>0</v>
      </c>
      <c r="I20" s="64" t="str">
        <f>IFERROR(__xludf.DUMMYFUNCTION("IFERROR(
  AVERAGE(FILTER(data!B$2:B1000, data!A$2:A1000=$F20, data!D$2:D1000=$G20, data!E$2:E1000=3))
  -
  AVERAGE(FILTER(data!B$2:B1000, data!A$2:A1000=$F20, data!D$2:D1000=$G20, data!E$2:E1000=2))
, """")
"),"")</f>
        <v/>
      </c>
      <c r="J20" s="64" t="str">
        <f>IFERROR(__xludf.DUMMYFUNCTION("IFERROR(
  AVERAGE(FILTER(data!B$2:B1000, data!A$2:A1000=$F20, data!D$2:D1000=$G20, data!E$2:E1000=3))
  -
  AVERAGE(FILTER(data!B$2:B1000, data!A$2:A1000=$F20, data!D$2:D1000=$G20, data!E$2:E1000=1))
, """")
"),"")</f>
        <v/>
      </c>
      <c r="K20" s="62">
        <f>IFERROR(__xludf.DUMMYFUNCTION("IFERROR(
  AVERAGE(FILTER(data!C$2:C1000, data!A$2:A1000=$F20, data!D$2:D1000=$G20, data!E$2:E1000=2))
  -
  AVERAGE(FILTER(data!C$2:C1000, data!A$2:A1000=$F20, data!D$2:D1000=$G20, data!E$2:E1000=1))
, """")
"),0.0)</f>
        <v>0</v>
      </c>
      <c r="L20" s="64" t="str">
        <f>IFERROR(__xludf.DUMMYFUNCTION("IFERROR(
  AVERAGE(FILTER(data!C$2:C1000, data!A$2:A1000=$F20, data!D$2:D1000=$G20, data!E$2:E1000=3))
  -
  AVERAGE(FILTER(data!C$2:C1000, data!A$2:A1000=$F20, data!D$2:D1000=$G20, data!E$2:E1000=2))
, """")
"),"")</f>
        <v/>
      </c>
      <c r="M20" s="64" t="str">
        <f>IFERROR(__xludf.DUMMYFUNCTION("IFERROR(
  AVERAGE(FILTER(data!C$2:C1000, data!A$2:A1000=$F20, data!D$2:D1000=$G20, data!E$2:E1000=3))
  -
  AVERAGE(FILTER(data!C$2:C1000, data!A$2:A1000=$F20, data!D$2:D1000=$G20, data!E$2:E1000=1))
, """")
"),"")</f>
        <v/>
      </c>
      <c r="N20" s="62">
        <f t="shared" ref="N20:P20" si="38">IF(H20="",,ABS(H20))
</f>
        <v>0</v>
      </c>
      <c r="O20" s="64" t="str">
        <f t="shared" si="38"/>
        <v/>
      </c>
      <c r="P20" s="64" t="str">
        <f t="shared" si="38"/>
        <v/>
      </c>
      <c r="Q20" s="64" t="str">
        <f t="shared" si="4"/>
        <v/>
      </c>
      <c r="R20" s="64" t="str">
        <f t="shared" ref="R20:S20" si="39">IF(L20="",,ABS(L20))
</f>
        <v/>
      </c>
      <c r="S20" s="64" t="str">
        <f t="shared" si="39"/>
        <v/>
      </c>
      <c r="T20" s="55"/>
      <c r="U20" s="61">
        <f>IFERROR(__xludf.DUMMYFUNCTION("""COMPUTED_VALUE"""),81.0)</f>
        <v>81</v>
      </c>
      <c r="V20" s="61" t="str">
        <f>IFERROR(__xludf.DUMMYFUNCTION("""COMPUTED_VALUE"""),"A")</f>
        <v>A</v>
      </c>
      <c r="W20" s="62">
        <f>IFERROR(__xludf.DUMMYFUNCTION("""COMPUTED_VALUE"""),5.5)</f>
        <v>5.5</v>
      </c>
      <c r="X20" s="62">
        <f>IFERROR(__xludf.DUMMYFUNCTION("""COMPUTED_VALUE"""),10.0)</f>
        <v>10</v>
      </c>
      <c r="Y20" s="55"/>
      <c r="Z20" s="55"/>
      <c r="AA20" s="55"/>
      <c r="AB20" s="64" t="str">
        <f>IFERROR(__xludf.DUMMYFUNCTION("IF(AA20="""",,COUNTUNIQUE(FILTER(data!D$2:D1000, data!E$2:E1000=3, data!A$2:A1000=AA20)))
"),"")</f>
        <v/>
      </c>
      <c r="AC20" s="64" t="str">
        <f>IFERROR(__xludf.DUMMYFUNCTION("IF(AA20="""",,ROUND(AVERAGE(FILTER(data!B$2:B1000, data!E$2:E1000=3, data!A$2:A1000=AA20)),2))
"),"")</f>
        <v/>
      </c>
      <c r="AD20" s="64" t="str">
        <f>IFERROR(__xludf.DUMMYFUNCTION("IF(AA20="""",,ROUND(AVERAGE(FILTER(data!C$2:C1000, data!E$2:E1000=3, data!A$2:A1000=AA20)),2))
"),"")</f>
        <v/>
      </c>
      <c r="AE20" s="64" t="str">
        <f>IFERROR(__xludf.DUMMYFUNCTION("IF(AA20="""",,
  MAX(FILTER(data!B$2:B1000, data!E$2:E1000=3, data!A$2:A1000=AA20))
 -MIN(FILTER(data!B$2:B1000, data!E$2:E1000=3, data!A$2:A1000=AA20))
)
"),"")</f>
        <v/>
      </c>
      <c r="AF20" s="64" t="str">
        <f>IFERROR(__xludf.DUMMYFUNCTION("IF(AA20="""",,
  MAX(FILTER(data!C$2:C1000, data!E$2:E1000=3, data!A$2:A1000=AA20))
 -MIN(FILTER(data!C$2:C1000, data!E$2:E1000=3, data!A$2:A1000=AA20))
)
"),"")</f>
        <v/>
      </c>
      <c r="AG20" s="55" t="str">
        <f t="shared" si="6"/>
        <v/>
      </c>
      <c r="AH20" s="55"/>
      <c r="AI20" s="64"/>
      <c r="AJ20" s="64"/>
      <c r="AK20" s="64"/>
      <c r="AL20" s="64"/>
      <c r="AM20" s="64"/>
      <c r="AN20" s="64"/>
      <c r="AO20" s="55"/>
      <c r="AP20" s="55"/>
      <c r="AQ20" s="64"/>
      <c r="AR20" s="64"/>
      <c r="AS20" s="64"/>
      <c r="AT20" s="64"/>
      <c r="AU20" s="64"/>
      <c r="AV20" s="55"/>
      <c r="AW20" s="55"/>
      <c r="AX20" s="64"/>
      <c r="AY20" s="64"/>
      <c r="AZ20" s="64"/>
      <c r="BA20" s="64"/>
      <c r="BB20" s="64"/>
      <c r="BC20" s="55"/>
      <c r="BD20" s="55"/>
      <c r="BE20" s="64"/>
      <c r="BF20" s="64" t="str">
        <f>IFERROR(__xludf.DUMMYFUNCTION("IF(BD20="""",,IFERROR(ROUND(AVERAGE(FILTER(data!B$2:B1000, (data!E$2:E1000&amp;"""")=""3"", (data!A$2:A1000&amp;"""")=(BD20&amp;""""))),2),""""))
"),"")</f>
        <v/>
      </c>
      <c r="BG20" s="64" t="str">
        <f>IFERROR(__xludf.DUMMYFUNCTION("IF(BD20="""",,IFERROR(ROUND(AVERAGE(FILTER(data!C$2:C1000, (data!E$2:E1000&amp;"""")=""3"", (data!A$2:A1000&amp;"""")=(BD20&amp;""""))),2),""""))
"),"")</f>
        <v/>
      </c>
      <c r="BH20" s="64" t="str">
        <f>IFERROR(__xludf.DUMMYFUNCTION("IF(BD20="""",,IFERROR(
  MAX(FILTER(data!B$2:B1000, (data!E$2:E1000&amp;"""")=""3"", (data!A$2:A1000&amp;"""")=(BD20&amp;"""")))
 -MIN(FILTER(data!B$2:B1000, (data!E$2:E1000&amp;"""")=""3"", (data!A$2:A1000&amp;"""")=(BD20&amp;"""")))
,""""))
"),"")</f>
        <v/>
      </c>
      <c r="BI20" s="64" t="str">
        <f>IFERROR(__xludf.DUMMYFUNCTION("IF(BD20="""",,IFERROR(
  MAX(FILTER(data!C$2:C1000, (data!E$2:E1000&amp;"""")=""3"", (data!A$2:A1000&amp;"""")=(BD20&amp;"""")))
 -MIN(FILTER(data!C$2:C1000, (data!E$2:E1000&amp;"""")=""3"", (data!A$2:A1000&amp;"""")=(BD20&amp;"""")))
,""""))
"),"")</f>
        <v/>
      </c>
      <c r="BJ20" s="64" t="str">
        <f t="shared" si="7"/>
        <v/>
      </c>
      <c r="BK20" s="55"/>
      <c r="BL20" s="65">
        <f>IFERROR(__xludf.DUMMYFUNCTION("""COMPUTED_VALUE"""),25.0)</f>
        <v>25</v>
      </c>
      <c r="BM20" s="65" t="str">
        <f>IFERROR(__xludf.DUMMYFUNCTION("""COMPUTED_VALUE"""),"E")</f>
        <v>E</v>
      </c>
      <c r="BN20" s="63">
        <f>IFERROR(__xludf.DUMMYFUNCTION("""COMPUTED_VALUE"""),4.0)</f>
        <v>4</v>
      </c>
      <c r="BO20" s="63">
        <f>IFERROR(__xludf.DUMMYFUNCTION("""COMPUTED_VALUE"""),3.5)</f>
        <v>3.5</v>
      </c>
      <c r="BP20" s="63">
        <f>IFERROR(__xludf.DUMMYFUNCTION("""COMPUTED_VALUE"""),3.5)</f>
        <v>3.5</v>
      </c>
      <c r="BQ20" s="63">
        <f>IFERROR(__xludf.DUMMYFUNCTION("""COMPUTED_VALUE"""),5.0)</f>
        <v>5</v>
      </c>
      <c r="BR20" s="63">
        <f>IFERROR(__xludf.DUMMYFUNCTION("""COMPUTED_VALUE"""),5.0)</f>
        <v>5</v>
      </c>
      <c r="BS20" s="63">
        <f>IFERROR(__xludf.DUMMYFUNCTION("""COMPUTED_VALUE"""),5.5)</f>
        <v>5.5</v>
      </c>
      <c r="BT20" s="63">
        <v>0.5</v>
      </c>
      <c r="BU20" s="63">
        <v>0.5</v>
      </c>
      <c r="BV20" s="67">
        <v>1.0</v>
      </c>
      <c r="BW20" s="65" t="b">
        <v>0</v>
      </c>
      <c r="BX20" s="55"/>
      <c r="BY20" s="65">
        <f>IFERROR(__xludf.DUMMYFUNCTION("""COMPUTED_VALUE"""),87.0)</f>
        <v>87</v>
      </c>
      <c r="BZ20" s="65">
        <f>IFERROR(__xludf.DUMMYFUNCTION("""COMPUTED_VALUE"""),1.0)</f>
        <v>1</v>
      </c>
      <c r="CA20" s="55"/>
      <c r="CB20" s="55"/>
      <c r="CC20" s="55"/>
      <c r="CD20" s="55"/>
      <c r="CE20" s="55"/>
      <c r="CF20" s="55"/>
      <c r="CG20" s="55"/>
      <c r="CH20" s="55"/>
    </row>
    <row r="21" ht="16.5" customHeight="1">
      <c r="A21" s="61">
        <f>IFERROR(__xludf.DUMMYFUNCTION("""COMPUTED_VALUE"""),19.0)</f>
        <v>19</v>
      </c>
      <c r="B21" s="61">
        <f>IFERROR(__xludf.DUMMYFUNCTION("""COMPUTED_VALUE"""),1.0)</f>
        <v>1</v>
      </c>
      <c r="C21" s="55"/>
      <c r="D21" s="55"/>
      <c r="E21" s="55"/>
      <c r="F21" s="61">
        <f>IFERROR(__xludf.DUMMYFUNCTION("""COMPUTED_VALUE"""),6.0)</f>
        <v>6</v>
      </c>
      <c r="G21" s="61" t="str">
        <f>IFERROR(__xludf.DUMMYFUNCTION("""COMPUTED_VALUE"""),"E")</f>
        <v>E</v>
      </c>
      <c r="H21" s="67">
        <f>IFERROR(__xludf.DUMMYFUNCTION("IFERROR(
  AVERAGE(FILTER(data!B$2:B1000, data!A$2:A1000=$F21, data!D$2:D1000=$G21, data!E$2:E1000=2))
  -
  AVERAGE(FILTER(data!B$2:B1000, data!A$2:A1000=$F21, data!D$2:D1000=$G21, data!E$2:E1000=1))
, """")
"),0.0)</f>
        <v>0</v>
      </c>
      <c r="I21" s="62">
        <f>IFERROR(__xludf.DUMMYFUNCTION("IFERROR(
  AVERAGE(FILTER(data!B$2:B1000, data!A$2:A1000=$F21, data!D$2:D1000=$G21, data!E$2:E1000=3))
  -
  AVERAGE(FILTER(data!B$2:B1000, data!A$2:A1000=$F21, data!D$2:D1000=$G21, data!E$2:E1000=2))
, """")
"),0.0)</f>
        <v>0</v>
      </c>
      <c r="J21" s="67">
        <f>IFERROR(__xludf.DUMMYFUNCTION("IFERROR(
  AVERAGE(FILTER(data!B$2:B1000, data!A$2:A1000=$F21, data!D$2:D1000=$G21, data!E$2:E1000=3))
  -
  AVERAGE(FILTER(data!B$2:B1000, data!A$2:A1000=$F21, data!D$2:D1000=$G21, data!E$2:E1000=1))
, """")
"),0.0)</f>
        <v>0</v>
      </c>
      <c r="K21" s="67">
        <f>IFERROR(__xludf.DUMMYFUNCTION("IFERROR(
  AVERAGE(FILTER(data!C$2:C1000, data!A$2:A1000=$F21, data!D$2:D1000=$G21, data!E$2:E1000=2))
  -
  AVERAGE(FILTER(data!C$2:C1000, data!A$2:A1000=$F21, data!D$2:D1000=$G21, data!E$2:E1000=1))
, """")
"),-0.5)</f>
        <v>-0.5</v>
      </c>
      <c r="L21" s="62">
        <f>IFERROR(__xludf.DUMMYFUNCTION("IFERROR(
  AVERAGE(FILTER(data!C$2:C1000, data!A$2:A1000=$F21, data!D$2:D1000=$G21, data!E$2:E1000=3))
  -
  AVERAGE(FILTER(data!C$2:C1000, data!A$2:A1000=$F21, data!D$2:D1000=$G21, data!E$2:E1000=2))
, """")
"),0.0)</f>
        <v>0</v>
      </c>
      <c r="M21" s="67">
        <f>IFERROR(__xludf.DUMMYFUNCTION("IFERROR(
  AVERAGE(FILTER(data!C$2:C1000, data!A$2:A1000=$F21, data!D$2:D1000=$G21, data!E$2:E1000=3))
  -
  AVERAGE(FILTER(data!C$2:C1000, data!A$2:A1000=$F21, data!D$2:D1000=$G21, data!E$2:E1000=1))
, """")
"),-0.5)</f>
        <v>-0.5</v>
      </c>
      <c r="N21" s="67">
        <f t="shared" ref="N21:P21" si="40">IF(H21="",,ABS(H21))
</f>
        <v>0</v>
      </c>
      <c r="O21" s="62">
        <f t="shared" si="40"/>
        <v>0</v>
      </c>
      <c r="P21" s="67">
        <f t="shared" si="40"/>
        <v>0</v>
      </c>
      <c r="Q21" s="62">
        <f t="shared" si="4"/>
        <v>0</v>
      </c>
      <c r="R21" s="62">
        <f t="shared" ref="R21:S21" si="41">IF(L21="",,ABS(L21))
</f>
        <v>0</v>
      </c>
      <c r="S21" s="67">
        <f t="shared" si="41"/>
        <v>0.5</v>
      </c>
      <c r="T21" s="55"/>
      <c r="U21" s="61">
        <f>IFERROR(__xludf.DUMMYFUNCTION("""COMPUTED_VALUE"""),84.0)</f>
        <v>84</v>
      </c>
      <c r="V21" s="61" t="str">
        <f>IFERROR(__xludf.DUMMYFUNCTION("""COMPUTED_VALUE"""),"A")</f>
        <v>A</v>
      </c>
      <c r="W21" s="62">
        <f>IFERROR(__xludf.DUMMYFUNCTION("""COMPUTED_VALUE"""),9.0)</f>
        <v>9</v>
      </c>
      <c r="X21" s="62">
        <f>IFERROR(__xludf.DUMMYFUNCTION("""COMPUTED_VALUE"""),10.0)</f>
        <v>10</v>
      </c>
      <c r="Y21" s="55"/>
      <c r="Z21" s="55"/>
      <c r="AA21" s="55"/>
      <c r="AB21" s="64" t="str">
        <f>IFERROR(__xludf.DUMMYFUNCTION("IF(AA21="""",,COUNTUNIQUE(FILTER(data!D$2:D1000, data!E$2:E1000=3, data!A$2:A1000=AA21)))
"),"")</f>
        <v/>
      </c>
      <c r="AC21" s="64" t="str">
        <f>IFERROR(__xludf.DUMMYFUNCTION("IF(AA21="""",,ROUND(AVERAGE(FILTER(data!B$2:B1000, data!E$2:E1000=3, data!A$2:A1000=AA21)),2))
"),"")</f>
        <v/>
      </c>
      <c r="AD21" s="64" t="str">
        <f>IFERROR(__xludf.DUMMYFUNCTION("IF(AA21="""",,ROUND(AVERAGE(FILTER(data!C$2:C1000, data!E$2:E1000=3, data!A$2:A1000=AA21)),2))
"),"")</f>
        <v/>
      </c>
      <c r="AE21" s="64" t="str">
        <f>IFERROR(__xludf.DUMMYFUNCTION("IF(AA21="""",,
  MAX(FILTER(data!B$2:B1000, data!E$2:E1000=3, data!A$2:A1000=AA21))
 -MIN(FILTER(data!B$2:B1000, data!E$2:E1000=3, data!A$2:A1000=AA21))
)
"),"")</f>
        <v/>
      </c>
      <c r="AF21" s="64" t="str">
        <f>IFERROR(__xludf.DUMMYFUNCTION("IF(AA21="""",,
  MAX(FILTER(data!C$2:C1000, data!E$2:E1000=3, data!A$2:A1000=AA21))
 -MIN(FILTER(data!C$2:C1000, data!E$2:E1000=3, data!A$2:A1000=AA21))
)
"),"")</f>
        <v/>
      </c>
      <c r="AG21" s="55" t="str">
        <f t="shared" si="6"/>
        <v/>
      </c>
      <c r="AH21" s="55"/>
      <c r="AI21" s="64"/>
      <c r="AJ21" s="64"/>
      <c r="AK21" s="64"/>
      <c r="AL21" s="64"/>
      <c r="AM21" s="64"/>
      <c r="AN21" s="64"/>
      <c r="AO21" s="55"/>
      <c r="AP21" s="55"/>
      <c r="AQ21" s="64"/>
      <c r="AR21" s="64"/>
      <c r="AS21" s="64"/>
      <c r="AT21" s="64"/>
      <c r="AU21" s="64"/>
      <c r="AV21" s="55"/>
      <c r="AW21" s="55"/>
      <c r="AX21" s="64"/>
      <c r="AY21" s="64"/>
      <c r="AZ21" s="64"/>
      <c r="BA21" s="64"/>
      <c r="BB21" s="64"/>
      <c r="BC21" s="55"/>
      <c r="BD21" s="55"/>
      <c r="BE21" s="64"/>
      <c r="BF21" s="64" t="str">
        <f>IFERROR(__xludf.DUMMYFUNCTION("IF(BD21="""",,IFERROR(ROUND(AVERAGE(FILTER(data!B$2:B1000, (data!E$2:E1000&amp;"""")=""3"", (data!A$2:A1000&amp;"""")=(BD21&amp;""""))),2),""""))
"),"")</f>
        <v/>
      </c>
      <c r="BG21" s="64" t="str">
        <f>IFERROR(__xludf.DUMMYFUNCTION("IF(BD21="""",,IFERROR(ROUND(AVERAGE(FILTER(data!C$2:C1000, (data!E$2:E1000&amp;"""")=""3"", (data!A$2:A1000&amp;"""")=(BD21&amp;""""))),2),""""))
"),"")</f>
        <v/>
      </c>
      <c r="BH21" s="64" t="str">
        <f>IFERROR(__xludf.DUMMYFUNCTION("IF(BD21="""",,IFERROR(
  MAX(FILTER(data!B$2:B1000, (data!E$2:E1000&amp;"""")=""3"", (data!A$2:A1000&amp;"""")=(BD21&amp;"""")))
 -MIN(FILTER(data!B$2:B1000, (data!E$2:E1000&amp;"""")=""3"", (data!A$2:A1000&amp;"""")=(BD21&amp;"""")))
,""""))
"),"")</f>
        <v/>
      </c>
      <c r="BI21" s="64" t="str">
        <f>IFERROR(__xludf.DUMMYFUNCTION("IF(BD21="""",,IFERROR(
  MAX(FILTER(data!C$2:C1000, (data!E$2:E1000&amp;"""")=""3"", (data!A$2:A1000&amp;"""")=(BD21&amp;"""")))
 -MIN(FILTER(data!C$2:C1000, (data!E$2:E1000&amp;"""")=""3"", (data!A$2:A1000&amp;"""")=(BD21&amp;"""")))
,""""))
"),"")</f>
        <v/>
      </c>
      <c r="BJ21" s="64" t="str">
        <f t="shared" si="7"/>
        <v/>
      </c>
      <c r="BK21" s="55"/>
      <c r="BL21" s="65">
        <f>IFERROR(__xludf.DUMMYFUNCTION("""COMPUTED_VALUE"""),26.0)</f>
        <v>26</v>
      </c>
      <c r="BM21" s="65" t="str">
        <f>IFERROR(__xludf.DUMMYFUNCTION("""COMPUTED_VALUE"""),"C")</f>
        <v>C</v>
      </c>
      <c r="BN21" s="63">
        <f>IFERROR(__xludf.DUMMYFUNCTION("""COMPUTED_VALUE"""),3.0)</f>
        <v>3</v>
      </c>
      <c r="BO21" s="63">
        <f>IFERROR(__xludf.DUMMYFUNCTION("""COMPUTED_VALUE"""),3.0)</f>
        <v>3</v>
      </c>
      <c r="BP21" s="64"/>
      <c r="BQ21" s="63">
        <f>IFERROR(__xludf.DUMMYFUNCTION("""COMPUTED_VALUE"""),6.0)</f>
        <v>6</v>
      </c>
      <c r="BR21" s="63">
        <f>IFERROR(__xludf.DUMMYFUNCTION("""COMPUTED_VALUE"""),6.0)</f>
        <v>6</v>
      </c>
      <c r="BS21" s="64"/>
      <c r="BT21" s="63">
        <v>0.0</v>
      </c>
      <c r="BU21" s="64"/>
      <c r="BV21" s="67">
        <v>0.0</v>
      </c>
      <c r="BW21" s="65" t="b">
        <v>0</v>
      </c>
      <c r="BX21" s="55"/>
      <c r="BY21" s="65">
        <f>IFERROR(__xludf.DUMMYFUNCTION("""COMPUTED_VALUE"""),5.0)</f>
        <v>5</v>
      </c>
      <c r="BZ21" s="65">
        <f>IFERROR(__xludf.DUMMYFUNCTION("""COMPUTED_VALUE"""),0.5)</f>
        <v>0.5</v>
      </c>
      <c r="CA21" s="55"/>
      <c r="CB21" s="55"/>
      <c r="CC21" s="55"/>
      <c r="CD21" s="55"/>
      <c r="CE21" s="55"/>
      <c r="CF21" s="55"/>
      <c r="CG21" s="55"/>
      <c r="CH21" s="55"/>
    </row>
    <row r="22" ht="16.5" customHeight="1">
      <c r="A22" s="61">
        <f>IFERROR(__xludf.DUMMYFUNCTION("""COMPUTED_VALUE"""),26.0)</f>
        <v>26</v>
      </c>
      <c r="B22" s="61">
        <f>IFERROR(__xludf.DUMMYFUNCTION("""COMPUTED_VALUE"""),1.0)</f>
        <v>1</v>
      </c>
      <c r="C22" s="55"/>
      <c r="D22" s="55"/>
      <c r="E22" s="55"/>
      <c r="F22" s="61">
        <f>IFERROR(__xludf.DUMMYFUNCTION("""COMPUTED_VALUE"""),12.0)</f>
        <v>12</v>
      </c>
      <c r="G22" s="61" t="str">
        <f>IFERROR(__xludf.DUMMYFUNCTION("""COMPUTED_VALUE"""),"E")</f>
        <v>E</v>
      </c>
      <c r="H22" s="67">
        <f>IFERROR(__xludf.DUMMYFUNCTION("IFERROR(
  AVERAGE(FILTER(data!B$2:B1000, data!A$2:A1000=$F22, data!D$2:D1000=$G22, data!E$2:E1000=2))
  -
  AVERAGE(FILTER(data!B$2:B1000, data!A$2:A1000=$F22, data!D$2:D1000=$G22, data!E$2:E1000=1))
, """")
"),0.5)</f>
        <v>0.5</v>
      </c>
      <c r="I22" s="62">
        <f>IFERROR(__xludf.DUMMYFUNCTION("IFERROR(
  AVERAGE(FILTER(data!B$2:B1000, data!A$2:A1000=$F22, data!D$2:D1000=$G22, data!E$2:E1000=3))
  -
  AVERAGE(FILTER(data!B$2:B1000, data!A$2:A1000=$F22, data!D$2:D1000=$G22, data!E$2:E1000=2))
, """")
"),0.0)</f>
        <v>0</v>
      </c>
      <c r="J22" s="67">
        <f>IFERROR(__xludf.DUMMYFUNCTION("IFERROR(
  AVERAGE(FILTER(data!B$2:B1000, data!A$2:A1000=$F22, data!D$2:D1000=$G22, data!E$2:E1000=3))
  -
  AVERAGE(FILTER(data!B$2:B1000, data!A$2:A1000=$F22, data!D$2:D1000=$G22, data!E$2:E1000=1))
, """")
"),0.5)</f>
        <v>0.5</v>
      </c>
      <c r="K22" s="67">
        <f>IFERROR(__xludf.DUMMYFUNCTION("IFERROR(
  AVERAGE(FILTER(data!C$2:C1000, data!A$2:A1000=$F22, data!D$2:D1000=$G22, data!E$2:E1000=2))
  -
  AVERAGE(FILTER(data!C$2:C1000, data!A$2:A1000=$F22, data!D$2:D1000=$G22, data!E$2:E1000=1))
, """")
"),0.0)</f>
        <v>0</v>
      </c>
      <c r="L22" s="62">
        <f>IFERROR(__xludf.DUMMYFUNCTION("IFERROR(
  AVERAGE(FILTER(data!C$2:C1000, data!A$2:A1000=$F22, data!D$2:D1000=$G22, data!E$2:E1000=3))
  -
  AVERAGE(FILTER(data!C$2:C1000, data!A$2:A1000=$F22, data!D$2:D1000=$G22, data!E$2:E1000=2))
, """")
"),0.0)</f>
        <v>0</v>
      </c>
      <c r="M22" s="67">
        <f>IFERROR(__xludf.DUMMYFUNCTION("IFERROR(
  AVERAGE(FILTER(data!C$2:C1000, data!A$2:A1000=$F22, data!D$2:D1000=$G22, data!E$2:E1000=3))
  -
  AVERAGE(FILTER(data!C$2:C1000, data!A$2:A1000=$F22, data!D$2:D1000=$G22, data!E$2:E1000=1))
, """")
"),0.0)</f>
        <v>0</v>
      </c>
      <c r="N22" s="67">
        <f t="shared" ref="N22:P22" si="42">IF(H22="",,ABS(H22))
</f>
        <v>0.5</v>
      </c>
      <c r="O22" s="62">
        <f t="shared" si="42"/>
        <v>0</v>
      </c>
      <c r="P22" s="67">
        <f t="shared" si="42"/>
        <v>0.5</v>
      </c>
      <c r="Q22" s="62">
        <f t="shared" si="4"/>
        <v>0</v>
      </c>
      <c r="R22" s="62">
        <f t="shared" ref="R22:S22" si="43">IF(L22="",,ABS(L22))
</f>
        <v>0</v>
      </c>
      <c r="S22" s="67">
        <f t="shared" si="43"/>
        <v>0</v>
      </c>
      <c r="T22" s="55"/>
      <c r="U22" s="61">
        <f>IFERROR(__xludf.DUMMYFUNCTION("""COMPUTED_VALUE"""),85.0)</f>
        <v>85</v>
      </c>
      <c r="V22" s="61" t="str">
        <f>IFERROR(__xludf.DUMMYFUNCTION("""COMPUTED_VALUE"""),"A")</f>
        <v>A</v>
      </c>
      <c r="W22" s="62">
        <f>IFERROR(__xludf.DUMMYFUNCTION("""COMPUTED_VALUE"""),7.0)</f>
        <v>7</v>
      </c>
      <c r="X22" s="62">
        <f>IFERROR(__xludf.DUMMYFUNCTION("""COMPUTED_VALUE"""),6.0)</f>
        <v>6</v>
      </c>
      <c r="Y22" s="55"/>
      <c r="Z22" s="55"/>
      <c r="AA22" s="55"/>
      <c r="AB22" s="64" t="str">
        <f>IFERROR(__xludf.DUMMYFUNCTION("IF(AA22="""",,COUNTUNIQUE(FILTER(data!D$2:D1000, data!E$2:E1000=3, data!A$2:A1000=AA22)))
"),"")</f>
        <v/>
      </c>
      <c r="AC22" s="64" t="str">
        <f>IFERROR(__xludf.DUMMYFUNCTION("IF(AA22="""",,ROUND(AVERAGE(FILTER(data!B$2:B1000, data!E$2:E1000=3, data!A$2:A1000=AA22)),2))
"),"")</f>
        <v/>
      </c>
      <c r="AD22" s="64" t="str">
        <f>IFERROR(__xludf.DUMMYFUNCTION("IF(AA22="""",,ROUND(AVERAGE(FILTER(data!C$2:C1000, data!E$2:E1000=3, data!A$2:A1000=AA22)),2))
"),"")</f>
        <v/>
      </c>
      <c r="AE22" s="64" t="str">
        <f>IFERROR(__xludf.DUMMYFUNCTION("IF(AA22="""",,
  MAX(FILTER(data!B$2:B1000, data!E$2:E1000=3, data!A$2:A1000=AA22))
 -MIN(FILTER(data!B$2:B1000, data!E$2:E1000=3, data!A$2:A1000=AA22))
)
"),"")</f>
        <v/>
      </c>
      <c r="AF22" s="64" t="str">
        <f>IFERROR(__xludf.DUMMYFUNCTION("IF(AA22="""",,
  MAX(FILTER(data!C$2:C1000, data!E$2:E1000=3, data!A$2:A1000=AA22))
 -MIN(FILTER(data!C$2:C1000, data!E$2:E1000=3, data!A$2:A1000=AA22))
)
"),"")</f>
        <v/>
      </c>
      <c r="AG22" s="55" t="str">
        <f t="shared" si="6"/>
        <v/>
      </c>
      <c r="AH22" s="55"/>
      <c r="AI22" s="64"/>
      <c r="AJ22" s="64"/>
      <c r="AK22" s="64"/>
      <c r="AL22" s="64"/>
      <c r="AM22" s="64"/>
      <c r="AN22" s="64"/>
      <c r="AO22" s="55"/>
      <c r="AP22" s="55"/>
      <c r="AQ22" s="64"/>
      <c r="AR22" s="64"/>
      <c r="AS22" s="64"/>
      <c r="AT22" s="64"/>
      <c r="AU22" s="64"/>
      <c r="AV22" s="55"/>
      <c r="AW22" s="55"/>
      <c r="AX22" s="64"/>
      <c r="AY22" s="64"/>
      <c r="AZ22" s="64"/>
      <c r="BA22" s="64"/>
      <c r="BB22" s="64"/>
      <c r="BC22" s="55"/>
      <c r="BD22" s="55"/>
      <c r="BE22" s="64"/>
      <c r="BF22" s="64" t="str">
        <f>IFERROR(__xludf.DUMMYFUNCTION("IF(BD22="""",,IFERROR(ROUND(AVERAGE(FILTER(data!B$2:B1000, (data!E$2:E1000&amp;"""")=""3"", (data!A$2:A1000&amp;"""")=(BD22&amp;""""))),2),""""))
"),"")</f>
        <v/>
      </c>
      <c r="BG22" s="64" t="str">
        <f>IFERROR(__xludf.DUMMYFUNCTION("IF(BD22="""",,IFERROR(ROUND(AVERAGE(FILTER(data!C$2:C1000, (data!E$2:E1000&amp;"""")=""3"", (data!A$2:A1000&amp;"""")=(BD22&amp;""""))),2),""""))
"),"")</f>
        <v/>
      </c>
      <c r="BH22" s="64" t="str">
        <f>IFERROR(__xludf.DUMMYFUNCTION("IF(BD22="""",,IFERROR(
  MAX(FILTER(data!B$2:B1000, (data!E$2:E1000&amp;"""")=""3"", (data!A$2:A1000&amp;"""")=(BD22&amp;"""")))
 -MIN(FILTER(data!B$2:B1000, (data!E$2:E1000&amp;"""")=""3"", (data!A$2:A1000&amp;"""")=(BD22&amp;"""")))
,""""))
"),"")</f>
        <v/>
      </c>
      <c r="BI22" s="64" t="str">
        <f>IFERROR(__xludf.DUMMYFUNCTION("IF(BD22="""",,IFERROR(
  MAX(FILTER(data!C$2:C1000, (data!E$2:E1000&amp;"""")=""3"", (data!A$2:A1000&amp;"""")=(BD22&amp;"""")))
 -MIN(FILTER(data!C$2:C1000, (data!E$2:E1000&amp;"""")=""3"", (data!A$2:A1000&amp;"""")=(BD22&amp;"""")))
,""""))
"),"")</f>
        <v/>
      </c>
      <c r="BJ22" s="64" t="str">
        <f t="shared" si="7"/>
        <v/>
      </c>
      <c r="BK22" s="55"/>
      <c r="BL22" s="65">
        <f>IFERROR(__xludf.DUMMYFUNCTION("""COMPUTED_VALUE"""),26.0)</f>
        <v>26</v>
      </c>
      <c r="BM22" s="65" t="str">
        <f>IFERROR(__xludf.DUMMYFUNCTION("""COMPUTED_VALUE"""),"E")</f>
        <v>E</v>
      </c>
      <c r="BN22" s="64"/>
      <c r="BO22" s="63">
        <f>IFERROR(__xludf.DUMMYFUNCTION("""COMPUTED_VALUE"""),5.0)</f>
        <v>5</v>
      </c>
      <c r="BP22" s="63">
        <f>IFERROR(__xludf.DUMMYFUNCTION("""COMPUTED_VALUE"""),5.0)</f>
        <v>5</v>
      </c>
      <c r="BQ22" s="64"/>
      <c r="BR22" s="63">
        <f>IFERROR(__xludf.DUMMYFUNCTION("""COMPUTED_VALUE"""),3.0)</f>
        <v>3</v>
      </c>
      <c r="BS22" s="63">
        <f>IFERROR(__xludf.DUMMYFUNCTION("""COMPUTED_VALUE"""),3.0)</f>
        <v>3</v>
      </c>
      <c r="BT22" s="64"/>
      <c r="BU22" s="63">
        <v>0.0</v>
      </c>
      <c r="BV22" s="67">
        <v>0.0</v>
      </c>
      <c r="BW22" s="65" t="b">
        <v>0</v>
      </c>
      <c r="BX22" s="55"/>
      <c r="BY22" s="65">
        <f>IFERROR(__xludf.DUMMYFUNCTION("""COMPUTED_VALUE"""),6.0)</f>
        <v>6</v>
      </c>
      <c r="BZ22" s="65">
        <f>IFERROR(__xludf.DUMMYFUNCTION("""COMPUTED_VALUE"""),0.5)</f>
        <v>0.5</v>
      </c>
      <c r="CA22" s="55"/>
      <c r="CB22" s="55"/>
      <c r="CC22" s="55"/>
      <c r="CD22" s="55"/>
      <c r="CE22" s="55"/>
      <c r="CF22" s="55"/>
      <c r="CG22" s="55"/>
      <c r="CH22" s="55"/>
    </row>
    <row r="23" ht="16.5" customHeight="1">
      <c r="A23" s="61">
        <f>IFERROR(__xludf.DUMMYFUNCTION("""COMPUTED_VALUE"""),27.0)</f>
        <v>27</v>
      </c>
      <c r="B23" s="61">
        <f>IFERROR(__xludf.DUMMYFUNCTION("""COMPUTED_VALUE"""),1.0)</f>
        <v>1</v>
      </c>
      <c r="C23" s="55"/>
      <c r="D23" s="55"/>
      <c r="E23" s="55"/>
      <c r="F23" s="61">
        <f>IFERROR(__xludf.DUMMYFUNCTION("""COMPUTED_VALUE"""),25.0)</f>
        <v>25</v>
      </c>
      <c r="G23" s="61" t="str">
        <f>IFERROR(__xludf.DUMMYFUNCTION("""COMPUTED_VALUE"""),"E")</f>
        <v>E</v>
      </c>
      <c r="H23" s="62">
        <f>IFERROR(__xludf.DUMMYFUNCTION("IFERROR(
  AVERAGE(FILTER(data!B$2:B1000, data!A$2:A1000=$F23, data!D$2:D1000=$G23, data!E$2:E1000=2))
  -
  AVERAGE(FILTER(data!B$2:B1000, data!A$2:A1000=$F23, data!D$2:D1000=$G23, data!E$2:E1000=1))
, """")
"),-0.5)</f>
        <v>-0.5</v>
      </c>
      <c r="I23" s="62">
        <f>IFERROR(__xludf.DUMMYFUNCTION("IFERROR(
  AVERAGE(FILTER(data!B$2:B1000, data!A$2:A1000=$F23, data!D$2:D1000=$G23, data!E$2:E1000=3))
  -
  AVERAGE(FILTER(data!B$2:B1000, data!A$2:A1000=$F23, data!D$2:D1000=$G23, data!E$2:E1000=2))
, """")
"),0.0)</f>
        <v>0</v>
      </c>
      <c r="J23" s="62">
        <f>IFERROR(__xludf.DUMMYFUNCTION("IFERROR(
  AVERAGE(FILTER(data!B$2:B1000, data!A$2:A1000=$F23, data!D$2:D1000=$G23, data!E$2:E1000=3))
  -
  AVERAGE(FILTER(data!B$2:B1000, data!A$2:A1000=$F23, data!D$2:D1000=$G23, data!E$2:E1000=1))
, """")
"),-0.5)</f>
        <v>-0.5</v>
      </c>
      <c r="K23" s="62">
        <f>IFERROR(__xludf.DUMMYFUNCTION("IFERROR(
  AVERAGE(FILTER(data!C$2:C1000, data!A$2:A1000=$F23, data!D$2:D1000=$G23, data!E$2:E1000=2))
  -
  AVERAGE(FILTER(data!C$2:C1000, data!A$2:A1000=$F23, data!D$2:D1000=$G23, data!E$2:E1000=1))
, """")
"),0.0)</f>
        <v>0</v>
      </c>
      <c r="L23" s="62">
        <f>IFERROR(__xludf.DUMMYFUNCTION("IFERROR(
  AVERAGE(FILTER(data!C$2:C1000, data!A$2:A1000=$F23, data!D$2:D1000=$G23, data!E$2:E1000=3))
  -
  AVERAGE(FILTER(data!C$2:C1000, data!A$2:A1000=$F23, data!D$2:D1000=$G23, data!E$2:E1000=2))
, """")
"),0.5)</f>
        <v>0.5</v>
      </c>
      <c r="M23" s="62">
        <f>IFERROR(__xludf.DUMMYFUNCTION("IFERROR(
  AVERAGE(FILTER(data!C$2:C1000, data!A$2:A1000=$F23, data!D$2:D1000=$G23, data!E$2:E1000=3))
  -
  AVERAGE(FILTER(data!C$2:C1000, data!A$2:A1000=$F23, data!D$2:D1000=$G23, data!E$2:E1000=1))
, """")
"),0.5)</f>
        <v>0.5</v>
      </c>
      <c r="N23" s="62">
        <f t="shared" ref="N23:P23" si="44">IF(H23="",,ABS(H23))
</f>
        <v>0.5</v>
      </c>
      <c r="O23" s="62">
        <f t="shared" si="44"/>
        <v>0</v>
      </c>
      <c r="P23" s="62">
        <f t="shared" si="44"/>
        <v>0.5</v>
      </c>
      <c r="Q23" s="62">
        <f t="shared" si="4"/>
        <v>0.5</v>
      </c>
      <c r="R23" s="62">
        <f t="shared" ref="R23:S23" si="45">IF(L23="",,ABS(L23))
</f>
        <v>0.5</v>
      </c>
      <c r="S23" s="62">
        <f t="shared" si="45"/>
        <v>0.5</v>
      </c>
      <c r="T23" s="55"/>
      <c r="U23" s="55"/>
      <c r="V23" s="55"/>
      <c r="W23" s="64"/>
      <c r="X23" s="64"/>
      <c r="Y23" s="55"/>
      <c r="Z23" s="55"/>
      <c r="AA23" s="55"/>
      <c r="AB23" s="64" t="str">
        <f>IFERROR(__xludf.DUMMYFUNCTION("IF(AA23="""",,COUNTUNIQUE(FILTER(data!D$2:D1000, data!E$2:E1000=3, data!A$2:A1000=AA23)))
"),"")</f>
        <v/>
      </c>
      <c r="AC23" s="64" t="str">
        <f>IFERROR(__xludf.DUMMYFUNCTION("IF(AA23="""",,ROUND(AVERAGE(FILTER(data!B$2:B1000, data!E$2:E1000=3, data!A$2:A1000=AA23)),2))
"),"")</f>
        <v/>
      </c>
      <c r="AD23" s="64" t="str">
        <f>IFERROR(__xludf.DUMMYFUNCTION("IF(AA23="""",,ROUND(AVERAGE(FILTER(data!C$2:C1000, data!E$2:E1000=3, data!A$2:A1000=AA23)),2))
"),"")</f>
        <v/>
      </c>
      <c r="AE23" s="64" t="str">
        <f>IFERROR(__xludf.DUMMYFUNCTION("IF(AA23="""",,
  MAX(FILTER(data!B$2:B1000, data!E$2:E1000=3, data!A$2:A1000=AA23))
 -MIN(FILTER(data!B$2:B1000, data!E$2:E1000=3, data!A$2:A1000=AA23))
)
"),"")</f>
        <v/>
      </c>
      <c r="AF23" s="64" t="str">
        <f>IFERROR(__xludf.DUMMYFUNCTION("IF(AA23="""",,
  MAX(FILTER(data!C$2:C1000, data!E$2:E1000=3, data!A$2:A1000=AA23))
 -MIN(FILTER(data!C$2:C1000, data!E$2:E1000=3, data!A$2:A1000=AA23))
)
"),"")</f>
        <v/>
      </c>
      <c r="AG23" s="55" t="str">
        <f t="shared" si="6"/>
        <v/>
      </c>
      <c r="AH23" s="55"/>
      <c r="AI23" s="64"/>
      <c r="AJ23" s="64"/>
      <c r="AK23" s="64"/>
      <c r="AL23" s="64"/>
      <c r="AM23" s="64"/>
      <c r="AN23" s="64"/>
      <c r="AO23" s="55"/>
      <c r="AP23" s="55"/>
      <c r="AQ23" s="64"/>
      <c r="AR23" s="64"/>
      <c r="AS23" s="64"/>
      <c r="AT23" s="64"/>
      <c r="AU23" s="64"/>
      <c r="AV23" s="55"/>
      <c r="AW23" s="55"/>
      <c r="AX23" s="64"/>
      <c r="AY23" s="64"/>
      <c r="AZ23" s="64"/>
      <c r="BA23" s="64"/>
      <c r="BB23" s="64"/>
      <c r="BC23" s="55"/>
      <c r="BD23" s="55"/>
      <c r="BE23" s="64"/>
      <c r="BF23" s="64" t="str">
        <f>IFERROR(__xludf.DUMMYFUNCTION("IF(BD23="""",,IFERROR(ROUND(AVERAGE(FILTER(data!B$2:B1000, (data!E$2:E1000&amp;"""")=""3"", (data!A$2:A1000&amp;"""")=(BD23&amp;""""))),2),""""))
"),"")</f>
        <v/>
      </c>
      <c r="BG23" s="64" t="str">
        <f>IFERROR(__xludf.DUMMYFUNCTION("IF(BD23="""",,IFERROR(ROUND(AVERAGE(FILTER(data!C$2:C1000, (data!E$2:E1000&amp;"""")=""3"", (data!A$2:A1000&amp;"""")=(BD23&amp;""""))),2),""""))
"),"")</f>
        <v/>
      </c>
      <c r="BH23" s="64" t="str">
        <f>IFERROR(__xludf.DUMMYFUNCTION("IF(BD23="""",,IFERROR(
  MAX(FILTER(data!B$2:B1000, (data!E$2:E1000&amp;"""")=""3"", (data!A$2:A1000&amp;"""")=(BD23&amp;"""")))
 -MIN(FILTER(data!B$2:B1000, (data!E$2:E1000&amp;"""")=""3"", (data!A$2:A1000&amp;"""")=(BD23&amp;"""")))
,""""))
"),"")</f>
        <v/>
      </c>
      <c r="BI23" s="64" t="str">
        <f>IFERROR(__xludf.DUMMYFUNCTION("IF(BD23="""",,IFERROR(
  MAX(FILTER(data!C$2:C1000, (data!E$2:E1000&amp;"""")=""3"", (data!A$2:A1000&amp;"""")=(BD23&amp;"""")))
 -MIN(FILTER(data!C$2:C1000, (data!E$2:E1000&amp;"""")=""3"", (data!A$2:A1000&amp;"""")=(BD23&amp;"""")))
,""""))
"),"")</f>
        <v/>
      </c>
      <c r="BJ23" s="64" t="str">
        <f t="shared" si="7"/>
        <v/>
      </c>
      <c r="BK23" s="55"/>
      <c r="BL23" s="65">
        <f>IFERROR(__xludf.DUMMYFUNCTION("""COMPUTED_VALUE"""),27.0)</f>
        <v>27</v>
      </c>
      <c r="BM23" s="65" t="str">
        <f>IFERROR(__xludf.DUMMYFUNCTION("""COMPUTED_VALUE"""),"B")</f>
        <v>B</v>
      </c>
      <c r="BN23" s="63">
        <f>IFERROR(__xludf.DUMMYFUNCTION("""COMPUTED_VALUE"""),9.5)</f>
        <v>9.5</v>
      </c>
      <c r="BO23" s="63">
        <f>IFERROR(__xludf.DUMMYFUNCTION("""COMPUTED_VALUE"""),9.5)</f>
        <v>9.5</v>
      </c>
      <c r="BP23" s="63">
        <f>IFERROR(__xludf.DUMMYFUNCTION("""COMPUTED_VALUE"""),9.5)</f>
        <v>9.5</v>
      </c>
      <c r="BQ23" s="63">
        <f>IFERROR(__xludf.DUMMYFUNCTION("""COMPUTED_VALUE"""),9.0)</f>
        <v>9</v>
      </c>
      <c r="BR23" s="63">
        <f>IFERROR(__xludf.DUMMYFUNCTION("""COMPUTED_VALUE"""),9.0)</f>
        <v>9</v>
      </c>
      <c r="BS23" s="63">
        <f>IFERROR(__xludf.DUMMYFUNCTION("""COMPUTED_VALUE"""),9.0)</f>
        <v>9</v>
      </c>
      <c r="BT23" s="63">
        <v>0.0</v>
      </c>
      <c r="BU23" s="63">
        <v>0.0</v>
      </c>
      <c r="BV23" s="67">
        <v>0.0</v>
      </c>
      <c r="BW23" s="65" t="b">
        <v>0</v>
      </c>
      <c r="BX23" s="55"/>
      <c r="BY23" s="65">
        <f>IFERROR(__xludf.DUMMYFUNCTION("""COMPUTED_VALUE"""),47.0)</f>
        <v>47</v>
      </c>
      <c r="BZ23" s="65">
        <f>IFERROR(__xludf.DUMMYFUNCTION("""COMPUTED_VALUE"""),0.5)</f>
        <v>0.5</v>
      </c>
      <c r="CA23" s="55"/>
      <c r="CB23" s="55"/>
      <c r="CC23" s="55"/>
      <c r="CD23" s="55"/>
      <c r="CE23" s="55"/>
      <c r="CF23" s="55"/>
      <c r="CG23" s="55"/>
      <c r="CH23" s="55"/>
    </row>
    <row r="24" ht="16.5" customHeight="1">
      <c r="A24" s="61">
        <f>IFERROR(__xludf.DUMMYFUNCTION("""COMPUTED_VALUE"""),32.0)</f>
        <v>32</v>
      </c>
      <c r="B24" s="61">
        <f>IFERROR(__xludf.DUMMYFUNCTION("""COMPUTED_VALUE"""),1.0)</f>
        <v>1</v>
      </c>
      <c r="C24" s="55"/>
      <c r="D24" s="55"/>
      <c r="E24" s="55"/>
      <c r="F24" s="61">
        <f>IFERROR(__xludf.DUMMYFUNCTION("""COMPUTED_VALUE"""),36.0)</f>
        <v>36</v>
      </c>
      <c r="G24" s="61" t="str">
        <f>IFERROR(__xludf.DUMMYFUNCTION("""COMPUTED_VALUE"""),"E")</f>
        <v>E</v>
      </c>
      <c r="H24" s="62">
        <f>IFERROR(__xludf.DUMMYFUNCTION("IFERROR(
  AVERAGE(FILTER(data!B$2:B1000, data!A$2:A1000=$F24, data!D$2:D1000=$G24, data!E$2:E1000=2))
  -
  AVERAGE(FILTER(data!B$2:B1000, data!A$2:A1000=$F24, data!D$2:D1000=$G24, data!E$2:E1000=1))
, """")
"),0.0)</f>
        <v>0</v>
      </c>
      <c r="I24" s="62">
        <f>IFERROR(__xludf.DUMMYFUNCTION("IFERROR(
  AVERAGE(FILTER(data!B$2:B1000, data!A$2:A1000=$F24, data!D$2:D1000=$G24, data!E$2:E1000=3))
  -
  AVERAGE(FILTER(data!B$2:B1000, data!A$2:A1000=$F24, data!D$2:D1000=$G24, data!E$2:E1000=2))
, """")
"),0.0)</f>
        <v>0</v>
      </c>
      <c r="J24" s="62">
        <f>IFERROR(__xludf.DUMMYFUNCTION("IFERROR(
  AVERAGE(FILTER(data!B$2:B1000, data!A$2:A1000=$F24, data!D$2:D1000=$G24, data!E$2:E1000=3))
  -
  AVERAGE(FILTER(data!B$2:B1000, data!A$2:A1000=$F24, data!D$2:D1000=$G24, data!E$2:E1000=1))
, """")
"),0.0)</f>
        <v>0</v>
      </c>
      <c r="K24" s="62">
        <f>IFERROR(__xludf.DUMMYFUNCTION("IFERROR(
  AVERAGE(FILTER(data!C$2:C1000, data!A$2:A1000=$F24, data!D$2:D1000=$G24, data!E$2:E1000=2))
  -
  AVERAGE(FILTER(data!C$2:C1000, data!A$2:A1000=$F24, data!D$2:D1000=$G24, data!E$2:E1000=1))
, """")
"),-0.5)</f>
        <v>-0.5</v>
      </c>
      <c r="L24" s="62">
        <f>IFERROR(__xludf.DUMMYFUNCTION("IFERROR(
  AVERAGE(FILTER(data!C$2:C1000, data!A$2:A1000=$F24, data!D$2:D1000=$G24, data!E$2:E1000=3))
  -
  AVERAGE(FILTER(data!C$2:C1000, data!A$2:A1000=$F24, data!D$2:D1000=$G24, data!E$2:E1000=2))
, """")
"),0.0)</f>
        <v>0</v>
      </c>
      <c r="M24" s="62">
        <f>IFERROR(__xludf.DUMMYFUNCTION("IFERROR(
  AVERAGE(FILTER(data!C$2:C1000, data!A$2:A1000=$F24, data!D$2:D1000=$G24, data!E$2:E1000=3))
  -
  AVERAGE(FILTER(data!C$2:C1000, data!A$2:A1000=$F24, data!D$2:D1000=$G24, data!E$2:E1000=1))
, """")
"),-0.5)</f>
        <v>-0.5</v>
      </c>
      <c r="N24" s="62">
        <f t="shared" ref="N24:P24" si="46">IF(H24="",,ABS(H24))
</f>
        <v>0</v>
      </c>
      <c r="O24" s="62">
        <f t="shared" si="46"/>
        <v>0</v>
      </c>
      <c r="P24" s="62">
        <f t="shared" si="46"/>
        <v>0</v>
      </c>
      <c r="Q24" s="62">
        <f t="shared" si="4"/>
        <v>0</v>
      </c>
      <c r="R24" s="62">
        <f t="shared" ref="R24:S24" si="47">IF(L24="",,ABS(L24))
</f>
        <v>0</v>
      </c>
      <c r="S24" s="62">
        <f t="shared" si="47"/>
        <v>0.5</v>
      </c>
      <c r="T24" s="55"/>
      <c r="U24" s="55"/>
      <c r="V24" s="55"/>
      <c r="W24" s="64"/>
      <c r="X24" s="64"/>
      <c r="Y24" s="55"/>
      <c r="Z24" s="55"/>
      <c r="AA24" s="55"/>
      <c r="AB24" s="64" t="str">
        <f>IFERROR(__xludf.DUMMYFUNCTION("IF(AA24="""",,COUNTUNIQUE(FILTER(data!D$2:D1000, data!E$2:E1000=3, data!A$2:A1000=AA24)))
"),"")</f>
        <v/>
      </c>
      <c r="AC24" s="64" t="str">
        <f>IFERROR(__xludf.DUMMYFUNCTION("IF(AA24="""",,ROUND(AVERAGE(FILTER(data!B$2:B1000, data!E$2:E1000=3, data!A$2:A1000=AA24)),2))
"),"")</f>
        <v/>
      </c>
      <c r="AD24" s="64" t="str">
        <f>IFERROR(__xludf.DUMMYFUNCTION("IF(AA24="""",,ROUND(AVERAGE(FILTER(data!C$2:C1000, data!E$2:E1000=3, data!A$2:A1000=AA24)),2))
"),"")</f>
        <v/>
      </c>
      <c r="AE24" s="64" t="str">
        <f>IFERROR(__xludf.DUMMYFUNCTION("IF(AA24="""",,
  MAX(FILTER(data!B$2:B1000, data!E$2:E1000=3, data!A$2:A1000=AA24))
 -MIN(FILTER(data!B$2:B1000, data!E$2:E1000=3, data!A$2:A1000=AA24))
)
"),"")</f>
        <v/>
      </c>
      <c r="AF24" s="64" t="str">
        <f>IFERROR(__xludf.DUMMYFUNCTION("IF(AA24="""",,
  MAX(FILTER(data!C$2:C1000, data!E$2:E1000=3, data!A$2:A1000=AA24))
 -MIN(FILTER(data!C$2:C1000, data!E$2:E1000=3, data!A$2:A1000=AA24))
)
"),"")</f>
        <v/>
      </c>
      <c r="AG24" s="55" t="str">
        <f t="shared" si="6"/>
        <v/>
      </c>
      <c r="AH24" s="55"/>
      <c r="AI24" s="64"/>
      <c r="AJ24" s="64"/>
      <c r="AK24" s="64"/>
      <c r="AL24" s="64"/>
      <c r="AM24" s="64"/>
      <c r="AN24" s="64"/>
      <c r="AO24" s="55"/>
      <c r="AP24" s="55"/>
      <c r="AQ24" s="64"/>
      <c r="AR24" s="64"/>
      <c r="AS24" s="64"/>
      <c r="AT24" s="64"/>
      <c r="AU24" s="64"/>
      <c r="AV24" s="55"/>
      <c r="AW24" s="55"/>
      <c r="AX24" s="64"/>
      <c r="AY24" s="64"/>
      <c r="AZ24" s="64"/>
      <c r="BA24" s="64"/>
      <c r="BB24" s="64"/>
      <c r="BC24" s="55"/>
      <c r="BD24" s="55"/>
      <c r="BE24" s="64"/>
      <c r="BF24" s="64" t="str">
        <f>IFERROR(__xludf.DUMMYFUNCTION("IF(BD24="""",,IFERROR(ROUND(AVERAGE(FILTER(data!B$2:B1000, (data!E$2:E1000&amp;"""")=""3"", (data!A$2:A1000&amp;"""")=(BD24&amp;""""))),2),""""))
"),"")</f>
        <v/>
      </c>
      <c r="BG24" s="64" t="str">
        <f>IFERROR(__xludf.DUMMYFUNCTION("IF(BD24="""",,IFERROR(ROUND(AVERAGE(FILTER(data!C$2:C1000, (data!E$2:E1000&amp;"""")=""3"", (data!A$2:A1000&amp;"""")=(BD24&amp;""""))),2),""""))
"),"")</f>
        <v/>
      </c>
      <c r="BH24" s="64" t="str">
        <f>IFERROR(__xludf.DUMMYFUNCTION("IF(BD24="""",,IFERROR(
  MAX(FILTER(data!B$2:B1000, (data!E$2:E1000&amp;"""")=""3"", (data!A$2:A1000&amp;"""")=(BD24&amp;"""")))
 -MIN(FILTER(data!B$2:B1000, (data!E$2:E1000&amp;"""")=""3"", (data!A$2:A1000&amp;"""")=(BD24&amp;"""")))
,""""))
"),"")</f>
        <v/>
      </c>
      <c r="BI24" s="64" t="str">
        <f>IFERROR(__xludf.DUMMYFUNCTION("IF(BD24="""",,IFERROR(
  MAX(FILTER(data!C$2:C1000, (data!E$2:E1000&amp;"""")=""3"", (data!A$2:A1000&amp;"""")=(BD24&amp;"""")))
 -MIN(FILTER(data!C$2:C1000, (data!E$2:E1000&amp;"""")=""3"", (data!A$2:A1000&amp;"""")=(BD24&amp;"""")))
,""""))
"),"")</f>
        <v/>
      </c>
      <c r="BJ24" s="64" t="str">
        <f t="shared" si="7"/>
        <v/>
      </c>
      <c r="BK24" s="55"/>
      <c r="BL24" s="65">
        <f>IFERROR(__xludf.DUMMYFUNCTION("""COMPUTED_VALUE"""),27.0)</f>
        <v>27</v>
      </c>
      <c r="BM24" s="65" t="str">
        <f>IFERROR(__xludf.DUMMYFUNCTION("""COMPUTED_VALUE"""),"C")</f>
        <v>C</v>
      </c>
      <c r="BN24" s="63">
        <f>IFERROR(__xludf.DUMMYFUNCTION("""COMPUTED_VALUE"""),8.0)</f>
        <v>8</v>
      </c>
      <c r="BO24" s="63">
        <f>IFERROR(__xludf.DUMMYFUNCTION("""COMPUTED_VALUE"""),8.0)</f>
        <v>8</v>
      </c>
      <c r="BP24" s="64"/>
      <c r="BQ24" s="63">
        <f>IFERROR(__xludf.DUMMYFUNCTION("""COMPUTED_VALUE"""),5.0)</f>
        <v>5</v>
      </c>
      <c r="BR24" s="63">
        <f>IFERROR(__xludf.DUMMYFUNCTION("""COMPUTED_VALUE"""),5.0)</f>
        <v>5</v>
      </c>
      <c r="BS24" s="64"/>
      <c r="BT24" s="63">
        <v>0.0</v>
      </c>
      <c r="BU24" s="64"/>
      <c r="BV24" s="67">
        <v>0.0</v>
      </c>
      <c r="BW24" s="65" t="b">
        <v>0</v>
      </c>
      <c r="BX24" s="55"/>
      <c r="BY24" s="65">
        <f>IFERROR(__xludf.DUMMYFUNCTION("""COMPUTED_VALUE"""),71.0)</f>
        <v>71</v>
      </c>
      <c r="BZ24" s="65">
        <f>IFERROR(__xludf.DUMMYFUNCTION("""COMPUTED_VALUE"""),0.5)</f>
        <v>0.5</v>
      </c>
      <c r="CA24" s="55"/>
      <c r="CB24" s="55"/>
      <c r="CC24" s="55"/>
      <c r="CD24" s="55"/>
      <c r="CE24" s="55"/>
      <c r="CF24" s="55"/>
      <c r="CG24" s="55"/>
      <c r="CH24" s="55"/>
    </row>
    <row r="25" ht="16.5" customHeight="1">
      <c r="A25" s="61">
        <f>IFERROR(__xludf.DUMMYFUNCTION("""COMPUTED_VALUE"""),33.0)</f>
        <v>33</v>
      </c>
      <c r="B25" s="61">
        <f>IFERROR(__xludf.DUMMYFUNCTION("""COMPUTED_VALUE"""),1.0)</f>
        <v>1</v>
      </c>
      <c r="C25" s="55"/>
      <c r="D25" s="55"/>
      <c r="E25" s="55"/>
      <c r="F25" s="61">
        <f>IFERROR(__xludf.DUMMYFUNCTION("""COMPUTED_VALUE"""),41.0)</f>
        <v>41</v>
      </c>
      <c r="G25" s="61" t="str">
        <f>IFERROR(__xludf.DUMMYFUNCTION("""COMPUTED_VALUE"""),"E")</f>
        <v>E</v>
      </c>
      <c r="H25" s="62">
        <f>IFERROR(__xludf.DUMMYFUNCTION("IFERROR(
  AVERAGE(FILTER(data!B$2:B1000, data!A$2:A1000=$F25, data!D$2:D1000=$G25, data!E$2:E1000=2))
  -
  AVERAGE(FILTER(data!B$2:B1000, data!A$2:A1000=$F25, data!D$2:D1000=$G25, data!E$2:E1000=1))
, """")
"),0.0)</f>
        <v>0</v>
      </c>
      <c r="I25" s="62">
        <f>IFERROR(__xludf.DUMMYFUNCTION("IFERROR(
  AVERAGE(FILTER(data!B$2:B1000, data!A$2:A1000=$F25, data!D$2:D1000=$G25, data!E$2:E1000=3))
  -
  AVERAGE(FILTER(data!B$2:B1000, data!A$2:A1000=$F25, data!D$2:D1000=$G25, data!E$2:E1000=2))
, """")
"),0.0)</f>
        <v>0</v>
      </c>
      <c r="J25" s="62">
        <f>IFERROR(__xludf.DUMMYFUNCTION("IFERROR(
  AVERAGE(FILTER(data!B$2:B1000, data!A$2:A1000=$F25, data!D$2:D1000=$G25, data!E$2:E1000=3))
  -
  AVERAGE(FILTER(data!B$2:B1000, data!A$2:A1000=$F25, data!D$2:D1000=$G25, data!E$2:E1000=1))
, """")
"),0.0)</f>
        <v>0</v>
      </c>
      <c r="K25" s="62">
        <f>IFERROR(__xludf.DUMMYFUNCTION("IFERROR(
  AVERAGE(FILTER(data!C$2:C1000, data!A$2:A1000=$F25, data!D$2:D1000=$G25, data!E$2:E1000=2))
  -
  AVERAGE(FILTER(data!C$2:C1000, data!A$2:A1000=$F25, data!D$2:D1000=$G25, data!E$2:E1000=1))
, """")
"),0.0)</f>
        <v>0</v>
      </c>
      <c r="L25" s="62">
        <f>IFERROR(__xludf.DUMMYFUNCTION("IFERROR(
  AVERAGE(FILTER(data!C$2:C1000, data!A$2:A1000=$F25, data!D$2:D1000=$G25, data!E$2:E1000=3))
  -
  AVERAGE(FILTER(data!C$2:C1000, data!A$2:A1000=$F25, data!D$2:D1000=$G25, data!E$2:E1000=2))
, """")
"),-0.5)</f>
        <v>-0.5</v>
      </c>
      <c r="M25" s="62">
        <f>IFERROR(__xludf.DUMMYFUNCTION("IFERROR(
  AVERAGE(FILTER(data!C$2:C1000, data!A$2:A1000=$F25, data!D$2:D1000=$G25, data!E$2:E1000=3))
  -
  AVERAGE(FILTER(data!C$2:C1000, data!A$2:A1000=$F25, data!D$2:D1000=$G25, data!E$2:E1000=1))
, """")
"),-0.5)</f>
        <v>-0.5</v>
      </c>
      <c r="N25" s="62">
        <f t="shared" ref="N25:P25" si="48">IF(H25="",,ABS(H25))
</f>
        <v>0</v>
      </c>
      <c r="O25" s="62">
        <f t="shared" si="48"/>
        <v>0</v>
      </c>
      <c r="P25" s="62">
        <f t="shared" si="48"/>
        <v>0</v>
      </c>
      <c r="Q25" s="62">
        <f t="shared" si="4"/>
        <v>0.5</v>
      </c>
      <c r="R25" s="62">
        <f t="shared" ref="R25:S25" si="49">IF(L25="",,ABS(L25))
</f>
        <v>0.5</v>
      </c>
      <c r="S25" s="62">
        <f t="shared" si="49"/>
        <v>0.5</v>
      </c>
      <c r="T25" s="55"/>
      <c r="U25" s="55"/>
      <c r="V25" s="55"/>
      <c r="W25" s="64"/>
      <c r="X25" s="64"/>
      <c r="Y25" s="55"/>
      <c r="Z25" s="55"/>
      <c r="AA25" s="55"/>
      <c r="AB25" s="64" t="str">
        <f>IFERROR(__xludf.DUMMYFUNCTION("IF(AA25="""",,COUNTUNIQUE(FILTER(data!D$2:D1000, data!E$2:E1000=3, data!A$2:A1000=AA25)))
"),"")</f>
        <v/>
      </c>
      <c r="AC25" s="64" t="str">
        <f>IFERROR(__xludf.DUMMYFUNCTION("IF(AA25="""",,ROUND(AVERAGE(FILTER(data!B$2:B1000, data!E$2:E1000=3, data!A$2:A1000=AA25)),2))
"),"")</f>
        <v/>
      </c>
      <c r="AD25" s="64" t="str">
        <f>IFERROR(__xludf.DUMMYFUNCTION("IF(AA25="""",,ROUND(AVERAGE(FILTER(data!C$2:C1000, data!E$2:E1000=3, data!A$2:A1000=AA25)),2))
"),"")</f>
        <v/>
      </c>
      <c r="AE25" s="64" t="str">
        <f>IFERROR(__xludf.DUMMYFUNCTION("IF(AA25="""",,
  MAX(FILTER(data!B$2:B1000, data!E$2:E1000=3, data!A$2:A1000=AA25))
 -MIN(FILTER(data!B$2:B1000, data!E$2:E1000=3, data!A$2:A1000=AA25))
)
"),"")</f>
        <v/>
      </c>
      <c r="AF25" s="64" t="str">
        <f>IFERROR(__xludf.DUMMYFUNCTION("IF(AA25="""",,
  MAX(FILTER(data!C$2:C1000, data!E$2:E1000=3, data!A$2:A1000=AA25))
 -MIN(FILTER(data!C$2:C1000, data!E$2:E1000=3, data!A$2:A1000=AA25))
)
"),"")</f>
        <v/>
      </c>
      <c r="AG25" s="55" t="str">
        <f t="shared" si="6"/>
        <v/>
      </c>
      <c r="AH25" s="55"/>
      <c r="AI25" s="64"/>
      <c r="AJ25" s="64"/>
      <c r="AK25" s="64"/>
      <c r="AL25" s="64"/>
      <c r="AM25" s="64"/>
      <c r="AN25" s="64"/>
      <c r="AO25" s="55"/>
      <c r="AP25" s="55"/>
      <c r="AQ25" s="64"/>
      <c r="AR25" s="64"/>
      <c r="AS25" s="64"/>
      <c r="AT25" s="64"/>
      <c r="AU25" s="64"/>
      <c r="AV25" s="55"/>
      <c r="AW25" s="55"/>
      <c r="AX25" s="64"/>
      <c r="AY25" s="64"/>
      <c r="AZ25" s="64"/>
      <c r="BA25" s="64"/>
      <c r="BB25" s="64"/>
      <c r="BC25" s="55"/>
      <c r="BD25" s="55"/>
      <c r="BE25" s="64"/>
      <c r="BF25" s="64" t="str">
        <f>IFERROR(__xludf.DUMMYFUNCTION("IF(BD25="""",,IFERROR(ROUND(AVERAGE(FILTER(data!B$2:B1000, (data!E$2:E1000&amp;"""")=""3"", (data!A$2:A1000&amp;"""")=(BD25&amp;""""))),2),""""))
"),"")</f>
        <v/>
      </c>
      <c r="BG25" s="64" t="str">
        <f>IFERROR(__xludf.DUMMYFUNCTION("IF(BD25="""",,IFERROR(ROUND(AVERAGE(FILTER(data!C$2:C1000, (data!E$2:E1000&amp;"""")=""3"", (data!A$2:A1000&amp;"""")=(BD25&amp;""""))),2),""""))
"),"")</f>
        <v/>
      </c>
      <c r="BH25" s="64" t="str">
        <f>IFERROR(__xludf.DUMMYFUNCTION("IF(BD25="""",,IFERROR(
  MAX(FILTER(data!B$2:B1000, (data!E$2:E1000&amp;"""")=""3"", (data!A$2:A1000&amp;"""")=(BD25&amp;"""")))
 -MIN(FILTER(data!B$2:B1000, (data!E$2:E1000&amp;"""")=""3"", (data!A$2:A1000&amp;"""")=(BD25&amp;"""")))
,""""))
"),"")</f>
        <v/>
      </c>
      <c r="BI25" s="64" t="str">
        <f>IFERROR(__xludf.DUMMYFUNCTION("IF(BD25="""",,IFERROR(
  MAX(FILTER(data!C$2:C1000, (data!E$2:E1000&amp;"""")=""3"", (data!A$2:A1000&amp;"""")=(BD25&amp;"""")))
 -MIN(FILTER(data!C$2:C1000, (data!E$2:E1000&amp;"""")=""3"", (data!A$2:A1000&amp;"""")=(BD25&amp;"""")))
,""""))
"),"")</f>
        <v/>
      </c>
      <c r="BJ25" s="64" t="str">
        <f t="shared" si="7"/>
        <v/>
      </c>
      <c r="BK25" s="55"/>
      <c r="BL25" s="65">
        <f>IFERROR(__xludf.DUMMYFUNCTION("""COMPUTED_VALUE"""),32.0)</f>
        <v>32</v>
      </c>
      <c r="BM25" s="65" t="str">
        <f>IFERROR(__xludf.DUMMYFUNCTION("""COMPUTED_VALUE"""),"B")</f>
        <v>B</v>
      </c>
      <c r="BN25" s="63">
        <f>IFERROR(__xludf.DUMMYFUNCTION("""COMPUTED_VALUE"""),5.0)</f>
        <v>5</v>
      </c>
      <c r="BO25" s="63">
        <f>IFERROR(__xludf.DUMMYFUNCTION("""COMPUTED_VALUE"""),5.0)</f>
        <v>5</v>
      </c>
      <c r="BP25" s="63">
        <f>IFERROR(__xludf.DUMMYFUNCTION("""COMPUTED_VALUE"""),5.0)</f>
        <v>5</v>
      </c>
      <c r="BQ25" s="63">
        <f>IFERROR(__xludf.DUMMYFUNCTION("""COMPUTED_VALUE"""),7.0)</f>
        <v>7</v>
      </c>
      <c r="BR25" s="63">
        <f>IFERROR(__xludf.DUMMYFUNCTION("""COMPUTED_VALUE"""),7.0)</f>
        <v>7</v>
      </c>
      <c r="BS25" s="63">
        <f>IFERROR(__xludf.DUMMYFUNCTION("""COMPUTED_VALUE"""),7.0)</f>
        <v>7</v>
      </c>
      <c r="BT25" s="63">
        <v>0.0</v>
      </c>
      <c r="BU25" s="63">
        <v>0.0</v>
      </c>
      <c r="BV25" s="67">
        <v>0.0</v>
      </c>
      <c r="BW25" s="65" t="b">
        <v>0</v>
      </c>
      <c r="BX25" s="55"/>
      <c r="BY25" s="65">
        <f>IFERROR(__xludf.DUMMYFUNCTION("""COMPUTED_VALUE"""),2.0)</f>
        <v>2</v>
      </c>
      <c r="BZ25" s="65">
        <f>IFERROR(__xludf.DUMMYFUNCTION("""COMPUTED_VALUE"""),0.0)</f>
        <v>0</v>
      </c>
      <c r="CA25" s="55"/>
      <c r="CB25" s="55"/>
      <c r="CC25" s="55"/>
      <c r="CD25" s="55"/>
      <c r="CE25" s="55"/>
      <c r="CF25" s="55"/>
      <c r="CG25" s="55"/>
      <c r="CH25" s="55"/>
    </row>
    <row r="26" ht="16.5" customHeight="1">
      <c r="A26" s="61">
        <f>IFERROR(__xludf.DUMMYFUNCTION("""COMPUTED_VALUE"""),39.0)</f>
        <v>39</v>
      </c>
      <c r="B26" s="61">
        <f>IFERROR(__xludf.DUMMYFUNCTION("""COMPUTED_VALUE"""),1.0)</f>
        <v>1</v>
      </c>
      <c r="C26" s="55"/>
      <c r="D26" s="55"/>
      <c r="E26" s="55"/>
      <c r="F26" s="61">
        <f>IFERROR(__xludf.DUMMYFUNCTION("""COMPUTED_VALUE"""),60.0)</f>
        <v>60</v>
      </c>
      <c r="G26" s="61" t="str">
        <f>IFERROR(__xludf.DUMMYFUNCTION("""COMPUTED_VALUE"""),"E")</f>
        <v>E</v>
      </c>
      <c r="H26" s="62">
        <f>IFERROR(__xludf.DUMMYFUNCTION("IFERROR(
  AVERAGE(FILTER(data!B$2:B1000, data!A$2:A1000=$F26, data!D$2:D1000=$G26, data!E$2:E1000=2))
  -
  AVERAGE(FILTER(data!B$2:B1000, data!A$2:A1000=$F26, data!D$2:D1000=$G26, data!E$2:E1000=1))
, """")
"),0.0)</f>
        <v>0</v>
      </c>
      <c r="I26" s="62">
        <f>IFERROR(__xludf.DUMMYFUNCTION("IFERROR(
  AVERAGE(FILTER(data!B$2:B1000, data!A$2:A1000=$F26, data!D$2:D1000=$G26, data!E$2:E1000=3))
  -
  AVERAGE(FILTER(data!B$2:B1000, data!A$2:A1000=$F26, data!D$2:D1000=$G26, data!E$2:E1000=2))
, """")
"),0.0)</f>
        <v>0</v>
      </c>
      <c r="J26" s="62">
        <f>IFERROR(__xludf.DUMMYFUNCTION("IFERROR(
  AVERAGE(FILTER(data!B$2:B1000, data!A$2:A1000=$F26, data!D$2:D1000=$G26, data!E$2:E1000=3))
  -
  AVERAGE(FILTER(data!B$2:B1000, data!A$2:A1000=$F26, data!D$2:D1000=$G26, data!E$2:E1000=1))
, """")
"),0.0)</f>
        <v>0</v>
      </c>
      <c r="K26" s="62">
        <f>IFERROR(__xludf.DUMMYFUNCTION("IFERROR(
  AVERAGE(FILTER(data!C$2:C1000, data!A$2:A1000=$F26, data!D$2:D1000=$G26, data!E$2:E1000=2))
  -
  AVERAGE(FILTER(data!C$2:C1000, data!A$2:A1000=$F26, data!D$2:D1000=$G26, data!E$2:E1000=1))
, """")
"),0.0)</f>
        <v>0</v>
      </c>
      <c r="L26" s="62">
        <f>IFERROR(__xludf.DUMMYFUNCTION("IFERROR(
  AVERAGE(FILTER(data!C$2:C1000, data!A$2:A1000=$F26, data!D$2:D1000=$G26, data!E$2:E1000=3))
  -
  AVERAGE(FILTER(data!C$2:C1000, data!A$2:A1000=$F26, data!D$2:D1000=$G26, data!E$2:E1000=2))
, """")
"),0.0)</f>
        <v>0</v>
      </c>
      <c r="M26" s="62">
        <f>IFERROR(__xludf.DUMMYFUNCTION("IFERROR(
  AVERAGE(FILTER(data!C$2:C1000, data!A$2:A1000=$F26, data!D$2:D1000=$G26, data!E$2:E1000=3))
  -
  AVERAGE(FILTER(data!C$2:C1000, data!A$2:A1000=$F26, data!D$2:D1000=$G26, data!E$2:E1000=1))
, """")
"),0.0)</f>
        <v>0</v>
      </c>
      <c r="N26" s="62">
        <f t="shared" ref="N26:P26" si="50">IF(H26="",,ABS(H26))
</f>
        <v>0</v>
      </c>
      <c r="O26" s="62">
        <f t="shared" si="50"/>
        <v>0</v>
      </c>
      <c r="P26" s="62">
        <f t="shared" si="50"/>
        <v>0</v>
      </c>
      <c r="Q26" s="62">
        <f t="shared" si="4"/>
        <v>0</v>
      </c>
      <c r="R26" s="62">
        <f t="shared" ref="R26:S26" si="51">IF(L26="",,ABS(L26))
</f>
        <v>0</v>
      </c>
      <c r="S26" s="62">
        <f t="shared" si="51"/>
        <v>0</v>
      </c>
      <c r="T26" s="55"/>
      <c r="U26" s="55"/>
      <c r="V26" s="55"/>
      <c r="W26" s="64"/>
      <c r="X26" s="64"/>
      <c r="Y26" s="55"/>
      <c r="Z26" s="55"/>
      <c r="AA26" s="55"/>
      <c r="AB26" s="64" t="str">
        <f>IFERROR(__xludf.DUMMYFUNCTION("IF(AA26="""",,COUNTUNIQUE(FILTER(data!D$2:D1000, data!E$2:E1000=3, data!A$2:A1000=AA26)))
"),"")</f>
        <v/>
      </c>
      <c r="AC26" s="64" t="str">
        <f>IFERROR(__xludf.DUMMYFUNCTION("IF(AA26="""",,ROUND(AVERAGE(FILTER(data!B$2:B1000, data!E$2:E1000=3, data!A$2:A1000=AA26)),2))
"),"")</f>
        <v/>
      </c>
      <c r="AD26" s="64" t="str">
        <f>IFERROR(__xludf.DUMMYFUNCTION("IF(AA26="""",,ROUND(AVERAGE(FILTER(data!C$2:C1000, data!E$2:E1000=3, data!A$2:A1000=AA26)),2))
"),"")</f>
        <v/>
      </c>
      <c r="AE26" s="64" t="str">
        <f>IFERROR(__xludf.DUMMYFUNCTION("IF(AA26="""",,
  MAX(FILTER(data!B$2:B1000, data!E$2:E1000=3, data!A$2:A1000=AA26))
 -MIN(FILTER(data!B$2:B1000, data!E$2:E1000=3, data!A$2:A1000=AA26))
)
"),"")</f>
        <v/>
      </c>
      <c r="AF26" s="64" t="str">
        <f>IFERROR(__xludf.DUMMYFUNCTION("IF(AA26="""",,
  MAX(FILTER(data!C$2:C1000, data!E$2:E1000=3, data!A$2:A1000=AA26))
 -MIN(FILTER(data!C$2:C1000, data!E$2:E1000=3, data!A$2:A1000=AA26))
)
"),"")</f>
        <v/>
      </c>
      <c r="AG26" s="55" t="str">
        <f t="shared" si="6"/>
        <v/>
      </c>
      <c r="AH26" s="55"/>
      <c r="AI26" s="64"/>
      <c r="AJ26" s="64"/>
      <c r="AK26" s="64"/>
      <c r="AL26" s="64"/>
      <c r="AM26" s="64"/>
      <c r="AN26" s="64"/>
      <c r="AO26" s="55"/>
      <c r="AP26" s="55"/>
      <c r="AQ26" s="64"/>
      <c r="AR26" s="64"/>
      <c r="AS26" s="64"/>
      <c r="AT26" s="64"/>
      <c r="AU26" s="64"/>
      <c r="AV26" s="55"/>
      <c r="AW26" s="55"/>
      <c r="AX26" s="64"/>
      <c r="AY26" s="64"/>
      <c r="AZ26" s="64"/>
      <c r="BA26" s="64"/>
      <c r="BB26" s="64"/>
      <c r="BC26" s="55"/>
      <c r="BD26" s="55"/>
      <c r="BE26" s="64"/>
      <c r="BF26" s="64" t="str">
        <f>IFERROR(__xludf.DUMMYFUNCTION("IF(BD26="""",,IFERROR(ROUND(AVERAGE(FILTER(data!B$2:B1000, (data!E$2:E1000&amp;"""")=""3"", (data!A$2:A1000&amp;"""")=(BD26&amp;""""))),2),""""))
"),"")</f>
        <v/>
      </c>
      <c r="BG26" s="64" t="str">
        <f>IFERROR(__xludf.DUMMYFUNCTION("IF(BD26="""",,IFERROR(ROUND(AVERAGE(FILTER(data!C$2:C1000, (data!E$2:E1000&amp;"""")=""3"", (data!A$2:A1000&amp;"""")=(BD26&amp;""""))),2),""""))
"),"")</f>
        <v/>
      </c>
      <c r="BH26" s="64" t="str">
        <f>IFERROR(__xludf.DUMMYFUNCTION("IF(BD26="""",,IFERROR(
  MAX(FILTER(data!B$2:B1000, (data!E$2:E1000&amp;"""")=""3"", (data!A$2:A1000&amp;"""")=(BD26&amp;"""")))
 -MIN(FILTER(data!B$2:B1000, (data!E$2:E1000&amp;"""")=""3"", (data!A$2:A1000&amp;"""")=(BD26&amp;"""")))
,""""))
"),"")</f>
        <v/>
      </c>
      <c r="BI26" s="64" t="str">
        <f>IFERROR(__xludf.DUMMYFUNCTION("IF(BD26="""",,IFERROR(
  MAX(FILTER(data!C$2:C1000, (data!E$2:E1000&amp;"""")=""3"", (data!A$2:A1000&amp;"""")=(BD26&amp;"""")))
 -MIN(FILTER(data!C$2:C1000, (data!E$2:E1000&amp;"""")=""3"", (data!A$2:A1000&amp;"""")=(BD26&amp;"""")))
,""""))
"),"")</f>
        <v/>
      </c>
      <c r="BJ26" s="64" t="str">
        <f t="shared" si="7"/>
        <v/>
      </c>
      <c r="BK26" s="55"/>
      <c r="BL26" s="65">
        <f>IFERROR(__xludf.DUMMYFUNCTION("""COMPUTED_VALUE"""),33.0)</f>
        <v>33</v>
      </c>
      <c r="BM26" s="65" t="str">
        <f>IFERROR(__xludf.DUMMYFUNCTION("""COMPUTED_VALUE"""),"E")</f>
        <v>E</v>
      </c>
      <c r="BN26" s="63">
        <f>IFERROR(__xludf.DUMMYFUNCTION("""COMPUTED_VALUE"""),8.5)</f>
        <v>8.5</v>
      </c>
      <c r="BO26" s="63">
        <f>IFERROR(__xludf.DUMMYFUNCTION("""COMPUTED_VALUE"""),9.0)</f>
        <v>9</v>
      </c>
      <c r="BP26" s="63">
        <f>IFERROR(__xludf.DUMMYFUNCTION("""COMPUTED_VALUE"""),9.0)</f>
        <v>9</v>
      </c>
      <c r="BQ26" s="63">
        <f>IFERROR(__xludf.DUMMYFUNCTION("""COMPUTED_VALUE"""),10.0)</f>
        <v>10</v>
      </c>
      <c r="BR26" s="63">
        <f>IFERROR(__xludf.DUMMYFUNCTION("""COMPUTED_VALUE"""),10.0)</f>
        <v>10</v>
      </c>
      <c r="BS26" s="63">
        <f>IFERROR(__xludf.DUMMYFUNCTION("""COMPUTED_VALUE"""),9.0)</f>
        <v>9</v>
      </c>
      <c r="BT26" s="63">
        <v>0.5</v>
      </c>
      <c r="BU26" s="63">
        <v>1.0</v>
      </c>
      <c r="BV26" s="67">
        <v>1.5</v>
      </c>
      <c r="BW26" s="65" t="b">
        <v>0</v>
      </c>
      <c r="BX26" s="55"/>
      <c r="BY26" s="65">
        <f>IFERROR(__xludf.DUMMYFUNCTION("""COMPUTED_VALUE"""),3.0)</f>
        <v>3</v>
      </c>
      <c r="BZ26" s="65">
        <f>IFERROR(__xludf.DUMMYFUNCTION("""COMPUTED_VALUE"""),0.0)</f>
        <v>0</v>
      </c>
      <c r="CA26" s="55"/>
      <c r="CB26" s="55"/>
      <c r="CC26" s="55"/>
      <c r="CD26" s="55"/>
      <c r="CE26" s="55"/>
      <c r="CF26" s="55"/>
      <c r="CG26" s="55"/>
      <c r="CH26" s="55"/>
    </row>
    <row r="27" ht="16.5" customHeight="1">
      <c r="A27" s="61">
        <f>IFERROR(__xludf.DUMMYFUNCTION("""COMPUTED_VALUE"""),40.0)</f>
        <v>40</v>
      </c>
      <c r="B27" s="61">
        <f>IFERROR(__xludf.DUMMYFUNCTION("""COMPUTED_VALUE"""),1.0)</f>
        <v>1</v>
      </c>
      <c r="C27" s="55"/>
      <c r="D27" s="55"/>
      <c r="E27" s="55"/>
      <c r="F27" s="61">
        <f>IFERROR(__xludf.DUMMYFUNCTION("""COMPUTED_VALUE"""),68.0)</f>
        <v>68</v>
      </c>
      <c r="G27" s="61" t="str">
        <f>IFERROR(__xludf.DUMMYFUNCTION("""COMPUTED_VALUE"""),"E")</f>
        <v>E</v>
      </c>
      <c r="H27" s="62">
        <f>IFERROR(__xludf.DUMMYFUNCTION("IFERROR(
  AVERAGE(FILTER(data!B$2:B1000, data!A$2:A1000=$F27, data!D$2:D1000=$G27, data!E$2:E1000=2))
  -
  AVERAGE(FILTER(data!B$2:B1000, data!A$2:A1000=$F27, data!D$2:D1000=$G27, data!E$2:E1000=1))
, """")
"),0.0)</f>
        <v>0</v>
      </c>
      <c r="I27" s="62">
        <f>IFERROR(__xludf.DUMMYFUNCTION("IFERROR(
  AVERAGE(FILTER(data!B$2:B1000, data!A$2:A1000=$F27, data!D$2:D1000=$G27, data!E$2:E1000=3))
  -
  AVERAGE(FILTER(data!B$2:B1000, data!A$2:A1000=$F27, data!D$2:D1000=$G27, data!E$2:E1000=2))
, """")
"),0.0)</f>
        <v>0</v>
      </c>
      <c r="J27" s="62">
        <f>IFERROR(__xludf.DUMMYFUNCTION("IFERROR(
  AVERAGE(FILTER(data!B$2:B1000, data!A$2:A1000=$F27, data!D$2:D1000=$G27, data!E$2:E1000=3))
  -
  AVERAGE(FILTER(data!B$2:B1000, data!A$2:A1000=$F27, data!D$2:D1000=$G27, data!E$2:E1000=1))
, """")
"),0.0)</f>
        <v>0</v>
      </c>
      <c r="K27" s="62">
        <f>IFERROR(__xludf.DUMMYFUNCTION("IFERROR(
  AVERAGE(FILTER(data!C$2:C1000, data!A$2:A1000=$F27, data!D$2:D1000=$G27, data!E$2:E1000=2))
  -
  AVERAGE(FILTER(data!C$2:C1000, data!A$2:A1000=$F27, data!D$2:D1000=$G27, data!E$2:E1000=1))
, """")
"),0.0)</f>
        <v>0</v>
      </c>
      <c r="L27" s="62">
        <f>IFERROR(__xludf.DUMMYFUNCTION("IFERROR(
  AVERAGE(FILTER(data!C$2:C1000, data!A$2:A1000=$F27, data!D$2:D1000=$G27, data!E$2:E1000=3))
  -
  AVERAGE(FILTER(data!C$2:C1000, data!A$2:A1000=$F27, data!D$2:D1000=$G27, data!E$2:E1000=2))
, """")
"),0.0)</f>
        <v>0</v>
      </c>
      <c r="M27" s="62">
        <f>IFERROR(__xludf.DUMMYFUNCTION("IFERROR(
  AVERAGE(FILTER(data!C$2:C1000, data!A$2:A1000=$F27, data!D$2:D1000=$G27, data!E$2:E1000=3))
  -
  AVERAGE(FILTER(data!C$2:C1000, data!A$2:A1000=$F27, data!D$2:D1000=$G27, data!E$2:E1000=1))
, """")
"),0.0)</f>
        <v>0</v>
      </c>
      <c r="N27" s="62">
        <f t="shared" ref="N27:P27" si="52">IF(H27="",,ABS(H27))
</f>
        <v>0</v>
      </c>
      <c r="O27" s="62">
        <f t="shared" si="52"/>
        <v>0</v>
      </c>
      <c r="P27" s="62">
        <f t="shared" si="52"/>
        <v>0</v>
      </c>
      <c r="Q27" s="62">
        <f t="shared" si="4"/>
        <v>0</v>
      </c>
      <c r="R27" s="62">
        <f t="shared" ref="R27:S27" si="53">IF(L27="",,ABS(L27))
</f>
        <v>0</v>
      </c>
      <c r="S27" s="62">
        <f t="shared" si="53"/>
        <v>0</v>
      </c>
      <c r="T27" s="55"/>
      <c r="U27" s="55"/>
      <c r="V27" s="55"/>
      <c r="W27" s="64"/>
      <c r="X27" s="64"/>
      <c r="Y27" s="55"/>
      <c r="Z27" s="55"/>
      <c r="AA27" s="55"/>
      <c r="AB27" s="64" t="str">
        <f>IFERROR(__xludf.DUMMYFUNCTION("IF(AA27="""",,COUNTUNIQUE(FILTER(data!D$2:D1000, data!E$2:E1000=3, data!A$2:A1000=AA27)))
"),"")</f>
        <v/>
      </c>
      <c r="AC27" s="64" t="str">
        <f>IFERROR(__xludf.DUMMYFUNCTION("IF(AA27="""",,ROUND(AVERAGE(FILTER(data!B$2:B1000, data!E$2:E1000=3, data!A$2:A1000=AA27)),2))
"),"")</f>
        <v/>
      </c>
      <c r="AD27" s="64" t="str">
        <f>IFERROR(__xludf.DUMMYFUNCTION("IF(AA27="""",,ROUND(AVERAGE(FILTER(data!C$2:C1000, data!E$2:E1000=3, data!A$2:A1000=AA27)),2))
"),"")</f>
        <v/>
      </c>
      <c r="AE27" s="64" t="str">
        <f>IFERROR(__xludf.DUMMYFUNCTION("IF(AA27="""",,
  MAX(FILTER(data!B$2:B1000, data!E$2:E1000=3, data!A$2:A1000=AA27))
 -MIN(FILTER(data!B$2:B1000, data!E$2:E1000=3, data!A$2:A1000=AA27))
)
"),"")</f>
        <v/>
      </c>
      <c r="AF27" s="64" t="str">
        <f>IFERROR(__xludf.DUMMYFUNCTION("IF(AA27="""",,
  MAX(FILTER(data!C$2:C1000, data!E$2:E1000=3, data!A$2:A1000=AA27))
 -MIN(FILTER(data!C$2:C1000, data!E$2:E1000=3, data!A$2:A1000=AA27))
)
"),"")</f>
        <v/>
      </c>
      <c r="AG27" s="55" t="str">
        <f t="shared" si="6"/>
        <v/>
      </c>
      <c r="AH27" s="55"/>
      <c r="AI27" s="64"/>
      <c r="AJ27" s="64"/>
      <c r="AK27" s="64"/>
      <c r="AL27" s="64"/>
      <c r="AM27" s="64"/>
      <c r="AN27" s="64"/>
      <c r="AO27" s="55"/>
      <c r="AP27" s="55"/>
      <c r="AQ27" s="64"/>
      <c r="AR27" s="64"/>
      <c r="AS27" s="64"/>
      <c r="AT27" s="64"/>
      <c r="AU27" s="64"/>
      <c r="AV27" s="55"/>
      <c r="AW27" s="55"/>
      <c r="AX27" s="64"/>
      <c r="AY27" s="64"/>
      <c r="AZ27" s="64"/>
      <c r="BA27" s="64"/>
      <c r="BB27" s="64"/>
      <c r="BC27" s="55"/>
      <c r="BD27" s="55"/>
      <c r="BE27" s="64"/>
      <c r="BF27" s="64" t="str">
        <f>IFERROR(__xludf.DUMMYFUNCTION("IF(BD27="""",,IFERROR(ROUND(AVERAGE(FILTER(data!B$2:B1000, (data!E$2:E1000&amp;"""")=""3"", (data!A$2:A1000&amp;"""")=(BD27&amp;""""))),2),""""))
"),"")</f>
        <v/>
      </c>
      <c r="BG27" s="64" t="str">
        <f>IFERROR(__xludf.DUMMYFUNCTION("IF(BD27="""",,IFERROR(ROUND(AVERAGE(FILTER(data!C$2:C1000, (data!E$2:E1000&amp;"""")=""3"", (data!A$2:A1000&amp;"""")=(BD27&amp;""""))),2),""""))
"),"")</f>
        <v/>
      </c>
      <c r="BH27" s="64" t="str">
        <f>IFERROR(__xludf.DUMMYFUNCTION("IF(BD27="""",,IFERROR(
  MAX(FILTER(data!B$2:B1000, (data!E$2:E1000&amp;"""")=""3"", (data!A$2:A1000&amp;"""")=(BD27&amp;"""")))
 -MIN(FILTER(data!B$2:B1000, (data!E$2:E1000&amp;"""")=""3"", (data!A$2:A1000&amp;"""")=(BD27&amp;"""")))
,""""))
"),"")</f>
        <v/>
      </c>
      <c r="BI27" s="64" t="str">
        <f>IFERROR(__xludf.DUMMYFUNCTION("IF(BD27="""",,IFERROR(
  MAX(FILTER(data!C$2:C1000, (data!E$2:E1000&amp;"""")=""3"", (data!A$2:A1000&amp;"""")=(BD27&amp;"""")))
 -MIN(FILTER(data!C$2:C1000, (data!E$2:E1000&amp;"""")=""3"", (data!A$2:A1000&amp;"""")=(BD27&amp;"""")))
,""""))
"),"")</f>
        <v/>
      </c>
      <c r="BJ27" s="64" t="str">
        <f t="shared" si="7"/>
        <v/>
      </c>
      <c r="BK27" s="55"/>
      <c r="BL27" s="65">
        <f>IFERROR(__xludf.DUMMYFUNCTION("""COMPUTED_VALUE"""),34.0)</f>
        <v>34</v>
      </c>
      <c r="BM27" s="65" t="str">
        <f>IFERROR(__xludf.DUMMYFUNCTION("""COMPUTED_VALUE"""),"C")</f>
        <v>C</v>
      </c>
      <c r="BN27" s="63">
        <f>IFERROR(__xludf.DUMMYFUNCTION("""COMPUTED_VALUE"""),4.0)</f>
        <v>4</v>
      </c>
      <c r="BO27" s="63">
        <f>IFERROR(__xludf.DUMMYFUNCTION("""COMPUTED_VALUE"""),4.0)</f>
        <v>4</v>
      </c>
      <c r="BP27" s="64"/>
      <c r="BQ27" s="63">
        <f>IFERROR(__xludf.DUMMYFUNCTION("""COMPUTED_VALUE"""),4.0)</f>
        <v>4</v>
      </c>
      <c r="BR27" s="63">
        <f>IFERROR(__xludf.DUMMYFUNCTION("""COMPUTED_VALUE"""),4.0)</f>
        <v>4</v>
      </c>
      <c r="BS27" s="64"/>
      <c r="BT27" s="63">
        <v>0.0</v>
      </c>
      <c r="BU27" s="64"/>
      <c r="BV27" s="67">
        <v>0.0</v>
      </c>
      <c r="BW27" s="65" t="b">
        <v>0</v>
      </c>
      <c r="BX27" s="55"/>
      <c r="BY27" s="65">
        <f>IFERROR(__xludf.DUMMYFUNCTION("""COMPUTED_VALUE"""),10.0)</f>
        <v>10</v>
      </c>
      <c r="BZ27" s="65">
        <f>IFERROR(__xludf.DUMMYFUNCTION("""COMPUTED_VALUE"""),0.0)</f>
        <v>0</v>
      </c>
      <c r="CA27" s="55"/>
      <c r="CB27" s="55"/>
      <c r="CC27" s="55"/>
      <c r="CD27" s="55"/>
      <c r="CE27" s="55"/>
      <c r="CF27" s="55"/>
      <c r="CG27" s="55"/>
      <c r="CH27" s="55"/>
    </row>
    <row r="28" ht="16.5" customHeight="1">
      <c r="A28" s="61">
        <f>IFERROR(__xludf.DUMMYFUNCTION("""COMPUTED_VALUE"""),44.0)</f>
        <v>44</v>
      </c>
      <c r="B28" s="61">
        <f>IFERROR(__xludf.DUMMYFUNCTION("""COMPUTED_VALUE"""),1.0)</f>
        <v>1</v>
      </c>
      <c r="C28" s="55"/>
      <c r="D28" s="55"/>
      <c r="E28" s="55"/>
      <c r="F28" s="61">
        <f>IFERROR(__xludf.DUMMYFUNCTION("""COMPUTED_VALUE"""),79.0)</f>
        <v>79</v>
      </c>
      <c r="G28" s="61" t="str">
        <f>IFERROR(__xludf.DUMMYFUNCTION("""COMPUTED_VALUE"""),"E")</f>
        <v>E</v>
      </c>
      <c r="H28" s="62">
        <f>IFERROR(__xludf.DUMMYFUNCTION("IFERROR(
  AVERAGE(FILTER(data!B$2:B1000, data!A$2:A1000=$F28, data!D$2:D1000=$G28, data!E$2:E1000=2))
  -
  AVERAGE(FILTER(data!B$2:B1000, data!A$2:A1000=$F28, data!D$2:D1000=$G28, data!E$2:E1000=1))
, """")
"),0.0)</f>
        <v>0</v>
      </c>
      <c r="I28" s="62">
        <f>IFERROR(__xludf.DUMMYFUNCTION("IFERROR(
  AVERAGE(FILTER(data!B$2:B1000, data!A$2:A1000=$F28, data!D$2:D1000=$G28, data!E$2:E1000=3))
  -
  AVERAGE(FILTER(data!B$2:B1000, data!A$2:A1000=$F28, data!D$2:D1000=$G28, data!E$2:E1000=2))
, """")
"),0.0)</f>
        <v>0</v>
      </c>
      <c r="J28" s="62">
        <f>IFERROR(__xludf.DUMMYFUNCTION("IFERROR(
  AVERAGE(FILTER(data!B$2:B1000, data!A$2:A1000=$F28, data!D$2:D1000=$G28, data!E$2:E1000=3))
  -
  AVERAGE(FILTER(data!B$2:B1000, data!A$2:A1000=$F28, data!D$2:D1000=$G28, data!E$2:E1000=1))
, """")
"),0.0)</f>
        <v>0</v>
      </c>
      <c r="K28" s="62">
        <f>IFERROR(__xludf.DUMMYFUNCTION("IFERROR(
  AVERAGE(FILTER(data!C$2:C1000, data!A$2:A1000=$F28, data!D$2:D1000=$G28, data!E$2:E1000=2))
  -
  AVERAGE(FILTER(data!C$2:C1000, data!A$2:A1000=$F28, data!D$2:D1000=$G28, data!E$2:E1000=1))
, """")
"),0.0)</f>
        <v>0</v>
      </c>
      <c r="L28" s="62">
        <f>IFERROR(__xludf.DUMMYFUNCTION("IFERROR(
  AVERAGE(FILTER(data!C$2:C1000, data!A$2:A1000=$F28, data!D$2:D1000=$G28, data!E$2:E1000=3))
  -
  AVERAGE(FILTER(data!C$2:C1000, data!A$2:A1000=$F28, data!D$2:D1000=$G28, data!E$2:E1000=2))
, """")
"),0.0)</f>
        <v>0</v>
      </c>
      <c r="M28" s="62">
        <f>IFERROR(__xludf.DUMMYFUNCTION("IFERROR(
  AVERAGE(FILTER(data!C$2:C1000, data!A$2:A1000=$F28, data!D$2:D1000=$G28, data!E$2:E1000=3))
  -
  AVERAGE(FILTER(data!C$2:C1000, data!A$2:A1000=$F28, data!D$2:D1000=$G28, data!E$2:E1000=1))
, """")
"),0.0)</f>
        <v>0</v>
      </c>
      <c r="N28" s="62">
        <f t="shared" ref="N28:P28" si="54">IF(H28="",,ABS(H28))
</f>
        <v>0</v>
      </c>
      <c r="O28" s="62">
        <f t="shared" si="54"/>
        <v>0</v>
      </c>
      <c r="P28" s="62">
        <f t="shared" si="54"/>
        <v>0</v>
      </c>
      <c r="Q28" s="62">
        <f t="shared" si="4"/>
        <v>0</v>
      </c>
      <c r="R28" s="62">
        <f t="shared" ref="R28:S28" si="55">IF(L28="",,ABS(L28))
</f>
        <v>0</v>
      </c>
      <c r="S28" s="62">
        <f t="shared" si="55"/>
        <v>0</v>
      </c>
      <c r="T28" s="55"/>
      <c r="U28" s="55"/>
      <c r="V28" s="55"/>
      <c r="W28" s="64"/>
      <c r="X28" s="64"/>
      <c r="Y28" s="55"/>
      <c r="Z28" s="55"/>
      <c r="AA28" s="55"/>
      <c r="AB28" s="64" t="str">
        <f>IFERROR(__xludf.DUMMYFUNCTION("IF(AA28="""",,COUNTUNIQUE(FILTER(data!D$2:D1000, data!E$2:E1000=3, data!A$2:A1000=AA28)))
"),"")</f>
        <v/>
      </c>
      <c r="AC28" s="64" t="str">
        <f>IFERROR(__xludf.DUMMYFUNCTION("IF(AA28="""",,ROUND(AVERAGE(FILTER(data!B$2:B1000, data!E$2:E1000=3, data!A$2:A1000=AA28)),2))
"),"")</f>
        <v/>
      </c>
      <c r="AD28" s="64" t="str">
        <f>IFERROR(__xludf.DUMMYFUNCTION("IF(AA28="""",,ROUND(AVERAGE(FILTER(data!C$2:C1000, data!E$2:E1000=3, data!A$2:A1000=AA28)),2))
"),"")</f>
        <v/>
      </c>
      <c r="AE28" s="64" t="str">
        <f>IFERROR(__xludf.DUMMYFUNCTION("IF(AA28="""",,
  MAX(FILTER(data!B$2:B1000, data!E$2:E1000=3, data!A$2:A1000=AA28))
 -MIN(FILTER(data!B$2:B1000, data!E$2:E1000=3, data!A$2:A1000=AA28))
)
"),"")</f>
        <v/>
      </c>
      <c r="AF28" s="64" t="str">
        <f>IFERROR(__xludf.DUMMYFUNCTION("IF(AA28="""",,
  MAX(FILTER(data!C$2:C1000, data!E$2:E1000=3, data!A$2:A1000=AA28))
 -MIN(FILTER(data!C$2:C1000, data!E$2:E1000=3, data!A$2:A1000=AA28))
)
"),"")</f>
        <v/>
      </c>
      <c r="AG28" s="55" t="str">
        <f t="shared" si="6"/>
        <v/>
      </c>
      <c r="AH28" s="55"/>
      <c r="AI28" s="64"/>
      <c r="AJ28" s="64"/>
      <c r="AK28" s="64"/>
      <c r="AL28" s="64"/>
      <c r="AM28" s="64"/>
      <c r="AN28" s="64"/>
      <c r="AO28" s="55"/>
      <c r="AP28" s="55"/>
      <c r="AQ28" s="64"/>
      <c r="AR28" s="64"/>
      <c r="AS28" s="64"/>
      <c r="AT28" s="64"/>
      <c r="AU28" s="64"/>
      <c r="AV28" s="55"/>
      <c r="AW28" s="55"/>
      <c r="AX28" s="64"/>
      <c r="AY28" s="64"/>
      <c r="AZ28" s="64"/>
      <c r="BA28" s="64"/>
      <c r="BB28" s="64"/>
      <c r="BC28" s="55"/>
      <c r="BD28" s="55"/>
      <c r="BE28" s="64"/>
      <c r="BF28" s="64" t="str">
        <f>IFERROR(__xludf.DUMMYFUNCTION("IF(BD28="""",,IFERROR(ROUND(AVERAGE(FILTER(data!B$2:B1000, (data!E$2:E1000&amp;"""")=""3"", (data!A$2:A1000&amp;"""")=(BD28&amp;""""))),2),""""))
"),"")</f>
        <v/>
      </c>
      <c r="BG28" s="64" t="str">
        <f>IFERROR(__xludf.DUMMYFUNCTION("IF(BD28="""",,IFERROR(ROUND(AVERAGE(FILTER(data!C$2:C1000, (data!E$2:E1000&amp;"""")=""3"", (data!A$2:A1000&amp;"""")=(BD28&amp;""""))),2),""""))
"),"")</f>
        <v/>
      </c>
      <c r="BH28" s="64" t="str">
        <f>IFERROR(__xludf.DUMMYFUNCTION("IF(BD28="""",,IFERROR(
  MAX(FILTER(data!B$2:B1000, (data!E$2:E1000&amp;"""")=""3"", (data!A$2:A1000&amp;"""")=(BD28&amp;"""")))
 -MIN(FILTER(data!B$2:B1000, (data!E$2:E1000&amp;"""")=""3"", (data!A$2:A1000&amp;"""")=(BD28&amp;"""")))
,""""))
"),"")</f>
        <v/>
      </c>
      <c r="BI28" s="64" t="str">
        <f>IFERROR(__xludf.DUMMYFUNCTION("IF(BD28="""",,IFERROR(
  MAX(FILTER(data!C$2:C1000, (data!E$2:E1000&amp;"""")=""3"", (data!A$2:A1000&amp;"""")=(BD28&amp;"""")))
 -MIN(FILTER(data!C$2:C1000, (data!E$2:E1000&amp;"""")=""3"", (data!A$2:A1000&amp;"""")=(BD28&amp;"""")))
,""""))
"),"")</f>
        <v/>
      </c>
      <c r="BJ28" s="64" t="str">
        <f t="shared" si="7"/>
        <v/>
      </c>
      <c r="BK28" s="55"/>
      <c r="BL28" s="65">
        <f>IFERROR(__xludf.DUMMYFUNCTION("""COMPUTED_VALUE"""),36.0)</f>
        <v>36</v>
      </c>
      <c r="BM28" s="65" t="str">
        <f>IFERROR(__xludf.DUMMYFUNCTION("""COMPUTED_VALUE"""),"A")</f>
        <v>A</v>
      </c>
      <c r="BN28" s="63">
        <f>IFERROR(__xludf.DUMMYFUNCTION("""COMPUTED_VALUE"""),5.5)</f>
        <v>5.5</v>
      </c>
      <c r="BO28" s="63">
        <f>IFERROR(__xludf.DUMMYFUNCTION("""COMPUTED_VALUE"""),5.5)</f>
        <v>5.5</v>
      </c>
      <c r="BP28" s="63">
        <f>IFERROR(__xludf.DUMMYFUNCTION("""COMPUTED_VALUE"""),5.5)</f>
        <v>5.5</v>
      </c>
      <c r="BQ28" s="63">
        <f>IFERROR(__xludf.DUMMYFUNCTION("""COMPUTED_VALUE"""),8.0)</f>
        <v>8</v>
      </c>
      <c r="BR28" s="63">
        <f>IFERROR(__xludf.DUMMYFUNCTION("""COMPUTED_VALUE"""),8.0)</f>
        <v>8</v>
      </c>
      <c r="BS28" s="63">
        <f>IFERROR(__xludf.DUMMYFUNCTION("""COMPUTED_VALUE"""),8.0)</f>
        <v>8</v>
      </c>
      <c r="BT28" s="63">
        <v>0.0</v>
      </c>
      <c r="BU28" s="63">
        <v>0.0</v>
      </c>
      <c r="BV28" s="67">
        <v>0.0</v>
      </c>
      <c r="BW28" s="65" t="b">
        <v>0</v>
      </c>
      <c r="BX28" s="55"/>
      <c r="BY28" s="65">
        <f>IFERROR(__xludf.DUMMYFUNCTION("""COMPUTED_VALUE"""),13.0)</f>
        <v>13</v>
      </c>
      <c r="BZ28" s="65">
        <f>IFERROR(__xludf.DUMMYFUNCTION("""COMPUTED_VALUE"""),0.0)</f>
        <v>0</v>
      </c>
      <c r="CA28" s="55"/>
      <c r="CB28" s="55"/>
      <c r="CC28" s="55"/>
      <c r="CD28" s="55"/>
      <c r="CE28" s="55"/>
      <c r="CF28" s="55"/>
      <c r="CG28" s="55"/>
      <c r="CH28" s="55"/>
    </row>
    <row r="29" ht="16.5" customHeight="1">
      <c r="A29" s="61">
        <f>IFERROR(__xludf.DUMMYFUNCTION("""COMPUTED_VALUE"""),45.0)</f>
        <v>45</v>
      </c>
      <c r="B29" s="61">
        <f>IFERROR(__xludf.DUMMYFUNCTION("""COMPUTED_VALUE"""),1.0)</f>
        <v>1</v>
      </c>
      <c r="C29" s="55"/>
      <c r="D29" s="55"/>
      <c r="E29" s="55"/>
      <c r="F29" s="61">
        <f>IFERROR(__xludf.DUMMYFUNCTION("""COMPUTED_VALUE"""),84.0)</f>
        <v>84</v>
      </c>
      <c r="G29" s="61" t="str">
        <f>IFERROR(__xludf.DUMMYFUNCTION("""COMPUTED_VALUE"""),"E")</f>
        <v>E</v>
      </c>
      <c r="H29" s="62">
        <f>IFERROR(__xludf.DUMMYFUNCTION("IFERROR(
  AVERAGE(FILTER(data!B$2:B1000, data!A$2:A1000=$F29, data!D$2:D1000=$G29, data!E$2:E1000=2))
  -
  AVERAGE(FILTER(data!B$2:B1000, data!A$2:A1000=$F29, data!D$2:D1000=$G29, data!E$2:E1000=1))
, """")
"),0.5)</f>
        <v>0.5</v>
      </c>
      <c r="I29" s="62">
        <f>IFERROR(__xludf.DUMMYFUNCTION("IFERROR(
  AVERAGE(FILTER(data!B$2:B1000, data!A$2:A1000=$F29, data!D$2:D1000=$G29, data!E$2:E1000=3))
  -
  AVERAGE(FILTER(data!B$2:B1000, data!A$2:A1000=$F29, data!D$2:D1000=$G29, data!E$2:E1000=2))
, """")
"),-0.5)</f>
        <v>-0.5</v>
      </c>
      <c r="J29" s="62">
        <f>IFERROR(__xludf.DUMMYFUNCTION("IFERROR(
  AVERAGE(FILTER(data!B$2:B1000, data!A$2:A1000=$F29, data!D$2:D1000=$G29, data!E$2:E1000=3))
  -
  AVERAGE(FILTER(data!B$2:B1000, data!A$2:A1000=$F29, data!D$2:D1000=$G29, data!E$2:E1000=1))
, """")
"),0.0)</f>
        <v>0</v>
      </c>
      <c r="K29" s="62">
        <f>IFERROR(__xludf.DUMMYFUNCTION("IFERROR(
  AVERAGE(FILTER(data!C$2:C1000, data!A$2:A1000=$F29, data!D$2:D1000=$G29, data!E$2:E1000=2))
  -
  AVERAGE(FILTER(data!C$2:C1000, data!A$2:A1000=$F29, data!D$2:D1000=$G29, data!E$2:E1000=1))
, """")
"),0.0)</f>
        <v>0</v>
      </c>
      <c r="L29" s="62">
        <f>IFERROR(__xludf.DUMMYFUNCTION("IFERROR(
  AVERAGE(FILTER(data!C$2:C1000, data!A$2:A1000=$F29, data!D$2:D1000=$G29, data!E$2:E1000=3))
  -
  AVERAGE(FILTER(data!C$2:C1000, data!A$2:A1000=$F29, data!D$2:D1000=$G29, data!E$2:E1000=2))
, """")
"),0.0)</f>
        <v>0</v>
      </c>
      <c r="M29" s="62">
        <f>IFERROR(__xludf.DUMMYFUNCTION("IFERROR(
  AVERAGE(FILTER(data!C$2:C1000, data!A$2:A1000=$F29, data!D$2:D1000=$G29, data!E$2:E1000=3))
  -
  AVERAGE(FILTER(data!C$2:C1000, data!A$2:A1000=$F29, data!D$2:D1000=$G29, data!E$2:E1000=1))
, """")
"),0.0)</f>
        <v>0</v>
      </c>
      <c r="N29" s="62">
        <f t="shared" ref="N29:P29" si="56">IF(H29="",,ABS(H29))
</f>
        <v>0.5</v>
      </c>
      <c r="O29" s="62">
        <f t="shared" si="56"/>
        <v>0.5</v>
      </c>
      <c r="P29" s="62">
        <f t="shared" si="56"/>
        <v>0</v>
      </c>
      <c r="Q29" s="62">
        <f t="shared" si="4"/>
        <v>0</v>
      </c>
      <c r="R29" s="62">
        <f t="shared" ref="R29:S29" si="57">IF(L29="",,ABS(L29))
</f>
        <v>0</v>
      </c>
      <c r="S29" s="62">
        <f t="shared" si="57"/>
        <v>0</v>
      </c>
      <c r="T29" s="55"/>
      <c r="U29" s="55"/>
      <c r="V29" s="55"/>
      <c r="W29" s="64"/>
      <c r="X29" s="64"/>
      <c r="Y29" s="55"/>
      <c r="Z29" s="55"/>
      <c r="AA29" s="55"/>
      <c r="AB29" s="64" t="str">
        <f>IFERROR(__xludf.DUMMYFUNCTION("IF(AA29="""",,COUNTUNIQUE(FILTER(data!D$2:D1000, data!E$2:E1000=3, data!A$2:A1000=AA29)))
"),"")</f>
        <v/>
      </c>
      <c r="AC29" s="64" t="str">
        <f>IFERROR(__xludf.DUMMYFUNCTION("IF(AA29="""",,ROUND(AVERAGE(FILTER(data!B$2:B1000, data!E$2:E1000=3, data!A$2:A1000=AA29)),2))
"),"")</f>
        <v/>
      </c>
      <c r="AD29" s="64" t="str">
        <f>IFERROR(__xludf.DUMMYFUNCTION("IF(AA29="""",,ROUND(AVERAGE(FILTER(data!C$2:C1000, data!E$2:E1000=3, data!A$2:A1000=AA29)),2))
"),"")</f>
        <v/>
      </c>
      <c r="AE29" s="64" t="str">
        <f>IFERROR(__xludf.DUMMYFUNCTION("IF(AA29="""",,
  MAX(FILTER(data!B$2:B1000, data!E$2:E1000=3, data!A$2:A1000=AA29))
 -MIN(FILTER(data!B$2:B1000, data!E$2:E1000=3, data!A$2:A1000=AA29))
)
"),"")</f>
        <v/>
      </c>
      <c r="AF29" s="64" t="str">
        <f>IFERROR(__xludf.DUMMYFUNCTION("IF(AA29="""",,
  MAX(FILTER(data!C$2:C1000, data!E$2:E1000=3, data!A$2:A1000=AA29))
 -MIN(FILTER(data!C$2:C1000, data!E$2:E1000=3, data!A$2:A1000=AA29))
)
"),"")</f>
        <v/>
      </c>
      <c r="AG29" s="55" t="str">
        <f t="shared" si="6"/>
        <v/>
      </c>
      <c r="AH29" s="55"/>
      <c r="AI29" s="64"/>
      <c r="AJ29" s="64"/>
      <c r="AK29" s="64"/>
      <c r="AL29" s="64"/>
      <c r="AM29" s="64"/>
      <c r="AN29" s="64"/>
      <c r="AO29" s="55"/>
      <c r="AP29" s="55"/>
      <c r="AQ29" s="64"/>
      <c r="AR29" s="64"/>
      <c r="AS29" s="64"/>
      <c r="AT29" s="64"/>
      <c r="AU29" s="64"/>
      <c r="AV29" s="55"/>
      <c r="AW29" s="55"/>
      <c r="AX29" s="64"/>
      <c r="AY29" s="64"/>
      <c r="AZ29" s="64"/>
      <c r="BA29" s="64"/>
      <c r="BB29" s="64"/>
      <c r="BC29" s="55"/>
      <c r="BD29" s="55"/>
      <c r="BE29" s="64"/>
      <c r="BF29" s="64" t="str">
        <f>IFERROR(__xludf.DUMMYFUNCTION("IF(BD29="""",,IFERROR(ROUND(AVERAGE(FILTER(data!B$2:B1000, (data!E$2:E1000&amp;"""")=""3"", (data!A$2:A1000&amp;"""")=(BD29&amp;""""))),2),""""))
"),"")</f>
        <v/>
      </c>
      <c r="BG29" s="64" t="str">
        <f>IFERROR(__xludf.DUMMYFUNCTION("IF(BD29="""",,IFERROR(ROUND(AVERAGE(FILTER(data!C$2:C1000, (data!E$2:E1000&amp;"""")=""3"", (data!A$2:A1000&amp;"""")=(BD29&amp;""""))),2),""""))
"),"")</f>
        <v/>
      </c>
      <c r="BH29" s="64" t="str">
        <f>IFERROR(__xludf.DUMMYFUNCTION("IF(BD29="""",,IFERROR(
  MAX(FILTER(data!B$2:B1000, (data!E$2:E1000&amp;"""")=""3"", (data!A$2:A1000&amp;"""")=(BD29&amp;"""")))
 -MIN(FILTER(data!B$2:B1000, (data!E$2:E1000&amp;"""")=""3"", (data!A$2:A1000&amp;"""")=(BD29&amp;"""")))
,""""))
"),"")</f>
        <v/>
      </c>
      <c r="BI29" s="64" t="str">
        <f>IFERROR(__xludf.DUMMYFUNCTION("IF(BD29="""",,IFERROR(
  MAX(FILTER(data!C$2:C1000, (data!E$2:E1000&amp;"""")=""3"", (data!A$2:A1000&amp;"""")=(BD29&amp;"""")))
 -MIN(FILTER(data!C$2:C1000, (data!E$2:E1000&amp;"""")=""3"", (data!A$2:A1000&amp;"""")=(BD29&amp;"""")))
,""""))
"),"")</f>
        <v/>
      </c>
      <c r="BJ29" s="64" t="str">
        <f t="shared" si="7"/>
        <v/>
      </c>
      <c r="BK29" s="55"/>
      <c r="BL29" s="65">
        <f>IFERROR(__xludf.DUMMYFUNCTION("""COMPUTED_VALUE"""),36.0)</f>
        <v>36</v>
      </c>
      <c r="BM29" s="65" t="str">
        <f>IFERROR(__xludf.DUMMYFUNCTION("""COMPUTED_VALUE"""),"B")</f>
        <v>B</v>
      </c>
      <c r="BN29" s="63">
        <f>IFERROR(__xludf.DUMMYFUNCTION("""COMPUTED_VALUE"""),2.5)</f>
        <v>2.5</v>
      </c>
      <c r="BO29" s="63">
        <f>IFERROR(__xludf.DUMMYFUNCTION("""COMPUTED_VALUE"""),2.5)</f>
        <v>2.5</v>
      </c>
      <c r="BP29" s="63">
        <f>IFERROR(__xludf.DUMMYFUNCTION("""COMPUTED_VALUE"""),2.0)</f>
        <v>2</v>
      </c>
      <c r="BQ29" s="63">
        <f>IFERROR(__xludf.DUMMYFUNCTION("""COMPUTED_VALUE"""),8.0)</f>
        <v>8</v>
      </c>
      <c r="BR29" s="63">
        <f>IFERROR(__xludf.DUMMYFUNCTION("""COMPUTED_VALUE"""),8.0)</f>
        <v>8</v>
      </c>
      <c r="BS29" s="63">
        <f>IFERROR(__xludf.DUMMYFUNCTION("""COMPUTED_VALUE"""),8.0)</f>
        <v>8</v>
      </c>
      <c r="BT29" s="63">
        <v>0.0</v>
      </c>
      <c r="BU29" s="63">
        <v>0.5</v>
      </c>
      <c r="BV29" s="67">
        <v>0.5</v>
      </c>
      <c r="BW29" s="65" t="b">
        <v>0</v>
      </c>
      <c r="BX29" s="55"/>
      <c r="BY29" s="65">
        <f>IFERROR(__xludf.DUMMYFUNCTION("""COMPUTED_VALUE"""),16.0)</f>
        <v>16</v>
      </c>
      <c r="BZ29" s="65">
        <f>IFERROR(__xludf.DUMMYFUNCTION("""COMPUTED_VALUE"""),0.0)</f>
        <v>0</v>
      </c>
      <c r="CA29" s="55"/>
      <c r="CB29" s="55"/>
      <c r="CC29" s="55"/>
      <c r="CD29" s="55"/>
      <c r="CE29" s="55"/>
      <c r="CF29" s="55"/>
      <c r="CG29" s="55"/>
      <c r="CH29" s="55"/>
    </row>
    <row r="30" ht="16.5" customHeight="1">
      <c r="A30" s="61">
        <f>IFERROR(__xludf.DUMMYFUNCTION("""COMPUTED_VALUE"""),47.0)</f>
        <v>47</v>
      </c>
      <c r="B30" s="61">
        <f>IFERROR(__xludf.DUMMYFUNCTION("""COMPUTED_VALUE"""),1.0)</f>
        <v>1</v>
      </c>
      <c r="C30" s="55"/>
      <c r="D30" s="55"/>
      <c r="E30" s="55"/>
      <c r="F30" s="61">
        <f>IFERROR(__xludf.DUMMYFUNCTION("""COMPUTED_VALUE"""),13.0)</f>
        <v>13</v>
      </c>
      <c r="G30" s="61" t="str">
        <f>IFERROR(__xludf.DUMMYFUNCTION("""COMPUTED_VALUE"""),"E")</f>
        <v>E</v>
      </c>
      <c r="H30" s="64" t="str">
        <f>IFERROR(__xludf.DUMMYFUNCTION("IFERROR(
  AVERAGE(FILTER(data!B$2:B1000, data!A$2:A1000=$F30, data!D$2:D1000=$G30, data!E$2:E1000=2))
  -
  AVERAGE(FILTER(data!B$2:B1000, data!A$2:A1000=$F30, data!D$2:D1000=$G30, data!E$2:E1000=1))
, """")
"),"")</f>
        <v/>
      </c>
      <c r="I30" s="62">
        <f>IFERROR(__xludf.DUMMYFUNCTION("IFERROR(
  AVERAGE(FILTER(data!B$2:B1000, data!A$2:A1000=$F30, data!D$2:D1000=$G30, data!E$2:E1000=3))
  -
  AVERAGE(FILTER(data!B$2:B1000, data!A$2:A1000=$F30, data!D$2:D1000=$G30, data!E$2:E1000=2))
, """")
"),0.0)</f>
        <v>0</v>
      </c>
      <c r="J30" s="64" t="str">
        <f>IFERROR(__xludf.DUMMYFUNCTION("IFERROR(
  AVERAGE(FILTER(data!B$2:B1000, data!A$2:A1000=$F30, data!D$2:D1000=$G30, data!E$2:E1000=3))
  -
  AVERAGE(FILTER(data!B$2:B1000, data!A$2:A1000=$F30, data!D$2:D1000=$G30, data!E$2:E1000=1))
, """")
"),"")</f>
        <v/>
      </c>
      <c r="K30" s="64" t="str">
        <f>IFERROR(__xludf.DUMMYFUNCTION("IFERROR(
  AVERAGE(FILTER(data!C$2:C1000, data!A$2:A1000=$F30, data!D$2:D1000=$G30, data!E$2:E1000=2))
  -
  AVERAGE(FILTER(data!C$2:C1000, data!A$2:A1000=$F30, data!D$2:D1000=$G30, data!E$2:E1000=1))
, """")
"),"")</f>
        <v/>
      </c>
      <c r="L30" s="62">
        <f>IFERROR(__xludf.DUMMYFUNCTION("IFERROR(
  AVERAGE(FILTER(data!C$2:C1000, data!A$2:A1000=$F30, data!D$2:D1000=$G30, data!E$2:E1000=3))
  -
  AVERAGE(FILTER(data!C$2:C1000, data!A$2:A1000=$F30, data!D$2:D1000=$G30, data!E$2:E1000=2))
, """")
"),0.0)</f>
        <v>0</v>
      </c>
      <c r="M30" s="64" t="str">
        <f>IFERROR(__xludf.DUMMYFUNCTION("IFERROR(
  AVERAGE(FILTER(data!C$2:C1000, data!A$2:A1000=$F30, data!D$2:D1000=$G30, data!E$2:E1000=3))
  -
  AVERAGE(FILTER(data!C$2:C1000, data!A$2:A1000=$F30, data!D$2:D1000=$G30, data!E$2:E1000=1))
, """")
"),"")</f>
        <v/>
      </c>
      <c r="N30" s="64" t="str">
        <f t="shared" ref="N30:P30" si="58">IF(H30="",,ABS(H30))
</f>
        <v/>
      </c>
      <c r="O30" s="62">
        <f t="shared" si="58"/>
        <v>0</v>
      </c>
      <c r="P30" s="64" t="str">
        <f t="shared" si="58"/>
        <v/>
      </c>
      <c r="Q30" s="62">
        <f t="shared" si="4"/>
        <v>0</v>
      </c>
      <c r="R30" s="62">
        <f t="shared" ref="R30:S30" si="59">IF(L30="",,ABS(L30))
</f>
        <v>0</v>
      </c>
      <c r="S30" s="64" t="str">
        <f t="shared" si="59"/>
        <v/>
      </c>
      <c r="T30" s="55"/>
      <c r="U30" s="55"/>
      <c r="V30" s="55"/>
      <c r="W30" s="64"/>
      <c r="X30" s="64"/>
      <c r="Y30" s="55"/>
      <c r="Z30" s="55"/>
      <c r="AA30" s="55"/>
      <c r="AB30" s="64" t="str">
        <f>IFERROR(__xludf.DUMMYFUNCTION("IF(AA30="""",,COUNTUNIQUE(FILTER(data!D$2:D1000, data!E$2:E1000=3, data!A$2:A1000=AA30)))
"),"")</f>
        <v/>
      </c>
      <c r="AC30" s="64" t="str">
        <f>IFERROR(__xludf.DUMMYFUNCTION("IF(AA30="""",,ROUND(AVERAGE(FILTER(data!B$2:B1000, data!E$2:E1000=3, data!A$2:A1000=AA30)),2))
"),"")</f>
        <v/>
      </c>
      <c r="AD30" s="64" t="str">
        <f>IFERROR(__xludf.DUMMYFUNCTION("IF(AA30="""",,ROUND(AVERAGE(FILTER(data!C$2:C1000, data!E$2:E1000=3, data!A$2:A1000=AA30)),2))
"),"")</f>
        <v/>
      </c>
      <c r="AE30" s="64" t="str">
        <f>IFERROR(__xludf.DUMMYFUNCTION("IF(AA30="""",,
  MAX(FILTER(data!B$2:B1000, data!E$2:E1000=3, data!A$2:A1000=AA30))
 -MIN(FILTER(data!B$2:B1000, data!E$2:E1000=3, data!A$2:A1000=AA30))
)
"),"")</f>
        <v/>
      </c>
      <c r="AF30" s="64" t="str">
        <f>IFERROR(__xludf.DUMMYFUNCTION("IF(AA30="""",,
  MAX(FILTER(data!C$2:C1000, data!E$2:E1000=3, data!A$2:A1000=AA30))
 -MIN(FILTER(data!C$2:C1000, data!E$2:E1000=3, data!A$2:A1000=AA30))
)
"),"")</f>
        <v/>
      </c>
      <c r="AG30" s="55" t="str">
        <f t="shared" si="6"/>
        <v/>
      </c>
      <c r="AH30" s="55"/>
      <c r="AI30" s="64"/>
      <c r="AJ30" s="64"/>
      <c r="AK30" s="64"/>
      <c r="AL30" s="64"/>
      <c r="AM30" s="64"/>
      <c r="AN30" s="64"/>
      <c r="AO30" s="55"/>
      <c r="AP30" s="55"/>
      <c r="AQ30" s="64"/>
      <c r="AR30" s="64"/>
      <c r="AS30" s="64"/>
      <c r="AT30" s="64"/>
      <c r="AU30" s="64"/>
      <c r="AV30" s="55"/>
      <c r="AW30" s="55"/>
      <c r="AX30" s="64"/>
      <c r="AY30" s="64"/>
      <c r="AZ30" s="64"/>
      <c r="BA30" s="64"/>
      <c r="BB30" s="64"/>
      <c r="BC30" s="55"/>
      <c r="BD30" s="55"/>
      <c r="BE30" s="64"/>
      <c r="BF30" s="64" t="str">
        <f>IFERROR(__xludf.DUMMYFUNCTION("IF(BD30="""",,IFERROR(ROUND(AVERAGE(FILTER(data!B$2:B1000, (data!E$2:E1000&amp;"""")=""3"", (data!A$2:A1000&amp;"""")=(BD30&amp;""""))),2),""""))
"),"")</f>
        <v/>
      </c>
      <c r="BG30" s="64" t="str">
        <f>IFERROR(__xludf.DUMMYFUNCTION("IF(BD30="""",,IFERROR(ROUND(AVERAGE(FILTER(data!C$2:C1000, (data!E$2:E1000&amp;"""")=""3"", (data!A$2:A1000&amp;"""")=(BD30&amp;""""))),2),""""))
"),"")</f>
        <v/>
      </c>
      <c r="BH30" s="64" t="str">
        <f>IFERROR(__xludf.DUMMYFUNCTION("IF(BD30="""",,IFERROR(
  MAX(FILTER(data!B$2:B1000, (data!E$2:E1000&amp;"""")=""3"", (data!A$2:A1000&amp;"""")=(BD30&amp;"""")))
 -MIN(FILTER(data!B$2:B1000, (data!E$2:E1000&amp;"""")=""3"", (data!A$2:A1000&amp;"""")=(BD30&amp;"""")))
,""""))
"),"")</f>
        <v/>
      </c>
      <c r="BI30" s="64" t="str">
        <f>IFERROR(__xludf.DUMMYFUNCTION("IF(BD30="""",,IFERROR(
  MAX(FILTER(data!C$2:C1000, (data!E$2:E1000&amp;"""")=""3"", (data!A$2:A1000&amp;"""")=(BD30&amp;"""")))
 -MIN(FILTER(data!C$2:C1000, (data!E$2:E1000&amp;"""")=""3"", (data!A$2:A1000&amp;"""")=(BD30&amp;"""")))
,""""))
"),"")</f>
        <v/>
      </c>
      <c r="BJ30" s="64" t="str">
        <f t="shared" si="7"/>
        <v/>
      </c>
      <c r="BK30" s="55"/>
      <c r="BL30" s="65">
        <f>IFERROR(__xludf.DUMMYFUNCTION("""COMPUTED_VALUE"""),36.0)</f>
        <v>36</v>
      </c>
      <c r="BM30" s="65" t="str">
        <f>IFERROR(__xludf.DUMMYFUNCTION("""COMPUTED_VALUE"""),"E")</f>
        <v>E</v>
      </c>
      <c r="BN30" s="63">
        <f>IFERROR(__xludf.DUMMYFUNCTION("""COMPUTED_VALUE"""),1.0)</f>
        <v>1</v>
      </c>
      <c r="BO30" s="63">
        <f>IFERROR(__xludf.DUMMYFUNCTION("""COMPUTED_VALUE"""),1.0)</f>
        <v>1</v>
      </c>
      <c r="BP30" s="63">
        <f>IFERROR(__xludf.DUMMYFUNCTION("""COMPUTED_VALUE"""),1.0)</f>
        <v>1</v>
      </c>
      <c r="BQ30" s="63">
        <f>IFERROR(__xludf.DUMMYFUNCTION("""COMPUTED_VALUE"""),7.5)</f>
        <v>7.5</v>
      </c>
      <c r="BR30" s="63">
        <f>IFERROR(__xludf.DUMMYFUNCTION("""COMPUTED_VALUE"""),7.0)</f>
        <v>7</v>
      </c>
      <c r="BS30" s="63">
        <f>IFERROR(__xludf.DUMMYFUNCTION("""COMPUTED_VALUE"""),7.0)</f>
        <v>7</v>
      </c>
      <c r="BT30" s="63">
        <v>0.5</v>
      </c>
      <c r="BU30" s="63">
        <v>0.0</v>
      </c>
      <c r="BV30" s="67">
        <v>0.5</v>
      </c>
      <c r="BW30" s="65" t="b">
        <v>0</v>
      </c>
      <c r="BX30" s="55"/>
      <c r="BY30" s="65">
        <f>IFERROR(__xludf.DUMMYFUNCTION("""COMPUTED_VALUE"""),19.0)</f>
        <v>19</v>
      </c>
      <c r="BZ30" s="65">
        <f>IFERROR(__xludf.DUMMYFUNCTION("""COMPUTED_VALUE"""),0.0)</f>
        <v>0</v>
      </c>
      <c r="CA30" s="55"/>
      <c r="CB30" s="55"/>
      <c r="CC30" s="55"/>
      <c r="CD30" s="55"/>
      <c r="CE30" s="55"/>
      <c r="CF30" s="55"/>
      <c r="CG30" s="55"/>
      <c r="CH30" s="55"/>
    </row>
    <row r="31" ht="16.5" customHeight="1">
      <c r="A31" s="61">
        <f>IFERROR(__xludf.DUMMYFUNCTION("""COMPUTED_VALUE"""),49.0)</f>
        <v>49</v>
      </c>
      <c r="B31" s="61">
        <f>IFERROR(__xludf.DUMMYFUNCTION("""COMPUTED_VALUE"""),1.0)</f>
        <v>1</v>
      </c>
      <c r="C31" s="55"/>
      <c r="D31" s="55"/>
      <c r="E31" s="55"/>
      <c r="F31" s="61">
        <f>IFERROR(__xludf.DUMMYFUNCTION("""COMPUTED_VALUE"""),87.0)</f>
        <v>87</v>
      </c>
      <c r="G31" s="61" t="str">
        <f>IFERROR(__xludf.DUMMYFUNCTION("""COMPUTED_VALUE"""),"E")</f>
        <v>E</v>
      </c>
      <c r="H31" s="64" t="str">
        <f>IFERROR(__xludf.DUMMYFUNCTION("IFERROR(
  AVERAGE(FILTER(data!B$2:B1000, data!A$2:A1000=$F31, data!D$2:D1000=$G31, data!E$2:E1000=2))
  -
  AVERAGE(FILTER(data!B$2:B1000, data!A$2:A1000=$F31, data!D$2:D1000=$G31, data!E$2:E1000=1))
, """")
"),"")</f>
        <v/>
      </c>
      <c r="I31" s="62">
        <f>IFERROR(__xludf.DUMMYFUNCTION("IFERROR(
  AVERAGE(FILTER(data!B$2:B1000, data!A$2:A1000=$F31, data!D$2:D1000=$G31, data!E$2:E1000=3))
  -
  AVERAGE(FILTER(data!B$2:B1000, data!A$2:A1000=$F31, data!D$2:D1000=$G31, data!E$2:E1000=2))
, """")
"),-0.5)</f>
        <v>-0.5</v>
      </c>
      <c r="J31" s="64" t="str">
        <f>IFERROR(__xludf.DUMMYFUNCTION("IFERROR(
  AVERAGE(FILTER(data!B$2:B1000, data!A$2:A1000=$F31, data!D$2:D1000=$G31, data!E$2:E1000=3))
  -
  AVERAGE(FILTER(data!B$2:B1000, data!A$2:A1000=$F31, data!D$2:D1000=$G31, data!E$2:E1000=1))
, """")
"),"")</f>
        <v/>
      </c>
      <c r="K31" s="64" t="str">
        <f>IFERROR(__xludf.DUMMYFUNCTION("IFERROR(
  AVERAGE(FILTER(data!C$2:C1000, data!A$2:A1000=$F31, data!D$2:D1000=$G31, data!E$2:E1000=2))
  -
  AVERAGE(FILTER(data!C$2:C1000, data!A$2:A1000=$F31, data!D$2:D1000=$G31, data!E$2:E1000=1))
, """")
"),"")</f>
        <v/>
      </c>
      <c r="L31" s="62">
        <f>IFERROR(__xludf.DUMMYFUNCTION("IFERROR(
  AVERAGE(FILTER(data!C$2:C1000, data!A$2:A1000=$F31, data!D$2:D1000=$G31, data!E$2:E1000=3))
  -
  AVERAGE(FILTER(data!C$2:C1000, data!A$2:A1000=$F31, data!D$2:D1000=$G31, data!E$2:E1000=2))
, """")
"),0.0)</f>
        <v>0</v>
      </c>
      <c r="M31" s="64" t="str">
        <f>IFERROR(__xludf.DUMMYFUNCTION("IFERROR(
  AVERAGE(FILTER(data!C$2:C1000, data!A$2:A1000=$F31, data!D$2:D1000=$G31, data!E$2:E1000=3))
  -
  AVERAGE(FILTER(data!C$2:C1000, data!A$2:A1000=$F31, data!D$2:D1000=$G31, data!E$2:E1000=1))
, """")
"),"")</f>
        <v/>
      </c>
      <c r="N31" s="64" t="str">
        <f t="shared" ref="N31:P31" si="60">IF(H31="",,ABS(H31))
</f>
        <v/>
      </c>
      <c r="O31" s="62">
        <f t="shared" si="60"/>
        <v>0.5</v>
      </c>
      <c r="P31" s="64" t="str">
        <f t="shared" si="60"/>
        <v/>
      </c>
      <c r="Q31" s="62">
        <f t="shared" si="4"/>
        <v>0</v>
      </c>
      <c r="R31" s="62">
        <f t="shared" ref="R31:S31" si="61">IF(L31="",,ABS(L31))
</f>
        <v>0</v>
      </c>
      <c r="S31" s="64" t="str">
        <f t="shared" si="61"/>
        <v/>
      </c>
      <c r="T31" s="55"/>
      <c r="U31" s="55"/>
      <c r="V31" s="55"/>
      <c r="W31" s="64"/>
      <c r="X31" s="64"/>
      <c r="Y31" s="55"/>
      <c r="Z31" s="55"/>
      <c r="AA31" s="55"/>
      <c r="AB31" s="64" t="str">
        <f>IFERROR(__xludf.DUMMYFUNCTION("IF(AA31="""",,COUNTUNIQUE(FILTER(data!D$2:D1000, data!E$2:E1000=3, data!A$2:A1000=AA31)))
"),"")</f>
        <v/>
      </c>
      <c r="AC31" s="64" t="str">
        <f>IFERROR(__xludf.DUMMYFUNCTION("IF(AA31="""",,ROUND(AVERAGE(FILTER(data!B$2:B1000, data!E$2:E1000=3, data!A$2:A1000=AA31)),2))
"),"")</f>
        <v/>
      </c>
      <c r="AD31" s="64" t="str">
        <f>IFERROR(__xludf.DUMMYFUNCTION("IF(AA31="""",,ROUND(AVERAGE(FILTER(data!C$2:C1000, data!E$2:E1000=3, data!A$2:A1000=AA31)),2))
"),"")</f>
        <v/>
      </c>
      <c r="AE31" s="64" t="str">
        <f>IFERROR(__xludf.DUMMYFUNCTION("IF(AA31="""",,
  MAX(FILTER(data!B$2:B1000, data!E$2:E1000=3, data!A$2:A1000=AA31))
 -MIN(FILTER(data!B$2:B1000, data!E$2:E1000=3, data!A$2:A1000=AA31))
)
"),"")</f>
        <v/>
      </c>
      <c r="AF31" s="64" t="str">
        <f>IFERROR(__xludf.DUMMYFUNCTION("IF(AA31="""",,
  MAX(FILTER(data!C$2:C1000, data!E$2:E1000=3, data!A$2:A1000=AA31))
 -MIN(FILTER(data!C$2:C1000, data!E$2:E1000=3, data!A$2:A1000=AA31))
)
"),"")</f>
        <v/>
      </c>
      <c r="AG31" s="55" t="str">
        <f t="shared" si="6"/>
        <v/>
      </c>
      <c r="AH31" s="55"/>
      <c r="AI31" s="64"/>
      <c r="AJ31" s="64"/>
      <c r="AK31" s="64"/>
      <c r="AL31" s="64"/>
      <c r="AM31" s="64"/>
      <c r="AN31" s="64"/>
      <c r="AO31" s="55"/>
      <c r="AP31" s="55"/>
      <c r="AQ31" s="64"/>
      <c r="AR31" s="64"/>
      <c r="AS31" s="64"/>
      <c r="AT31" s="64"/>
      <c r="AU31" s="64"/>
      <c r="AV31" s="55"/>
      <c r="AW31" s="55"/>
      <c r="AX31" s="64"/>
      <c r="AY31" s="64"/>
      <c r="AZ31" s="64"/>
      <c r="BA31" s="64"/>
      <c r="BB31" s="64"/>
      <c r="BC31" s="55"/>
      <c r="BD31" s="55"/>
      <c r="BE31" s="64"/>
      <c r="BF31" s="64" t="str">
        <f>IFERROR(__xludf.DUMMYFUNCTION("IF(BD31="""",,IFERROR(ROUND(AVERAGE(FILTER(data!B$2:B1000, (data!E$2:E1000&amp;"""")=""3"", (data!A$2:A1000&amp;"""")=(BD31&amp;""""))),2),""""))
"),"")</f>
        <v/>
      </c>
      <c r="BG31" s="64" t="str">
        <f>IFERROR(__xludf.DUMMYFUNCTION("IF(BD31="""",,IFERROR(ROUND(AVERAGE(FILTER(data!C$2:C1000, (data!E$2:E1000&amp;"""")=""3"", (data!A$2:A1000&amp;"""")=(BD31&amp;""""))),2),""""))
"),"")</f>
        <v/>
      </c>
      <c r="BH31" s="64" t="str">
        <f>IFERROR(__xludf.DUMMYFUNCTION("IF(BD31="""",,IFERROR(
  MAX(FILTER(data!B$2:B1000, (data!E$2:E1000&amp;"""")=""3"", (data!A$2:A1000&amp;"""")=(BD31&amp;"""")))
 -MIN(FILTER(data!B$2:B1000, (data!E$2:E1000&amp;"""")=""3"", (data!A$2:A1000&amp;"""")=(BD31&amp;"""")))
,""""))
"),"")</f>
        <v/>
      </c>
      <c r="BI31" s="64" t="str">
        <f>IFERROR(__xludf.DUMMYFUNCTION("IF(BD31="""",,IFERROR(
  MAX(FILTER(data!C$2:C1000, (data!E$2:E1000&amp;"""")=""3"", (data!A$2:A1000&amp;"""")=(BD31&amp;"""")))
 -MIN(FILTER(data!C$2:C1000, (data!E$2:E1000&amp;"""")=""3"", (data!A$2:A1000&amp;"""")=(BD31&amp;"""")))
,""""))
"),"")</f>
        <v/>
      </c>
      <c r="BJ31" s="64" t="str">
        <f t="shared" si="7"/>
        <v/>
      </c>
      <c r="BK31" s="55"/>
      <c r="BL31" s="65">
        <f>IFERROR(__xludf.DUMMYFUNCTION("""COMPUTED_VALUE"""),39.0)</f>
        <v>39</v>
      </c>
      <c r="BM31" s="65" t="str">
        <f>IFERROR(__xludf.DUMMYFUNCTION("""COMPUTED_VALUE"""),"B")</f>
        <v>B</v>
      </c>
      <c r="BN31" s="63">
        <f>IFERROR(__xludf.DUMMYFUNCTION("""COMPUTED_VALUE"""),3.0)</f>
        <v>3</v>
      </c>
      <c r="BO31" s="63">
        <f>IFERROR(__xludf.DUMMYFUNCTION("""COMPUTED_VALUE"""),3.0)</f>
        <v>3</v>
      </c>
      <c r="BP31" s="63">
        <f>IFERROR(__xludf.DUMMYFUNCTION("""COMPUTED_VALUE"""),3.0)</f>
        <v>3</v>
      </c>
      <c r="BQ31" s="63">
        <f>IFERROR(__xludf.DUMMYFUNCTION("""COMPUTED_VALUE"""),4.0)</f>
        <v>4</v>
      </c>
      <c r="BR31" s="63">
        <f>IFERROR(__xludf.DUMMYFUNCTION("""COMPUTED_VALUE"""),4.0)</f>
        <v>4</v>
      </c>
      <c r="BS31" s="63">
        <f>IFERROR(__xludf.DUMMYFUNCTION("""COMPUTED_VALUE"""),5.0)</f>
        <v>5</v>
      </c>
      <c r="BT31" s="63">
        <v>0.0</v>
      </c>
      <c r="BU31" s="63">
        <v>1.0</v>
      </c>
      <c r="BV31" s="67">
        <v>1.0</v>
      </c>
      <c r="BW31" s="65" t="b">
        <v>0</v>
      </c>
      <c r="BX31" s="55"/>
      <c r="BY31" s="65">
        <f>IFERROR(__xludf.DUMMYFUNCTION("""COMPUTED_VALUE"""),22.0)</f>
        <v>22</v>
      </c>
      <c r="BZ31" s="65">
        <f>IFERROR(__xludf.DUMMYFUNCTION("""COMPUTED_VALUE"""),0.0)</f>
        <v>0</v>
      </c>
      <c r="CA31" s="55"/>
      <c r="CB31" s="55"/>
      <c r="CC31" s="55"/>
      <c r="CD31" s="55"/>
      <c r="CE31" s="55"/>
      <c r="CF31" s="55"/>
      <c r="CG31" s="55"/>
      <c r="CH31" s="55"/>
    </row>
    <row r="32" ht="16.5" customHeight="1">
      <c r="A32" s="61">
        <f>IFERROR(__xludf.DUMMYFUNCTION("""COMPUTED_VALUE"""),50.0)</f>
        <v>50</v>
      </c>
      <c r="B32" s="61">
        <f>IFERROR(__xludf.DUMMYFUNCTION("""COMPUTED_VALUE"""),1.0)</f>
        <v>1</v>
      </c>
      <c r="C32" s="55"/>
      <c r="D32" s="55"/>
      <c r="E32" s="55"/>
      <c r="F32" s="55"/>
      <c r="G32" s="55"/>
      <c r="H32" s="64" t="str">
        <f>IFERROR(__xludf.DUMMYFUNCTION("IFERROR(
  AVERAGE(FILTER(data!B$2:B1000, data!A$2:A1000=$F32, data!D$2:D1000=$G32, data!E$2:E1000=2))
  -
  AVERAGE(FILTER(data!B$2:B1000, data!A$2:A1000=$F32, data!D$2:D1000=$G32, data!E$2:E1000=1))
, """")
"),"")</f>
        <v/>
      </c>
      <c r="I32" s="64" t="str">
        <f>IFERROR(__xludf.DUMMYFUNCTION("IFERROR(
  AVERAGE(FILTER(data!B$2:B1000, data!A$2:A1000=$F32, data!D$2:D1000=$G32, data!E$2:E1000=3))
  -
  AVERAGE(FILTER(data!B$2:B1000, data!A$2:A1000=$F32, data!D$2:D1000=$G32, data!E$2:E1000=2))
, """")
"),"")</f>
        <v/>
      </c>
      <c r="J32" s="64" t="str">
        <f>IFERROR(__xludf.DUMMYFUNCTION("IFERROR(
  AVERAGE(FILTER(data!B$2:B1000, data!A$2:A1000=$F32, data!D$2:D1000=$G32, data!E$2:E1000=3))
  -
  AVERAGE(FILTER(data!B$2:B1000, data!A$2:A1000=$F32, data!D$2:D1000=$G32, data!E$2:E1000=1))
, """")
"),"")</f>
        <v/>
      </c>
      <c r="K32" s="64" t="str">
        <f>IFERROR(__xludf.DUMMYFUNCTION("IFERROR(
  AVERAGE(FILTER(data!C$2:C1000, data!A$2:A1000=$F32, data!D$2:D1000=$G32, data!E$2:E1000=2))
  -
  AVERAGE(FILTER(data!C$2:C1000, data!A$2:A1000=$F32, data!D$2:D1000=$G32, data!E$2:E1000=1))
, """")
"),"")</f>
        <v/>
      </c>
      <c r="L32" s="64" t="str">
        <f>IFERROR(__xludf.DUMMYFUNCTION("IFERROR(
  AVERAGE(FILTER(data!C$2:C1000, data!A$2:A1000=$F32, data!D$2:D1000=$G32, data!E$2:E1000=3))
  -
  AVERAGE(FILTER(data!C$2:C1000, data!A$2:A1000=$F32, data!D$2:D1000=$G32, data!E$2:E1000=2))
, """")
"),"")</f>
        <v/>
      </c>
      <c r="M32" s="64" t="str">
        <f>IFERROR(__xludf.DUMMYFUNCTION("IFERROR(
  AVERAGE(FILTER(data!C$2:C1000, data!A$2:A1000=$F32, data!D$2:D1000=$G32, data!E$2:E1000=3))
  -
  AVERAGE(FILTER(data!C$2:C1000, data!A$2:A1000=$F32, data!D$2:D1000=$G32, data!E$2:E1000=1))
, """")
"),"")</f>
        <v/>
      </c>
      <c r="N32" s="64" t="str">
        <f t="shared" ref="N32:P32" si="62">IF(H32="",,ABS(H32))
</f>
        <v/>
      </c>
      <c r="O32" s="64" t="str">
        <f t="shared" si="62"/>
        <v/>
      </c>
      <c r="P32" s="64" t="str">
        <f t="shared" si="62"/>
        <v/>
      </c>
      <c r="Q32" s="64" t="str">
        <f t="shared" si="4"/>
        <v/>
      </c>
      <c r="R32" s="64" t="str">
        <f t="shared" ref="R32:S32" si="63">IF(L32="",,ABS(L32))
</f>
        <v/>
      </c>
      <c r="S32" s="64" t="str">
        <f t="shared" si="63"/>
        <v/>
      </c>
      <c r="T32" s="55"/>
      <c r="U32" s="55"/>
      <c r="V32" s="55"/>
      <c r="W32" s="64"/>
      <c r="X32" s="64"/>
      <c r="Y32" s="55"/>
      <c r="Z32" s="55"/>
      <c r="AA32" s="55"/>
      <c r="AB32" s="64" t="str">
        <f>IFERROR(__xludf.DUMMYFUNCTION("IF(AA32="""",,COUNTUNIQUE(FILTER(data!D$2:D1000, data!E$2:E1000=3, data!A$2:A1000=AA32)))
"),"")</f>
        <v/>
      </c>
      <c r="AC32" s="64" t="str">
        <f>IFERROR(__xludf.DUMMYFUNCTION("IF(AA32="""",,ROUND(AVERAGE(FILTER(data!B$2:B1000, data!E$2:E1000=3, data!A$2:A1000=AA32)),2))
"),"")</f>
        <v/>
      </c>
      <c r="AD32" s="64" t="str">
        <f>IFERROR(__xludf.DUMMYFUNCTION("IF(AA32="""",,ROUND(AVERAGE(FILTER(data!C$2:C1000, data!E$2:E1000=3, data!A$2:A1000=AA32)),2))
"),"")</f>
        <v/>
      </c>
      <c r="AE32" s="64" t="str">
        <f>IFERROR(__xludf.DUMMYFUNCTION("IF(AA32="""",,
  MAX(FILTER(data!B$2:B1000, data!E$2:E1000=3, data!A$2:A1000=AA32))
 -MIN(FILTER(data!B$2:B1000, data!E$2:E1000=3, data!A$2:A1000=AA32))
)
"),"")</f>
        <v/>
      </c>
      <c r="AF32" s="64" t="str">
        <f>IFERROR(__xludf.DUMMYFUNCTION("IF(AA32="""",,
  MAX(FILTER(data!C$2:C1000, data!E$2:E1000=3, data!A$2:A1000=AA32))
 -MIN(FILTER(data!C$2:C1000, data!E$2:E1000=3, data!A$2:A1000=AA32))
)
"),"")</f>
        <v/>
      </c>
      <c r="AG32" s="55" t="str">
        <f t="shared" si="6"/>
        <v/>
      </c>
      <c r="AH32" s="55"/>
      <c r="AI32" s="64"/>
      <c r="AJ32" s="64"/>
      <c r="AK32" s="64"/>
      <c r="AL32" s="64"/>
      <c r="AM32" s="64"/>
      <c r="AN32" s="64"/>
      <c r="AO32" s="55"/>
      <c r="AP32" s="55"/>
      <c r="AQ32" s="64"/>
      <c r="AR32" s="64"/>
      <c r="AS32" s="64"/>
      <c r="AT32" s="64"/>
      <c r="AU32" s="64"/>
      <c r="AV32" s="55"/>
      <c r="AW32" s="55"/>
      <c r="AX32" s="64"/>
      <c r="AY32" s="64"/>
      <c r="AZ32" s="64"/>
      <c r="BA32" s="64"/>
      <c r="BB32" s="64"/>
      <c r="BC32" s="55"/>
      <c r="BD32" s="55"/>
      <c r="BE32" s="64"/>
      <c r="BF32" s="64" t="str">
        <f>IFERROR(__xludf.DUMMYFUNCTION("IF(BD32="""",,IFERROR(ROUND(AVERAGE(FILTER(data!B$2:B1000, (data!E$2:E1000&amp;"""")=""3"", (data!A$2:A1000&amp;"""")=(BD32&amp;""""))),2),""""))
"),"")</f>
        <v/>
      </c>
      <c r="BG32" s="64" t="str">
        <f>IFERROR(__xludf.DUMMYFUNCTION("IF(BD32="""",,IFERROR(ROUND(AVERAGE(FILTER(data!C$2:C1000, (data!E$2:E1000&amp;"""")=""3"", (data!A$2:A1000&amp;"""")=(BD32&amp;""""))),2),""""))
"),"")</f>
        <v/>
      </c>
      <c r="BH32" s="64" t="str">
        <f>IFERROR(__xludf.DUMMYFUNCTION("IF(BD32="""",,IFERROR(
  MAX(FILTER(data!B$2:B1000, (data!E$2:E1000&amp;"""")=""3"", (data!A$2:A1000&amp;"""")=(BD32&amp;"""")))
 -MIN(FILTER(data!B$2:B1000, (data!E$2:E1000&amp;"""")=""3"", (data!A$2:A1000&amp;"""")=(BD32&amp;"""")))
,""""))
"),"")</f>
        <v/>
      </c>
      <c r="BI32" s="64" t="str">
        <f>IFERROR(__xludf.DUMMYFUNCTION("IF(BD32="""",,IFERROR(
  MAX(FILTER(data!C$2:C1000, (data!E$2:E1000&amp;"""")=""3"", (data!A$2:A1000&amp;"""")=(BD32&amp;"""")))
 -MIN(FILTER(data!C$2:C1000, (data!E$2:E1000&amp;"""")=""3"", (data!A$2:A1000&amp;"""")=(BD32&amp;"""")))
,""""))
"),"")</f>
        <v/>
      </c>
      <c r="BJ32" s="64" t="str">
        <f t="shared" si="7"/>
        <v/>
      </c>
      <c r="BK32" s="55"/>
      <c r="BL32" s="65">
        <f>IFERROR(__xludf.DUMMYFUNCTION("""COMPUTED_VALUE"""),40.0)</f>
        <v>40</v>
      </c>
      <c r="BM32" s="65" t="str">
        <f>IFERROR(__xludf.DUMMYFUNCTION("""COMPUTED_VALUE"""),"C")</f>
        <v>C</v>
      </c>
      <c r="BN32" s="63">
        <f>IFERROR(__xludf.DUMMYFUNCTION("""COMPUTED_VALUE"""),9.5)</f>
        <v>9.5</v>
      </c>
      <c r="BO32" s="63">
        <f>IFERROR(__xludf.DUMMYFUNCTION("""COMPUTED_VALUE"""),9.5)</f>
        <v>9.5</v>
      </c>
      <c r="BP32" s="64"/>
      <c r="BQ32" s="63">
        <f>IFERROR(__xludf.DUMMYFUNCTION("""COMPUTED_VALUE"""),7.0)</f>
        <v>7</v>
      </c>
      <c r="BR32" s="63">
        <f>IFERROR(__xludf.DUMMYFUNCTION("""COMPUTED_VALUE"""),7.0)</f>
        <v>7</v>
      </c>
      <c r="BS32" s="64"/>
      <c r="BT32" s="63">
        <v>0.0</v>
      </c>
      <c r="BU32" s="64"/>
      <c r="BV32" s="67">
        <v>0.0</v>
      </c>
      <c r="BW32" s="65" t="b">
        <v>0</v>
      </c>
      <c r="BX32" s="55"/>
      <c r="BY32" s="65">
        <f>IFERROR(__xludf.DUMMYFUNCTION("""COMPUTED_VALUE"""),26.0)</f>
        <v>26</v>
      </c>
      <c r="BZ32" s="65">
        <f>IFERROR(__xludf.DUMMYFUNCTION("""COMPUTED_VALUE"""),0.0)</f>
        <v>0</v>
      </c>
      <c r="CA32" s="55"/>
      <c r="CB32" s="55"/>
      <c r="CC32" s="55"/>
      <c r="CD32" s="55"/>
      <c r="CE32" s="55"/>
      <c r="CF32" s="55"/>
      <c r="CG32" s="55"/>
      <c r="CH32" s="55"/>
    </row>
    <row r="33" ht="16.5" customHeight="1">
      <c r="A33" s="61">
        <f>IFERROR(__xludf.DUMMYFUNCTION("""COMPUTED_VALUE"""),66.0)</f>
        <v>66</v>
      </c>
      <c r="B33" s="61">
        <f>IFERROR(__xludf.DUMMYFUNCTION("""COMPUTED_VALUE"""),1.0)</f>
        <v>1</v>
      </c>
      <c r="C33" s="55"/>
      <c r="D33" s="55"/>
      <c r="E33" s="55"/>
      <c r="F33" s="55"/>
      <c r="G33" s="55"/>
      <c r="H33" s="64" t="str">
        <f>IFERROR(__xludf.DUMMYFUNCTION("IFERROR(
  AVERAGE(FILTER(data!B$2:B1000, data!A$2:A1000=$F33, data!D$2:D1000=$G33, data!E$2:E1000=2))
  -
  AVERAGE(FILTER(data!B$2:B1000, data!A$2:A1000=$F33, data!D$2:D1000=$G33, data!E$2:E1000=1))
, """")
"),"")</f>
        <v/>
      </c>
      <c r="I33" s="64" t="str">
        <f>IFERROR(__xludf.DUMMYFUNCTION("IFERROR(
  AVERAGE(FILTER(data!B$2:B1000, data!A$2:A1000=$F33, data!D$2:D1000=$G33, data!E$2:E1000=3))
  -
  AVERAGE(FILTER(data!B$2:B1000, data!A$2:A1000=$F33, data!D$2:D1000=$G33, data!E$2:E1000=2))
, """")
"),"")</f>
        <v/>
      </c>
      <c r="J33" s="64" t="str">
        <f>IFERROR(__xludf.DUMMYFUNCTION("IFERROR(
  AVERAGE(FILTER(data!B$2:B1000, data!A$2:A1000=$F33, data!D$2:D1000=$G33, data!E$2:E1000=3))
  -
  AVERAGE(FILTER(data!B$2:B1000, data!A$2:A1000=$F33, data!D$2:D1000=$G33, data!E$2:E1000=1))
, """")
"),"")</f>
        <v/>
      </c>
      <c r="K33" s="64" t="str">
        <f>IFERROR(__xludf.DUMMYFUNCTION("IFERROR(
  AVERAGE(FILTER(data!C$2:C1000, data!A$2:A1000=$F33, data!D$2:D1000=$G33, data!E$2:E1000=2))
  -
  AVERAGE(FILTER(data!C$2:C1000, data!A$2:A1000=$F33, data!D$2:D1000=$G33, data!E$2:E1000=1))
, """")
"),"")</f>
        <v/>
      </c>
      <c r="L33" s="64" t="str">
        <f>IFERROR(__xludf.DUMMYFUNCTION("IFERROR(
  AVERAGE(FILTER(data!C$2:C1000, data!A$2:A1000=$F33, data!D$2:D1000=$G33, data!E$2:E1000=3))
  -
  AVERAGE(FILTER(data!C$2:C1000, data!A$2:A1000=$F33, data!D$2:D1000=$G33, data!E$2:E1000=2))
, """")
"),"")</f>
        <v/>
      </c>
      <c r="M33" s="64" t="str">
        <f>IFERROR(__xludf.DUMMYFUNCTION("IFERROR(
  AVERAGE(FILTER(data!C$2:C1000, data!A$2:A1000=$F33, data!D$2:D1000=$G33, data!E$2:E1000=3))
  -
  AVERAGE(FILTER(data!C$2:C1000, data!A$2:A1000=$F33, data!D$2:D1000=$G33, data!E$2:E1000=1))
, """")
"),"")</f>
        <v/>
      </c>
      <c r="N33" s="64" t="str">
        <f t="shared" ref="N33:P33" si="64">IF(H33="",,ABS(H33))
</f>
        <v/>
      </c>
      <c r="O33" s="64" t="str">
        <f t="shared" si="64"/>
        <v/>
      </c>
      <c r="P33" s="64" t="str">
        <f t="shared" si="64"/>
        <v/>
      </c>
      <c r="Q33" s="64" t="str">
        <f t="shared" si="4"/>
        <v/>
      </c>
      <c r="R33" s="64" t="str">
        <f t="shared" ref="R33:S33" si="65">IF(L33="",,ABS(L33))
</f>
        <v/>
      </c>
      <c r="S33" s="64" t="str">
        <f t="shared" si="65"/>
        <v/>
      </c>
      <c r="T33" s="55"/>
      <c r="U33" s="55"/>
      <c r="V33" s="55"/>
      <c r="W33" s="64"/>
      <c r="X33" s="64"/>
      <c r="Y33" s="55"/>
      <c r="Z33" s="55"/>
      <c r="AA33" s="55"/>
      <c r="AB33" s="64" t="str">
        <f>IFERROR(__xludf.DUMMYFUNCTION("IF(AA33="""",,COUNTUNIQUE(FILTER(data!D$2:D1000, data!E$2:E1000=3, data!A$2:A1000=AA33)))
"),"")</f>
        <v/>
      </c>
      <c r="AC33" s="64" t="str">
        <f>IFERROR(__xludf.DUMMYFUNCTION("IF(AA33="""",,ROUND(AVERAGE(FILTER(data!B$2:B1000, data!E$2:E1000=3, data!A$2:A1000=AA33)),2))
"),"")</f>
        <v/>
      </c>
      <c r="AD33" s="64" t="str">
        <f>IFERROR(__xludf.DUMMYFUNCTION("IF(AA33="""",,ROUND(AVERAGE(FILTER(data!C$2:C1000, data!E$2:E1000=3, data!A$2:A1000=AA33)),2))
"),"")</f>
        <v/>
      </c>
      <c r="AE33" s="64" t="str">
        <f>IFERROR(__xludf.DUMMYFUNCTION("IF(AA33="""",,
  MAX(FILTER(data!B$2:B1000, data!E$2:E1000=3, data!A$2:A1000=AA33))
 -MIN(FILTER(data!B$2:B1000, data!E$2:E1000=3, data!A$2:A1000=AA33))
)
"),"")</f>
        <v/>
      </c>
      <c r="AF33" s="64" t="str">
        <f>IFERROR(__xludf.DUMMYFUNCTION("IF(AA33="""",,
  MAX(FILTER(data!C$2:C1000, data!E$2:E1000=3, data!A$2:A1000=AA33))
 -MIN(FILTER(data!C$2:C1000, data!E$2:E1000=3, data!A$2:A1000=AA33))
)
"),"")</f>
        <v/>
      </c>
      <c r="AG33" s="55" t="str">
        <f t="shared" si="6"/>
        <v/>
      </c>
      <c r="AH33" s="55"/>
      <c r="AI33" s="64"/>
      <c r="AJ33" s="64"/>
      <c r="AK33" s="64"/>
      <c r="AL33" s="64"/>
      <c r="AM33" s="64"/>
      <c r="AN33" s="64"/>
      <c r="AO33" s="55"/>
      <c r="AP33" s="55"/>
      <c r="AQ33" s="64"/>
      <c r="AR33" s="64"/>
      <c r="AS33" s="64"/>
      <c r="AT33" s="64"/>
      <c r="AU33" s="64"/>
      <c r="AV33" s="55"/>
      <c r="AW33" s="55"/>
      <c r="AX33" s="64"/>
      <c r="AY33" s="64"/>
      <c r="AZ33" s="64"/>
      <c r="BA33" s="64"/>
      <c r="BB33" s="64"/>
      <c r="BC33" s="55"/>
      <c r="BD33" s="55"/>
      <c r="BE33" s="64"/>
      <c r="BF33" s="64" t="str">
        <f>IFERROR(__xludf.DUMMYFUNCTION("IF(BD33="""",,IFERROR(ROUND(AVERAGE(FILTER(data!B$2:B1000, (data!E$2:E1000&amp;"""")=""3"", (data!A$2:A1000&amp;"""")=(BD33&amp;""""))),2),""""))
"),"")</f>
        <v/>
      </c>
      <c r="BG33" s="64" t="str">
        <f>IFERROR(__xludf.DUMMYFUNCTION("IF(BD33="""",,IFERROR(ROUND(AVERAGE(FILTER(data!C$2:C1000, (data!E$2:E1000&amp;"""")=""3"", (data!A$2:A1000&amp;"""")=(BD33&amp;""""))),2),""""))
"),"")</f>
        <v/>
      </c>
      <c r="BH33" s="64" t="str">
        <f>IFERROR(__xludf.DUMMYFUNCTION("IF(BD33="""",,IFERROR(
  MAX(FILTER(data!B$2:B1000, (data!E$2:E1000&amp;"""")=""3"", (data!A$2:A1000&amp;"""")=(BD33&amp;"""")))
 -MIN(FILTER(data!B$2:B1000, (data!E$2:E1000&amp;"""")=""3"", (data!A$2:A1000&amp;"""")=(BD33&amp;"""")))
,""""))
"),"")</f>
        <v/>
      </c>
      <c r="BI33" s="64" t="str">
        <f>IFERROR(__xludf.DUMMYFUNCTION("IF(BD33="""",,IFERROR(
  MAX(FILTER(data!C$2:C1000, (data!E$2:E1000&amp;"""")=""3"", (data!A$2:A1000&amp;"""")=(BD33&amp;"""")))
 -MIN(FILTER(data!C$2:C1000, (data!E$2:E1000&amp;"""")=""3"", (data!A$2:A1000&amp;"""")=(BD33&amp;"""")))
,""""))
"),"")</f>
        <v/>
      </c>
      <c r="BJ33" s="64" t="str">
        <f t="shared" si="7"/>
        <v/>
      </c>
      <c r="BK33" s="55"/>
      <c r="BL33" s="65">
        <f>IFERROR(__xludf.DUMMYFUNCTION("""COMPUTED_VALUE"""),40.0)</f>
        <v>40</v>
      </c>
      <c r="BM33" s="65" t="str">
        <f>IFERROR(__xludf.DUMMYFUNCTION("""COMPUTED_VALUE"""),"E")</f>
        <v>E</v>
      </c>
      <c r="BN33" s="63">
        <f>IFERROR(__xludf.DUMMYFUNCTION("""COMPUTED_VALUE"""),4.0)</f>
        <v>4</v>
      </c>
      <c r="BO33" s="63">
        <f>IFERROR(__xludf.DUMMYFUNCTION("""COMPUTED_VALUE"""),4.0)</f>
        <v>4</v>
      </c>
      <c r="BP33" s="63">
        <f>IFERROR(__xludf.DUMMYFUNCTION("""COMPUTED_VALUE"""),4.0)</f>
        <v>4</v>
      </c>
      <c r="BQ33" s="63">
        <f>IFERROR(__xludf.DUMMYFUNCTION("""COMPUTED_VALUE"""),7.0)</f>
        <v>7</v>
      </c>
      <c r="BR33" s="63">
        <f>IFERROR(__xludf.DUMMYFUNCTION("""COMPUTED_VALUE"""),7.0)</f>
        <v>7</v>
      </c>
      <c r="BS33" s="63">
        <f>IFERROR(__xludf.DUMMYFUNCTION("""COMPUTED_VALUE"""),7.0)</f>
        <v>7</v>
      </c>
      <c r="BT33" s="63">
        <v>0.0</v>
      </c>
      <c r="BU33" s="63">
        <v>0.0</v>
      </c>
      <c r="BV33" s="67">
        <v>0.0</v>
      </c>
      <c r="BW33" s="65" t="b">
        <v>0</v>
      </c>
      <c r="BX33" s="55"/>
      <c r="BY33" s="65">
        <f>IFERROR(__xludf.DUMMYFUNCTION("""COMPUTED_VALUE"""),27.0)</f>
        <v>27</v>
      </c>
      <c r="BZ33" s="65">
        <f>IFERROR(__xludf.DUMMYFUNCTION("""COMPUTED_VALUE"""),0.0)</f>
        <v>0</v>
      </c>
      <c r="CA33" s="55"/>
      <c r="CB33" s="55"/>
      <c r="CC33" s="55"/>
      <c r="CD33" s="55"/>
      <c r="CE33" s="55"/>
      <c r="CF33" s="55"/>
      <c r="CG33" s="55"/>
      <c r="CH33" s="55"/>
    </row>
    <row r="34" ht="16.5" customHeight="1">
      <c r="A34" s="61">
        <f>IFERROR(__xludf.DUMMYFUNCTION("""COMPUTED_VALUE"""),70.0)</f>
        <v>70</v>
      </c>
      <c r="B34" s="61">
        <f>IFERROR(__xludf.DUMMYFUNCTION("""COMPUTED_VALUE"""),1.0)</f>
        <v>1</v>
      </c>
      <c r="C34" s="55"/>
      <c r="D34" s="55"/>
      <c r="E34" s="55"/>
      <c r="F34" s="55"/>
      <c r="G34" s="55"/>
      <c r="H34" s="64" t="str">
        <f>IFERROR(__xludf.DUMMYFUNCTION("IFERROR(
  AVERAGE(FILTER(data!B$2:B1000, data!A$2:A1000=$F34, data!D$2:D1000=$G34, data!E$2:E1000=2))
  -
  AVERAGE(FILTER(data!B$2:B1000, data!A$2:A1000=$F34, data!D$2:D1000=$G34, data!E$2:E1000=1))
, """")
"),"")</f>
        <v/>
      </c>
      <c r="I34" s="64" t="str">
        <f>IFERROR(__xludf.DUMMYFUNCTION("IFERROR(
  AVERAGE(FILTER(data!B$2:B1000, data!A$2:A1000=$F34, data!D$2:D1000=$G34, data!E$2:E1000=3))
  -
  AVERAGE(FILTER(data!B$2:B1000, data!A$2:A1000=$F34, data!D$2:D1000=$G34, data!E$2:E1000=2))
, """")
"),"")</f>
        <v/>
      </c>
      <c r="J34" s="64" t="str">
        <f>IFERROR(__xludf.DUMMYFUNCTION("IFERROR(
  AVERAGE(FILTER(data!B$2:B1000, data!A$2:A1000=$F34, data!D$2:D1000=$G34, data!E$2:E1000=3))
  -
  AVERAGE(FILTER(data!B$2:B1000, data!A$2:A1000=$F34, data!D$2:D1000=$G34, data!E$2:E1000=1))
, """")
"),"")</f>
        <v/>
      </c>
      <c r="K34" s="64" t="str">
        <f>IFERROR(__xludf.DUMMYFUNCTION("IFERROR(
  AVERAGE(FILTER(data!C$2:C1000, data!A$2:A1000=$F34, data!D$2:D1000=$G34, data!E$2:E1000=2))
  -
  AVERAGE(FILTER(data!C$2:C1000, data!A$2:A1000=$F34, data!D$2:D1000=$G34, data!E$2:E1000=1))
, """")
"),"")</f>
        <v/>
      </c>
      <c r="L34" s="64" t="str">
        <f>IFERROR(__xludf.DUMMYFUNCTION("IFERROR(
  AVERAGE(FILTER(data!C$2:C1000, data!A$2:A1000=$F34, data!D$2:D1000=$G34, data!E$2:E1000=3))
  -
  AVERAGE(FILTER(data!C$2:C1000, data!A$2:A1000=$F34, data!D$2:D1000=$G34, data!E$2:E1000=2))
, """")
"),"")</f>
        <v/>
      </c>
      <c r="M34" s="64" t="str">
        <f>IFERROR(__xludf.DUMMYFUNCTION("IFERROR(
  AVERAGE(FILTER(data!C$2:C1000, data!A$2:A1000=$F34, data!D$2:D1000=$G34, data!E$2:E1000=3))
  -
  AVERAGE(FILTER(data!C$2:C1000, data!A$2:A1000=$F34, data!D$2:D1000=$G34, data!E$2:E1000=1))
, """")
"),"")</f>
        <v/>
      </c>
      <c r="N34" s="64" t="str">
        <f t="shared" ref="N34:P34" si="66">IF(H34="",,ABS(H34))
</f>
        <v/>
      </c>
      <c r="O34" s="64" t="str">
        <f t="shared" si="66"/>
        <v/>
      </c>
      <c r="P34" s="64" t="str">
        <f t="shared" si="66"/>
        <v/>
      </c>
      <c r="Q34" s="64" t="str">
        <f t="shared" si="4"/>
        <v/>
      </c>
      <c r="R34" s="64" t="str">
        <f t="shared" ref="R34:S34" si="67">IF(L34="",,ABS(L34))
</f>
        <v/>
      </c>
      <c r="S34" s="64" t="str">
        <f t="shared" si="67"/>
        <v/>
      </c>
      <c r="T34" s="55"/>
      <c r="U34" s="55"/>
      <c r="V34" s="55"/>
      <c r="W34" s="64"/>
      <c r="X34" s="64"/>
      <c r="Y34" s="55"/>
      <c r="Z34" s="55"/>
      <c r="AA34" s="55"/>
      <c r="AB34" s="64" t="str">
        <f>IFERROR(__xludf.DUMMYFUNCTION("IF(AA34="""",,COUNTUNIQUE(FILTER(data!D$2:D1000, data!E$2:E1000=3, data!A$2:A1000=AA34)))
"),"")</f>
        <v/>
      </c>
      <c r="AC34" s="64" t="str">
        <f>IFERROR(__xludf.DUMMYFUNCTION("IF(AA34="""",,ROUND(AVERAGE(FILTER(data!B$2:B1000, data!E$2:E1000=3, data!A$2:A1000=AA34)),2))
"),"")</f>
        <v/>
      </c>
      <c r="AD34" s="64" t="str">
        <f>IFERROR(__xludf.DUMMYFUNCTION("IF(AA34="""",,ROUND(AVERAGE(FILTER(data!C$2:C1000, data!E$2:E1000=3, data!A$2:A1000=AA34)),2))
"),"")</f>
        <v/>
      </c>
      <c r="AE34" s="64" t="str">
        <f>IFERROR(__xludf.DUMMYFUNCTION("IF(AA34="""",,
  MAX(FILTER(data!B$2:B1000, data!E$2:E1000=3, data!A$2:A1000=AA34))
 -MIN(FILTER(data!B$2:B1000, data!E$2:E1000=3, data!A$2:A1000=AA34))
)
"),"")</f>
        <v/>
      </c>
      <c r="AF34" s="64" t="str">
        <f>IFERROR(__xludf.DUMMYFUNCTION("IF(AA34="""",,
  MAX(FILTER(data!C$2:C1000, data!E$2:E1000=3, data!A$2:A1000=AA34))
 -MIN(FILTER(data!C$2:C1000, data!E$2:E1000=3, data!A$2:A1000=AA34))
)
"),"")</f>
        <v/>
      </c>
      <c r="AG34" s="55" t="str">
        <f t="shared" si="6"/>
        <v/>
      </c>
      <c r="AH34" s="55"/>
      <c r="AI34" s="64"/>
      <c r="AJ34" s="64"/>
      <c r="AK34" s="64"/>
      <c r="AL34" s="64"/>
      <c r="AM34" s="64"/>
      <c r="AN34" s="64"/>
      <c r="AO34" s="55"/>
      <c r="AP34" s="55"/>
      <c r="AQ34" s="64"/>
      <c r="AR34" s="64"/>
      <c r="AS34" s="64"/>
      <c r="AT34" s="64"/>
      <c r="AU34" s="64"/>
      <c r="AV34" s="55"/>
      <c r="AW34" s="55"/>
      <c r="AX34" s="64"/>
      <c r="AY34" s="64"/>
      <c r="AZ34" s="64"/>
      <c r="BA34" s="64"/>
      <c r="BB34" s="64"/>
      <c r="BC34" s="55"/>
      <c r="BD34" s="55"/>
      <c r="BE34" s="64"/>
      <c r="BF34" s="64" t="str">
        <f>IFERROR(__xludf.DUMMYFUNCTION("IF(BD34="""",,IFERROR(ROUND(AVERAGE(FILTER(data!B$2:B1000, (data!E$2:E1000&amp;"""")=""3"", (data!A$2:A1000&amp;"""")=(BD34&amp;""""))),2),""""))
"),"")</f>
        <v/>
      </c>
      <c r="BG34" s="64" t="str">
        <f>IFERROR(__xludf.DUMMYFUNCTION("IF(BD34="""",,IFERROR(ROUND(AVERAGE(FILTER(data!C$2:C1000, (data!E$2:E1000&amp;"""")=""3"", (data!A$2:A1000&amp;"""")=(BD34&amp;""""))),2),""""))
"),"")</f>
        <v/>
      </c>
      <c r="BH34" s="64" t="str">
        <f>IFERROR(__xludf.DUMMYFUNCTION("IF(BD34="""",,IFERROR(
  MAX(FILTER(data!B$2:B1000, (data!E$2:E1000&amp;"""")=""3"", (data!A$2:A1000&amp;"""")=(BD34&amp;"""")))
 -MIN(FILTER(data!B$2:B1000, (data!E$2:E1000&amp;"""")=""3"", (data!A$2:A1000&amp;"""")=(BD34&amp;"""")))
,""""))
"),"")</f>
        <v/>
      </c>
      <c r="BI34" s="64" t="str">
        <f>IFERROR(__xludf.DUMMYFUNCTION("IF(BD34="""",,IFERROR(
  MAX(FILTER(data!C$2:C1000, (data!E$2:E1000&amp;"""")=""3"", (data!A$2:A1000&amp;"""")=(BD34&amp;"""")))
 -MIN(FILTER(data!C$2:C1000, (data!E$2:E1000&amp;"""")=""3"", (data!A$2:A1000&amp;"""")=(BD34&amp;"""")))
,""""))
"),"")</f>
        <v/>
      </c>
      <c r="BJ34" s="64" t="str">
        <f t="shared" si="7"/>
        <v/>
      </c>
      <c r="BK34" s="55"/>
      <c r="BL34" s="65">
        <f>IFERROR(__xludf.DUMMYFUNCTION("""COMPUTED_VALUE"""),41.0)</f>
        <v>41</v>
      </c>
      <c r="BM34" s="65" t="str">
        <f>IFERROR(__xludf.DUMMYFUNCTION("""COMPUTED_VALUE"""),"A")</f>
        <v>A</v>
      </c>
      <c r="BN34" s="63">
        <f>IFERROR(__xludf.DUMMYFUNCTION("""COMPUTED_VALUE"""),8.0)</f>
        <v>8</v>
      </c>
      <c r="BO34" s="63">
        <f>IFERROR(__xludf.DUMMYFUNCTION("""COMPUTED_VALUE"""),8.0)</f>
        <v>8</v>
      </c>
      <c r="BP34" s="63">
        <f>IFERROR(__xludf.DUMMYFUNCTION("""COMPUTED_VALUE"""),8.0)</f>
        <v>8</v>
      </c>
      <c r="BQ34" s="63">
        <f>IFERROR(__xludf.DUMMYFUNCTION("""COMPUTED_VALUE"""),6.0)</f>
        <v>6</v>
      </c>
      <c r="BR34" s="63">
        <f>IFERROR(__xludf.DUMMYFUNCTION("""COMPUTED_VALUE"""),6.0)</f>
        <v>6</v>
      </c>
      <c r="BS34" s="63">
        <f>IFERROR(__xludf.DUMMYFUNCTION("""COMPUTED_VALUE"""),6.0)</f>
        <v>6</v>
      </c>
      <c r="BT34" s="63">
        <v>0.0</v>
      </c>
      <c r="BU34" s="63">
        <v>0.0</v>
      </c>
      <c r="BV34" s="67">
        <v>0.0</v>
      </c>
      <c r="BW34" s="65" t="b">
        <v>0</v>
      </c>
      <c r="BX34" s="55"/>
      <c r="BY34" s="65">
        <f>IFERROR(__xludf.DUMMYFUNCTION("""COMPUTED_VALUE"""),32.0)</f>
        <v>32</v>
      </c>
      <c r="BZ34" s="65">
        <f>IFERROR(__xludf.DUMMYFUNCTION("""COMPUTED_VALUE"""),0.0)</f>
        <v>0</v>
      </c>
      <c r="CA34" s="55"/>
      <c r="CB34" s="55"/>
      <c r="CC34" s="55"/>
      <c r="CD34" s="55"/>
      <c r="CE34" s="55"/>
      <c r="CF34" s="55"/>
      <c r="CG34" s="55"/>
      <c r="CH34" s="55"/>
    </row>
    <row r="35" ht="16.5" customHeight="1">
      <c r="A35" s="61">
        <f>IFERROR(__xludf.DUMMYFUNCTION("""COMPUTED_VALUE"""),71.0)</f>
        <v>71</v>
      </c>
      <c r="B35" s="61">
        <f>IFERROR(__xludf.DUMMYFUNCTION("""COMPUTED_VALUE"""),1.0)</f>
        <v>1</v>
      </c>
      <c r="C35" s="55"/>
      <c r="D35" s="55"/>
      <c r="E35" s="55"/>
      <c r="F35" s="55"/>
      <c r="G35" s="55"/>
      <c r="H35" s="64" t="str">
        <f>IFERROR(__xludf.DUMMYFUNCTION("IFERROR(
  AVERAGE(FILTER(data!B$2:B1000, data!A$2:A1000=$F35, data!D$2:D1000=$G35, data!E$2:E1000=2))
  -
  AVERAGE(FILTER(data!B$2:B1000, data!A$2:A1000=$F35, data!D$2:D1000=$G35, data!E$2:E1000=1))
, """")
"),"")</f>
        <v/>
      </c>
      <c r="I35" s="64" t="str">
        <f>IFERROR(__xludf.DUMMYFUNCTION("IFERROR(
  AVERAGE(FILTER(data!B$2:B1000, data!A$2:A1000=$F35, data!D$2:D1000=$G35, data!E$2:E1000=3))
  -
  AVERAGE(FILTER(data!B$2:B1000, data!A$2:A1000=$F35, data!D$2:D1000=$G35, data!E$2:E1000=2))
, """")
"),"")</f>
        <v/>
      </c>
      <c r="J35" s="64" t="str">
        <f>IFERROR(__xludf.DUMMYFUNCTION("IFERROR(
  AVERAGE(FILTER(data!B$2:B1000, data!A$2:A1000=$F35, data!D$2:D1000=$G35, data!E$2:E1000=3))
  -
  AVERAGE(FILTER(data!B$2:B1000, data!A$2:A1000=$F35, data!D$2:D1000=$G35, data!E$2:E1000=1))
, """")
"),"")</f>
        <v/>
      </c>
      <c r="K35" s="64" t="str">
        <f>IFERROR(__xludf.DUMMYFUNCTION("IFERROR(
  AVERAGE(FILTER(data!C$2:C1000, data!A$2:A1000=$F35, data!D$2:D1000=$G35, data!E$2:E1000=2))
  -
  AVERAGE(FILTER(data!C$2:C1000, data!A$2:A1000=$F35, data!D$2:D1000=$G35, data!E$2:E1000=1))
, """")
"),"")</f>
        <v/>
      </c>
      <c r="L35" s="64" t="str">
        <f>IFERROR(__xludf.DUMMYFUNCTION("IFERROR(
  AVERAGE(FILTER(data!C$2:C1000, data!A$2:A1000=$F35, data!D$2:D1000=$G35, data!E$2:E1000=3))
  -
  AVERAGE(FILTER(data!C$2:C1000, data!A$2:A1000=$F35, data!D$2:D1000=$G35, data!E$2:E1000=2))
, """")
"),"")</f>
        <v/>
      </c>
      <c r="M35" s="64" t="str">
        <f>IFERROR(__xludf.DUMMYFUNCTION("IFERROR(
  AVERAGE(FILTER(data!C$2:C1000, data!A$2:A1000=$F35, data!D$2:D1000=$G35, data!E$2:E1000=3))
  -
  AVERAGE(FILTER(data!C$2:C1000, data!A$2:A1000=$F35, data!D$2:D1000=$G35, data!E$2:E1000=1))
, """")
"),"")</f>
        <v/>
      </c>
      <c r="N35" s="64" t="str">
        <f t="shared" ref="N35:P35" si="68">IF(H35="",,ABS(H35))
</f>
        <v/>
      </c>
      <c r="O35" s="64" t="str">
        <f t="shared" si="68"/>
        <v/>
      </c>
      <c r="P35" s="64" t="str">
        <f t="shared" si="68"/>
        <v/>
      </c>
      <c r="Q35" s="64" t="str">
        <f t="shared" si="4"/>
        <v/>
      </c>
      <c r="R35" s="64" t="str">
        <f t="shared" ref="R35:S35" si="69">IF(L35="",,ABS(L35))
</f>
        <v/>
      </c>
      <c r="S35" s="64" t="str">
        <f t="shared" si="69"/>
        <v/>
      </c>
      <c r="T35" s="55"/>
      <c r="U35" s="55"/>
      <c r="V35" s="55"/>
      <c r="W35" s="64"/>
      <c r="X35" s="64"/>
      <c r="Y35" s="55"/>
      <c r="Z35" s="55"/>
      <c r="AA35" s="55"/>
      <c r="AB35" s="64" t="str">
        <f>IFERROR(__xludf.DUMMYFUNCTION("IF(AA35="""",,COUNTUNIQUE(FILTER(data!D$2:D1000, data!E$2:E1000=3, data!A$2:A1000=AA35)))
"),"")</f>
        <v/>
      </c>
      <c r="AC35" s="64" t="str">
        <f>IFERROR(__xludf.DUMMYFUNCTION("IF(AA35="""",,ROUND(AVERAGE(FILTER(data!B$2:B1000, data!E$2:E1000=3, data!A$2:A1000=AA35)),2))
"),"")</f>
        <v/>
      </c>
      <c r="AD35" s="64" t="str">
        <f>IFERROR(__xludf.DUMMYFUNCTION("IF(AA35="""",,ROUND(AVERAGE(FILTER(data!C$2:C1000, data!E$2:E1000=3, data!A$2:A1000=AA35)),2))
"),"")</f>
        <v/>
      </c>
      <c r="AE35" s="64" t="str">
        <f>IFERROR(__xludf.DUMMYFUNCTION("IF(AA35="""",,
  MAX(FILTER(data!B$2:B1000, data!E$2:E1000=3, data!A$2:A1000=AA35))
 -MIN(FILTER(data!B$2:B1000, data!E$2:E1000=3, data!A$2:A1000=AA35))
)
"),"")</f>
        <v/>
      </c>
      <c r="AF35" s="64" t="str">
        <f>IFERROR(__xludf.DUMMYFUNCTION("IF(AA35="""",,
  MAX(FILTER(data!C$2:C1000, data!E$2:E1000=3, data!A$2:A1000=AA35))
 -MIN(FILTER(data!C$2:C1000, data!E$2:E1000=3, data!A$2:A1000=AA35))
)
"),"")</f>
        <v/>
      </c>
      <c r="AG35" s="55" t="str">
        <f t="shared" si="6"/>
        <v/>
      </c>
      <c r="AH35" s="55"/>
      <c r="AI35" s="64"/>
      <c r="AJ35" s="64"/>
      <c r="AK35" s="64"/>
      <c r="AL35" s="64"/>
      <c r="AM35" s="64"/>
      <c r="AN35" s="64"/>
      <c r="AO35" s="55"/>
      <c r="AP35" s="55"/>
      <c r="AQ35" s="64"/>
      <c r="AR35" s="64"/>
      <c r="AS35" s="64"/>
      <c r="AT35" s="64"/>
      <c r="AU35" s="64"/>
      <c r="AV35" s="55"/>
      <c r="AW35" s="55"/>
      <c r="AX35" s="64"/>
      <c r="AY35" s="64"/>
      <c r="AZ35" s="64"/>
      <c r="BA35" s="64"/>
      <c r="BB35" s="64"/>
      <c r="BC35" s="55"/>
      <c r="BD35" s="55"/>
      <c r="BE35" s="64"/>
      <c r="BF35" s="64" t="str">
        <f>IFERROR(__xludf.DUMMYFUNCTION("IF(BD35="""",,IFERROR(ROUND(AVERAGE(FILTER(data!B$2:B1000, (data!E$2:E1000&amp;"""")=""3"", (data!A$2:A1000&amp;"""")=(BD35&amp;""""))),2),""""))
"),"")</f>
        <v/>
      </c>
      <c r="BG35" s="64" t="str">
        <f>IFERROR(__xludf.DUMMYFUNCTION("IF(BD35="""",,IFERROR(ROUND(AVERAGE(FILTER(data!C$2:C1000, (data!E$2:E1000&amp;"""")=""3"", (data!A$2:A1000&amp;"""")=(BD35&amp;""""))),2),""""))
"),"")</f>
        <v/>
      </c>
      <c r="BH35" s="64" t="str">
        <f>IFERROR(__xludf.DUMMYFUNCTION("IF(BD35="""",,IFERROR(
  MAX(FILTER(data!B$2:B1000, (data!E$2:E1000&amp;"""")=""3"", (data!A$2:A1000&amp;"""")=(BD35&amp;"""")))
 -MIN(FILTER(data!B$2:B1000, (data!E$2:E1000&amp;"""")=""3"", (data!A$2:A1000&amp;"""")=(BD35&amp;"""")))
,""""))
"),"")</f>
        <v/>
      </c>
      <c r="BI35" s="64" t="str">
        <f>IFERROR(__xludf.DUMMYFUNCTION("IF(BD35="""",,IFERROR(
  MAX(FILTER(data!C$2:C1000, (data!E$2:E1000&amp;"""")=""3"", (data!A$2:A1000&amp;"""")=(BD35&amp;"""")))
 -MIN(FILTER(data!C$2:C1000, (data!E$2:E1000&amp;"""")=""3"", (data!A$2:A1000&amp;"""")=(BD35&amp;"""")))
,""""))
"),"")</f>
        <v/>
      </c>
      <c r="BJ35" s="64" t="str">
        <f t="shared" si="7"/>
        <v/>
      </c>
      <c r="BK35" s="55"/>
      <c r="BL35" s="65">
        <f>IFERROR(__xludf.DUMMYFUNCTION("""COMPUTED_VALUE"""),41.0)</f>
        <v>41</v>
      </c>
      <c r="BM35" s="65" t="str">
        <f>IFERROR(__xludf.DUMMYFUNCTION("""COMPUTED_VALUE"""),"B")</f>
        <v>B</v>
      </c>
      <c r="BN35" s="63">
        <f>IFERROR(__xludf.DUMMYFUNCTION("""COMPUTED_VALUE"""),6.0)</f>
        <v>6</v>
      </c>
      <c r="BO35" s="63">
        <f>IFERROR(__xludf.DUMMYFUNCTION("""COMPUTED_VALUE"""),6.0)</f>
        <v>6</v>
      </c>
      <c r="BP35" s="63">
        <f>IFERROR(__xludf.DUMMYFUNCTION("""COMPUTED_VALUE"""),6.0)</f>
        <v>6</v>
      </c>
      <c r="BQ35" s="63">
        <f>IFERROR(__xludf.DUMMYFUNCTION("""COMPUTED_VALUE"""),10.0)</f>
        <v>10</v>
      </c>
      <c r="BR35" s="63">
        <f>IFERROR(__xludf.DUMMYFUNCTION("""COMPUTED_VALUE"""),10.0)</f>
        <v>10</v>
      </c>
      <c r="BS35" s="63">
        <f>IFERROR(__xludf.DUMMYFUNCTION("""COMPUTED_VALUE"""),9.5)</f>
        <v>9.5</v>
      </c>
      <c r="BT35" s="63">
        <v>0.0</v>
      </c>
      <c r="BU35" s="63">
        <v>0.5</v>
      </c>
      <c r="BV35" s="67">
        <v>0.5</v>
      </c>
      <c r="BW35" s="65" t="b">
        <v>0</v>
      </c>
      <c r="BX35" s="55"/>
      <c r="BY35" s="65">
        <f>IFERROR(__xludf.DUMMYFUNCTION("""COMPUTED_VALUE"""),34.0)</f>
        <v>34</v>
      </c>
      <c r="BZ35" s="65">
        <f>IFERROR(__xludf.DUMMYFUNCTION("""COMPUTED_VALUE"""),0.0)</f>
        <v>0</v>
      </c>
      <c r="CA35" s="55"/>
      <c r="CB35" s="55"/>
      <c r="CC35" s="55"/>
      <c r="CD35" s="55"/>
      <c r="CE35" s="55"/>
      <c r="CF35" s="55"/>
      <c r="CG35" s="55"/>
      <c r="CH35" s="55"/>
    </row>
    <row r="36" ht="16.5" customHeight="1">
      <c r="A36" s="61">
        <f>IFERROR(__xludf.DUMMYFUNCTION("""COMPUTED_VALUE"""),74.0)</f>
        <v>74</v>
      </c>
      <c r="B36" s="61">
        <f>IFERROR(__xludf.DUMMYFUNCTION("""COMPUTED_VALUE"""),1.0)</f>
        <v>1</v>
      </c>
      <c r="C36" s="55"/>
      <c r="D36" s="55"/>
      <c r="E36" s="55"/>
      <c r="F36" s="55"/>
      <c r="G36" s="55"/>
      <c r="H36" s="64" t="str">
        <f>IFERROR(__xludf.DUMMYFUNCTION("IFERROR(
  AVERAGE(FILTER(data!B$2:B1000, data!A$2:A1000=$F36, data!D$2:D1000=$G36, data!E$2:E1000=2))
  -
  AVERAGE(FILTER(data!B$2:B1000, data!A$2:A1000=$F36, data!D$2:D1000=$G36, data!E$2:E1000=1))
, """")
"),"")</f>
        <v/>
      </c>
      <c r="I36" s="64" t="str">
        <f>IFERROR(__xludf.DUMMYFUNCTION("IFERROR(
  AVERAGE(FILTER(data!B$2:B1000, data!A$2:A1000=$F36, data!D$2:D1000=$G36, data!E$2:E1000=3))
  -
  AVERAGE(FILTER(data!B$2:B1000, data!A$2:A1000=$F36, data!D$2:D1000=$G36, data!E$2:E1000=2))
, """")
"),"")</f>
        <v/>
      </c>
      <c r="J36" s="64" t="str">
        <f>IFERROR(__xludf.DUMMYFUNCTION("IFERROR(
  AVERAGE(FILTER(data!B$2:B1000, data!A$2:A1000=$F36, data!D$2:D1000=$G36, data!E$2:E1000=3))
  -
  AVERAGE(FILTER(data!B$2:B1000, data!A$2:A1000=$F36, data!D$2:D1000=$G36, data!E$2:E1000=1))
, """")
"),"")</f>
        <v/>
      </c>
      <c r="K36" s="64" t="str">
        <f>IFERROR(__xludf.DUMMYFUNCTION("IFERROR(
  AVERAGE(FILTER(data!C$2:C1000, data!A$2:A1000=$F36, data!D$2:D1000=$G36, data!E$2:E1000=2))
  -
  AVERAGE(FILTER(data!C$2:C1000, data!A$2:A1000=$F36, data!D$2:D1000=$G36, data!E$2:E1000=1))
, """")
"),"")</f>
        <v/>
      </c>
      <c r="L36" s="64" t="str">
        <f>IFERROR(__xludf.DUMMYFUNCTION("IFERROR(
  AVERAGE(FILTER(data!C$2:C1000, data!A$2:A1000=$F36, data!D$2:D1000=$G36, data!E$2:E1000=3))
  -
  AVERAGE(FILTER(data!C$2:C1000, data!A$2:A1000=$F36, data!D$2:D1000=$G36, data!E$2:E1000=2))
, """")
"),"")</f>
        <v/>
      </c>
      <c r="M36" s="64" t="str">
        <f>IFERROR(__xludf.DUMMYFUNCTION("IFERROR(
  AVERAGE(FILTER(data!C$2:C1000, data!A$2:A1000=$F36, data!D$2:D1000=$G36, data!E$2:E1000=3))
  -
  AVERAGE(FILTER(data!C$2:C1000, data!A$2:A1000=$F36, data!D$2:D1000=$G36, data!E$2:E1000=1))
, """")
"),"")</f>
        <v/>
      </c>
      <c r="N36" s="64" t="str">
        <f t="shared" ref="N36:P36" si="70">IF(H36="",,ABS(H36))
</f>
        <v/>
      </c>
      <c r="O36" s="64" t="str">
        <f t="shared" si="70"/>
        <v/>
      </c>
      <c r="P36" s="64" t="str">
        <f t="shared" si="70"/>
        <v/>
      </c>
      <c r="Q36" s="64" t="str">
        <f t="shared" si="4"/>
        <v/>
      </c>
      <c r="R36" s="64" t="str">
        <f t="shared" ref="R36:S36" si="71">IF(L36="",,ABS(L36))
</f>
        <v/>
      </c>
      <c r="S36" s="64" t="str">
        <f t="shared" si="71"/>
        <v/>
      </c>
      <c r="T36" s="55"/>
      <c r="U36" s="55"/>
      <c r="V36" s="55"/>
      <c r="W36" s="64"/>
      <c r="X36" s="64"/>
      <c r="Y36" s="55"/>
      <c r="Z36" s="55"/>
      <c r="AA36" s="55"/>
      <c r="AB36" s="64" t="str">
        <f>IFERROR(__xludf.DUMMYFUNCTION("IF(AA36="""",,COUNTUNIQUE(FILTER(data!D$2:D1000, data!E$2:E1000=3, data!A$2:A1000=AA36)))
"),"")</f>
        <v/>
      </c>
      <c r="AC36" s="64" t="str">
        <f>IFERROR(__xludf.DUMMYFUNCTION("IF(AA36="""",,ROUND(AVERAGE(FILTER(data!B$2:B1000, data!E$2:E1000=3, data!A$2:A1000=AA36)),2))
"),"")</f>
        <v/>
      </c>
      <c r="AD36" s="64" t="str">
        <f>IFERROR(__xludf.DUMMYFUNCTION("IF(AA36="""",,ROUND(AVERAGE(FILTER(data!C$2:C1000, data!E$2:E1000=3, data!A$2:A1000=AA36)),2))
"),"")</f>
        <v/>
      </c>
      <c r="AE36" s="64" t="str">
        <f>IFERROR(__xludf.DUMMYFUNCTION("IF(AA36="""",,
  MAX(FILTER(data!B$2:B1000, data!E$2:E1000=3, data!A$2:A1000=AA36))
 -MIN(FILTER(data!B$2:B1000, data!E$2:E1000=3, data!A$2:A1000=AA36))
)
"),"")</f>
        <v/>
      </c>
      <c r="AF36" s="64" t="str">
        <f>IFERROR(__xludf.DUMMYFUNCTION("IF(AA36="""",,
  MAX(FILTER(data!C$2:C1000, data!E$2:E1000=3, data!A$2:A1000=AA36))
 -MIN(FILTER(data!C$2:C1000, data!E$2:E1000=3, data!A$2:A1000=AA36))
)
"),"")</f>
        <v/>
      </c>
      <c r="AG36" s="55" t="str">
        <f t="shared" si="6"/>
        <v/>
      </c>
      <c r="AH36" s="55"/>
      <c r="AI36" s="64"/>
      <c r="AJ36" s="64"/>
      <c r="AK36" s="64"/>
      <c r="AL36" s="64"/>
      <c r="AM36" s="64"/>
      <c r="AN36" s="64"/>
      <c r="AO36" s="55"/>
      <c r="AP36" s="55"/>
      <c r="AQ36" s="64"/>
      <c r="AR36" s="64"/>
      <c r="AS36" s="64"/>
      <c r="AT36" s="64"/>
      <c r="AU36" s="64"/>
      <c r="AV36" s="55"/>
      <c r="AW36" s="55"/>
      <c r="AX36" s="64"/>
      <c r="AY36" s="64"/>
      <c r="AZ36" s="64"/>
      <c r="BA36" s="64"/>
      <c r="BB36" s="64"/>
      <c r="BC36" s="55"/>
      <c r="BD36" s="55"/>
      <c r="BE36" s="64"/>
      <c r="BF36" s="64" t="str">
        <f>IFERROR(__xludf.DUMMYFUNCTION("IF(BD36="""",,IFERROR(ROUND(AVERAGE(FILTER(data!B$2:B1000, (data!E$2:E1000&amp;"""")=""3"", (data!A$2:A1000&amp;"""")=(BD36&amp;""""))),2),""""))
"),"")</f>
        <v/>
      </c>
      <c r="BG36" s="64" t="str">
        <f>IFERROR(__xludf.DUMMYFUNCTION("IF(BD36="""",,IFERROR(ROUND(AVERAGE(FILTER(data!C$2:C1000, (data!E$2:E1000&amp;"""")=""3"", (data!A$2:A1000&amp;"""")=(BD36&amp;""""))),2),""""))
"),"")</f>
        <v/>
      </c>
      <c r="BH36" s="64" t="str">
        <f>IFERROR(__xludf.DUMMYFUNCTION("IF(BD36="""",,IFERROR(
  MAX(FILTER(data!B$2:B1000, (data!E$2:E1000&amp;"""")=""3"", (data!A$2:A1000&amp;"""")=(BD36&amp;"""")))
 -MIN(FILTER(data!B$2:B1000, (data!E$2:E1000&amp;"""")=""3"", (data!A$2:A1000&amp;"""")=(BD36&amp;"""")))
,""""))
"),"")</f>
        <v/>
      </c>
      <c r="BI36" s="64" t="str">
        <f>IFERROR(__xludf.DUMMYFUNCTION("IF(BD36="""",,IFERROR(
  MAX(FILTER(data!C$2:C1000, (data!E$2:E1000&amp;"""")=""3"", (data!A$2:A1000&amp;"""")=(BD36&amp;"""")))
 -MIN(FILTER(data!C$2:C1000, (data!E$2:E1000&amp;"""")=""3"", (data!A$2:A1000&amp;"""")=(BD36&amp;"""")))
,""""))
"),"")</f>
        <v/>
      </c>
      <c r="BJ36" s="64" t="str">
        <f t="shared" si="7"/>
        <v/>
      </c>
      <c r="BK36" s="55"/>
      <c r="BL36" s="65">
        <f>IFERROR(__xludf.DUMMYFUNCTION("""COMPUTED_VALUE"""),41.0)</f>
        <v>41</v>
      </c>
      <c r="BM36" s="65" t="str">
        <f>IFERROR(__xludf.DUMMYFUNCTION("""COMPUTED_VALUE"""),"E")</f>
        <v>E</v>
      </c>
      <c r="BN36" s="63">
        <f>IFERROR(__xludf.DUMMYFUNCTION("""COMPUTED_VALUE"""),1.0)</f>
        <v>1</v>
      </c>
      <c r="BO36" s="63">
        <f>IFERROR(__xludf.DUMMYFUNCTION("""COMPUTED_VALUE"""),1.0)</f>
        <v>1</v>
      </c>
      <c r="BP36" s="63">
        <f>IFERROR(__xludf.DUMMYFUNCTION("""COMPUTED_VALUE"""),1.0)</f>
        <v>1</v>
      </c>
      <c r="BQ36" s="63">
        <f>IFERROR(__xludf.DUMMYFUNCTION("""COMPUTED_VALUE"""),8.5)</f>
        <v>8.5</v>
      </c>
      <c r="BR36" s="63">
        <f>IFERROR(__xludf.DUMMYFUNCTION("""COMPUTED_VALUE"""),8.5)</f>
        <v>8.5</v>
      </c>
      <c r="BS36" s="63">
        <f>IFERROR(__xludf.DUMMYFUNCTION("""COMPUTED_VALUE"""),8.0)</f>
        <v>8</v>
      </c>
      <c r="BT36" s="63">
        <v>0.0</v>
      </c>
      <c r="BU36" s="63">
        <v>0.5</v>
      </c>
      <c r="BV36" s="67">
        <v>0.5</v>
      </c>
      <c r="BW36" s="65" t="b">
        <v>0</v>
      </c>
      <c r="BX36" s="55"/>
      <c r="BY36" s="65">
        <f>IFERROR(__xludf.DUMMYFUNCTION("""COMPUTED_VALUE"""),40.0)</f>
        <v>40</v>
      </c>
      <c r="BZ36" s="65">
        <f>IFERROR(__xludf.DUMMYFUNCTION("""COMPUTED_VALUE"""),0.0)</f>
        <v>0</v>
      </c>
      <c r="CA36" s="55"/>
      <c r="CB36" s="55"/>
      <c r="CC36" s="55"/>
      <c r="CD36" s="55"/>
      <c r="CE36" s="55"/>
      <c r="CF36" s="55"/>
      <c r="CG36" s="55"/>
      <c r="CH36" s="55"/>
    </row>
    <row r="37" ht="16.5" customHeight="1">
      <c r="A37" s="61">
        <f>IFERROR(__xludf.DUMMYFUNCTION("""COMPUTED_VALUE"""),76.0)</f>
        <v>76</v>
      </c>
      <c r="B37" s="61">
        <f>IFERROR(__xludf.DUMMYFUNCTION("""COMPUTED_VALUE"""),1.0)</f>
        <v>1</v>
      </c>
      <c r="C37" s="55"/>
      <c r="D37" s="55"/>
      <c r="E37" s="55"/>
      <c r="F37" s="55"/>
      <c r="G37" s="55"/>
      <c r="H37" s="64" t="str">
        <f>IFERROR(__xludf.DUMMYFUNCTION("IFERROR(
  AVERAGE(FILTER(data!B$2:B1000, data!A$2:A1000=$F37, data!D$2:D1000=$G37, data!E$2:E1000=2))
  -
  AVERAGE(FILTER(data!B$2:B1000, data!A$2:A1000=$F37, data!D$2:D1000=$G37, data!E$2:E1000=1))
, """")
"),"")</f>
        <v/>
      </c>
      <c r="I37" s="64" t="str">
        <f>IFERROR(__xludf.DUMMYFUNCTION("IFERROR(
  AVERAGE(FILTER(data!B$2:B1000, data!A$2:A1000=$F37, data!D$2:D1000=$G37, data!E$2:E1000=3))
  -
  AVERAGE(FILTER(data!B$2:B1000, data!A$2:A1000=$F37, data!D$2:D1000=$G37, data!E$2:E1000=2))
, """")
"),"")</f>
        <v/>
      </c>
      <c r="J37" s="64" t="str">
        <f>IFERROR(__xludf.DUMMYFUNCTION("IFERROR(
  AVERAGE(FILTER(data!B$2:B1000, data!A$2:A1000=$F37, data!D$2:D1000=$G37, data!E$2:E1000=3))
  -
  AVERAGE(FILTER(data!B$2:B1000, data!A$2:A1000=$F37, data!D$2:D1000=$G37, data!E$2:E1000=1))
, """")
"),"")</f>
        <v/>
      </c>
      <c r="K37" s="64" t="str">
        <f>IFERROR(__xludf.DUMMYFUNCTION("IFERROR(
  AVERAGE(FILTER(data!C$2:C1000, data!A$2:A1000=$F37, data!D$2:D1000=$G37, data!E$2:E1000=2))
  -
  AVERAGE(FILTER(data!C$2:C1000, data!A$2:A1000=$F37, data!D$2:D1000=$G37, data!E$2:E1000=1))
, """")
"),"")</f>
        <v/>
      </c>
      <c r="L37" s="64" t="str">
        <f>IFERROR(__xludf.DUMMYFUNCTION("IFERROR(
  AVERAGE(FILTER(data!C$2:C1000, data!A$2:A1000=$F37, data!D$2:D1000=$G37, data!E$2:E1000=3))
  -
  AVERAGE(FILTER(data!C$2:C1000, data!A$2:A1000=$F37, data!D$2:D1000=$G37, data!E$2:E1000=2))
, """")
"),"")</f>
        <v/>
      </c>
      <c r="M37" s="64" t="str">
        <f>IFERROR(__xludf.DUMMYFUNCTION("IFERROR(
  AVERAGE(FILTER(data!C$2:C1000, data!A$2:A1000=$F37, data!D$2:D1000=$G37, data!E$2:E1000=3))
  -
  AVERAGE(FILTER(data!C$2:C1000, data!A$2:A1000=$F37, data!D$2:D1000=$G37, data!E$2:E1000=1))
, """")
"),"")</f>
        <v/>
      </c>
      <c r="N37" s="64" t="str">
        <f t="shared" ref="N37:P37" si="72">IF(H37="",,ABS(H37))
</f>
        <v/>
      </c>
      <c r="O37" s="64" t="str">
        <f t="shared" si="72"/>
        <v/>
      </c>
      <c r="P37" s="64" t="str">
        <f t="shared" si="72"/>
        <v/>
      </c>
      <c r="Q37" s="64" t="str">
        <f t="shared" si="4"/>
        <v/>
      </c>
      <c r="R37" s="64" t="str">
        <f t="shared" ref="R37:S37" si="73">IF(L37="",,ABS(L37))
</f>
        <v/>
      </c>
      <c r="S37" s="64" t="str">
        <f t="shared" si="73"/>
        <v/>
      </c>
      <c r="T37" s="55"/>
      <c r="U37" s="55"/>
      <c r="V37" s="55"/>
      <c r="W37" s="64"/>
      <c r="X37" s="64"/>
      <c r="Y37" s="55"/>
      <c r="Z37" s="55"/>
      <c r="AA37" s="55"/>
      <c r="AB37" s="64" t="str">
        <f>IFERROR(__xludf.DUMMYFUNCTION("IF(AA37="""",,COUNTUNIQUE(FILTER(data!D$2:D1000, data!E$2:E1000=3, data!A$2:A1000=AA37)))
"),"")</f>
        <v/>
      </c>
      <c r="AC37" s="64" t="str">
        <f>IFERROR(__xludf.DUMMYFUNCTION("IF(AA37="""",,ROUND(AVERAGE(FILTER(data!B$2:B1000, data!E$2:E1000=3, data!A$2:A1000=AA37)),2))
"),"")</f>
        <v/>
      </c>
      <c r="AD37" s="64" t="str">
        <f>IFERROR(__xludf.DUMMYFUNCTION("IF(AA37="""",,ROUND(AVERAGE(FILTER(data!C$2:C1000, data!E$2:E1000=3, data!A$2:A1000=AA37)),2))
"),"")</f>
        <v/>
      </c>
      <c r="AE37" s="64" t="str">
        <f>IFERROR(__xludf.DUMMYFUNCTION("IF(AA37="""",,
  MAX(FILTER(data!B$2:B1000, data!E$2:E1000=3, data!A$2:A1000=AA37))
 -MIN(FILTER(data!B$2:B1000, data!E$2:E1000=3, data!A$2:A1000=AA37))
)
"),"")</f>
        <v/>
      </c>
      <c r="AF37" s="64" t="str">
        <f>IFERROR(__xludf.DUMMYFUNCTION("IF(AA37="""",,
  MAX(FILTER(data!C$2:C1000, data!E$2:E1000=3, data!A$2:A1000=AA37))
 -MIN(FILTER(data!C$2:C1000, data!E$2:E1000=3, data!A$2:A1000=AA37))
)
"),"")</f>
        <v/>
      </c>
      <c r="AG37" s="55" t="str">
        <f t="shared" si="6"/>
        <v/>
      </c>
      <c r="AH37" s="55"/>
      <c r="AI37" s="64"/>
      <c r="AJ37" s="64"/>
      <c r="AK37" s="64"/>
      <c r="AL37" s="64"/>
      <c r="AM37" s="64"/>
      <c r="AN37" s="64"/>
      <c r="AO37" s="55"/>
      <c r="AP37" s="55"/>
      <c r="AQ37" s="64"/>
      <c r="AR37" s="64"/>
      <c r="AS37" s="64"/>
      <c r="AT37" s="64"/>
      <c r="AU37" s="64"/>
      <c r="AV37" s="55"/>
      <c r="AW37" s="55"/>
      <c r="AX37" s="64"/>
      <c r="AY37" s="64"/>
      <c r="AZ37" s="64"/>
      <c r="BA37" s="64"/>
      <c r="BB37" s="64"/>
      <c r="BC37" s="55"/>
      <c r="BD37" s="55"/>
      <c r="BE37" s="64"/>
      <c r="BF37" s="64" t="str">
        <f>IFERROR(__xludf.DUMMYFUNCTION("IF(BD37="""",,IFERROR(ROUND(AVERAGE(FILTER(data!B$2:B1000, (data!E$2:E1000&amp;"""")=""3"", (data!A$2:A1000&amp;"""")=(BD37&amp;""""))),2),""""))
"),"")</f>
        <v/>
      </c>
      <c r="BG37" s="64" t="str">
        <f>IFERROR(__xludf.DUMMYFUNCTION("IF(BD37="""",,IFERROR(ROUND(AVERAGE(FILTER(data!C$2:C1000, (data!E$2:E1000&amp;"""")=""3"", (data!A$2:A1000&amp;"""")=(BD37&amp;""""))),2),""""))
"),"")</f>
        <v/>
      </c>
      <c r="BH37" s="64" t="str">
        <f>IFERROR(__xludf.DUMMYFUNCTION("IF(BD37="""",,IFERROR(
  MAX(FILTER(data!B$2:B1000, (data!E$2:E1000&amp;"""")=""3"", (data!A$2:A1000&amp;"""")=(BD37&amp;"""")))
 -MIN(FILTER(data!B$2:B1000, (data!E$2:E1000&amp;"""")=""3"", (data!A$2:A1000&amp;"""")=(BD37&amp;"""")))
,""""))
"),"")</f>
        <v/>
      </c>
      <c r="BI37" s="64" t="str">
        <f>IFERROR(__xludf.DUMMYFUNCTION("IF(BD37="""",,IFERROR(
  MAX(FILTER(data!C$2:C1000, (data!E$2:E1000&amp;"""")=""3"", (data!A$2:A1000&amp;"""")=(BD37&amp;"""")))
 -MIN(FILTER(data!C$2:C1000, (data!E$2:E1000&amp;"""")=""3"", (data!A$2:A1000&amp;"""")=(BD37&amp;"""")))
,""""))
"),"")</f>
        <v/>
      </c>
      <c r="BJ37" s="64" t="str">
        <f t="shared" si="7"/>
        <v/>
      </c>
      <c r="BK37" s="55"/>
      <c r="BL37" s="65">
        <f>IFERROR(__xludf.DUMMYFUNCTION("""COMPUTED_VALUE"""),44.0)</f>
        <v>44</v>
      </c>
      <c r="BM37" s="65" t="str">
        <f>IFERROR(__xludf.DUMMYFUNCTION("""COMPUTED_VALUE"""),"E")</f>
        <v>E</v>
      </c>
      <c r="BN37" s="64"/>
      <c r="BO37" s="63">
        <f>IFERROR(__xludf.DUMMYFUNCTION("""COMPUTED_VALUE"""),3.0)</f>
        <v>3</v>
      </c>
      <c r="BP37" s="63">
        <f>IFERROR(__xludf.DUMMYFUNCTION("""COMPUTED_VALUE"""),2.0)</f>
        <v>2</v>
      </c>
      <c r="BQ37" s="64"/>
      <c r="BR37" s="63">
        <f>IFERROR(__xludf.DUMMYFUNCTION("""COMPUTED_VALUE"""),9.5)</f>
        <v>9.5</v>
      </c>
      <c r="BS37" s="63">
        <f>IFERROR(__xludf.DUMMYFUNCTION("""COMPUTED_VALUE"""),9.5)</f>
        <v>9.5</v>
      </c>
      <c r="BT37" s="64"/>
      <c r="BU37" s="63">
        <v>1.0</v>
      </c>
      <c r="BV37" s="67">
        <v>1.0</v>
      </c>
      <c r="BW37" s="65" t="b">
        <v>0</v>
      </c>
      <c r="BX37" s="55"/>
      <c r="BY37" s="65">
        <f>IFERROR(__xludf.DUMMYFUNCTION("""COMPUTED_VALUE"""),45.0)</f>
        <v>45</v>
      </c>
      <c r="BZ37" s="65">
        <f>IFERROR(__xludf.DUMMYFUNCTION("""COMPUTED_VALUE"""),0.0)</f>
        <v>0</v>
      </c>
      <c r="CA37" s="55"/>
      <c r="CB37" s="55"/>
      <c r="CC37" s="55"/>
      <c r="CD37" s="55"/>
      <c r="CE37" s="55"/>
      <c r="CF37" s="55"/>
      <c r="CG37" s="55"/>
      <c r="CH37" s="55"/>
    </row>
    <row r="38" ht="16.5" customHeight="1">
      <c r="A38" s="61">
        <f>IFERROR(__xludf.DUMMYFUNCTION("""COMPUTED_VALUE"""),78.0)</f>
        <v>78</v>
      </c>
      <c r="B38" s="61">
        <f>IFERROR(__xludf.DUMMYFUNCTION("""COMPUTED_VALUE"""),1.0)</f>
        <v>1</v>
      </c>
      <c r="C38" s="55"/>
      <c r="D38" s="55"/>
      <c r="E38" s="55"/>
      <c r="F38" s="55"/>
      <c r="G38" s="55"/>
      <c r="H38" s="64" t="str">
        <f>IFERROR(__xludf.DUMMYFUNCTION("IFERROR(
  AVERAGE(FILTER(data!B$2:B1000, data!A$2:A1000=$F38, data!D$2:D1000=$G38, data!E$2:E1000=2))
  -
  AVERAGE(FILTER(data!B$2:B1000, data!A$2:A1000=$F38, data!D$2:D1000=$G38, data!E$2:E1000=1))
, """")
"),"")</f>
        <v/>
      </c>
      <c r="I38" s="64" t="str">
        <f>IFERROR(__xludf.DUMMYFUNCTION("IFERROR(
  AVERAGE(FILTER(data!B$2:B1000, data!A$2:A1000=$F38, data!D$2:D1000=$G38, data!E$2:E1000=3))
  -
  AVERAGE(FILTER(data!B$2:B1000, data!A$2:A1000=$F38, data!D$2:D1000=$G38, data!E$2:E1000=2))
, """")
"),"")</f>
        <v/>
      </c>
      <c r="J38" s="64" t="str">
        <f>IFERROR(__xludf.DUMMYFUNCTION("IFERROR(
  AVERAGE(FILTER(data!B$2:B1000, data!A$2:A1000=$F38, data!D$2:D1000=$G38, data!E$2:E1000=3))
  -
  AVERAGE(FILTER(data!B$2:B1000, data!A$2:A1000=$F38, data!D$2:D1000=$G38, data!E$2:E1000=1))
, """")
"),"")</f>
        <v/>
      </c>
      <c r="K38" s="64" t="str">
        <f>IFERROR(__xludf.DUMMYFUNCTION("IFERROR(
  AVERAGE(FILTER(data!C$2:C1000, data!A$2:A1000=$F38, data!D$2:D1000=$G38, data!E$2:E1000=2))
  -
  AVERAGE(FILTER(data!C$2:C1000, data!A$2:A1000=$F38, data!D$2:D1000=$G38, data!E$2:E1000=1))
, """")
"),"")</f>
        <v/>
      </c>
      <c r="L38" s="64" t="str">
        <f>IFERROR(__xludf.DUMMYFUNCTION("IFERROR(
  AVERAGE(FILTER(data!C$2:C1000, data!A$2:A1000=$F38, data!D$2:D1000=$G38, data!E$2:E1000=3))
  -
  AVERAGE(FILTER(data!C$2:C1000, data!A$2:A1000=$F38, data!D$2:D1000=$G38, data!E$2:E1000=2))
, """")
"),"")</f>
        <v/>
      </c>
      <c r="M38" s="64" t="str">
        <f>IFERROR(__xludf.DUMMYFUNCTION("IFERROR(
  AVERAGE(FILTER(data!C$2:C1000, data!A$2:A1000=$F38, data!D$2:D1000=$G38, data!E$2:E1000=3))
  -
  AVERAGE(FILTER(data!C$2:C1000, data!A$2:A1000=$F38, data!D$2:D1000=$G38, data!E$2:E1000=1))
, """")
"),"")</f>
        <v/>
      </c>
      <c r="N38" s="64" t="str">
        <f t="shared" ref="N38:P38" si="74">IF(H38="",,ABS(H38))
</f>
        <v/>
      </c>
      <c r="O38" s="64" t="str">
        <f t="shared" si="74"/>
        <v/>
      </c>
      <c r="P38" s="64" t="str">
        <f t="shared" si="74"/>
        <v/>
      </c>
      <c r="Q38" s="64" t="str">
        <f t="shared" si="4"/>
        <v/>
      </c>
      <c r="R38" s="64" t="str">
        <f t="shared" ref="R38:S38" si="75">IF(L38="",,ABS(L38))
</f>
        <v/>
      </c>
      <c r="S38" s="64" t="str">
        <f t="shared" si="75"/>
        <v/>
      </c>
      <c r="T38" s="55"/>
      <c r="U38" s="55"/>
      <c r="V38" s="55"/>
      <c r="W38" s="64"/>
      <c r="X38" s="64"/>
      <c r="Y38" s="55"/>
      <c r="Z38" s="55"/>
      <c r="AA38" s="55"/>
      <c r="AB38" s="64" t="str">
        <f>IFERROR(__xludf.DUMMYFUNCTION("IF(AA38="""",,COUNTUNIQUE(FILTER(data!D$2:D1000, data!E$2:E1000=3, data!A$2:A1000=AA38)))
"),"")</f>
        <v/>
      </c>
      <c r="AC38" s="64" t="str">
        <f>IFERROR(__xludf.DUMMYFUNCTION("IF(AA38="""",,ROUND(AVERAGE(FILTER(data!B$2:B1000, data!E$2:E1000=3, data!A$2:A1000=AA38)),2))
"),"")</f>
        <v/>
      </c>
      <c r="AD38" s="64" t="str">
        <f>IFERROR(__xludf.DUMMYFUNCTION("IF(AA38="""",,ROUND(AVERAGE(FILTER(data!C$2:C1000, data!E$2:E1000=3, data!A$2:A1000=AA38)),2))
"),"")</f>
        <v/>
      </c>
      <c r="AE38" s="64" t="str">
        <f>IFERROR(__xludf.DUMMYFUNCTION("IF(AA38="""",,
  MAX(FILTER(data!B$2:B1000, data!E$2:E1000=3, data!A$2:A1000=AA38))
 -MIN(FILTER(data!B$2:B1000, data!E$2:E1000=3, data!A$2:A1000=AA38))
)
"),"")</f>
        <v/>
      </c>
      <c r="AF38" s="64" t="str">
        <f>IFERROR(__xludf.DUMMYFUNCTION("IF(AA38="""",,
  MAX(FILTER(data!C$2:C1000, data!E$2:E1000=3, data!A$2:A1000=AA38))
 -MIN(FILTER(data!C$2:C1000, data!E$2:E1000=3, data!A$2:A1000=AA38))
)
"),"")</f>
        <v/>
      </c>
      <c r="AG38" s="55" t="str">
        <f t="shared" si="6"/>
        <v/>
      </c>
      <c r="AH38" s="55"/>
      <c r="AI38" s="64"/>
      <c r="AJ38" s="64"/>
      <c r="AK38" s="64"/>
      <c r="AL38" s="64"/>
      <c r="AM38" s="64"/>
      <c r="AN38" s="64"/>
      <c r="AO38" s="55"/>
      <c r="AP38" s="55"/>
      <c r="AQ38" s="64"/>
      <c r="AR38" s="64"/>
      <c r="AS38" s="64"/>
      <c r="AT38" s="64"/>
      <c r="AU38" s="64"/>
      <c r="AV38" s="55"/>
      <c r="AW38" s="55"/>
      <c r="AX38" s="64"/>
      <c r="AY38" s="64"/>
      <c r="AZ38" s="64"/>
      <c r="BA38" s="64"/>
      <c r="BB38" s="64"/>
      <c r="BC38" s="55"/>
      <c r="BD38" s="55"/>
      <c r="BE38" s="64"/>
      <c r="BF38" s="64" t="str">
        <f>IFERROR(__xludf.DUMMYFUNCTION("IF(BD38="""",,IFERROR(ROUND(AVERAGE(FILTER(data!B$2:B1000, (data!E$2:E1000&amp;"""")=""3"", (data!A$2:A1000&amp;"""")=(BD38&amp;""""))),2),""""))
"),"")</f>
        <v/>
      </c>
      <c r="BG38" s="64" t="str">
        <f>IFERROR(__xludf.DUMMYFUNCTION("IF(BD38="""",,IFERROR(ROUND(AVERAGE(FILTER(data!C$2:C1000, (data!E$2:E1000&amp;"""")=""3"", (data!A$2:A1000&amp;"""")=(BD38&amp;""""))),2),""""))
"),"")</f>
        <v/>
      </c>
      <c r="BH38" s="64" t="str">
        <f>IFERROR(__xludf.DUMMYFUNCTION("IF(BD38="""",,IFERROR(
  MAX(FILTER(data!B$2:B1000, (data!E$2:E1000&amp;"""")=""3"", (data!A$2:A1000&amp;"""")=(BD38&amp;"""")))
 -MIN(FILTER(data!B$2:B1000, (data!E$2:E1000&amp;"""")=""3"", (data!A$2:A1000&amp;"""")=(BD38&amp;"""")))
,""""))
"),"")</f>
        <v/>
      </c>
      <c r="BI38" s="64" t="str">
        <f>IFERROR(__xludf.DUMMYFUNCTION("IF(BD38="""",,IFERROR(
  MAX(FILTER(data!C$2:C1000, (data!E$2:E1000&amp;"""")=""3"", (data!A$2:A1000&amp;"""")=(BD38&amp;"""")))
 -MIN(FILTER(data!C$2:C1000, (data!E$2:E1000&amp;"""")=""3"", (data!A$2:A1000&amp;"""")=(BD38&amp;"""")))
,""""))
"),"")</f>
        <v/>
      </c>
      <c r="BJ38" s="64" t="str">
        <f t="shared" si="7"/>
        <v/>
      </c>
      <c r="BK38" s="55"/>
      <c r="BL38" s="65">
        <f>IFERROR(__xludf.DUMMYFUNCTION("""COMPUTED_VALUE"""),45.0)</f>
        <v>45</v>
      </c>
      <c r="BM38" s="65" t="str">
        <f>IFERROR(__xludf.DUMMYFUNCTION("""COMPUTED_VALUE"""),"A")</f>
        <v>A</v>
      </c>
      <c r="BN38" s="63">
        <f>IFERROR(__xludf.DUMMYFUNCTION("""COMPUTED_VALUE"""),9.5)</f>
        <v>9.5</v>
      </c>
      <c r="BO38" s="63">
        <f>IFERROR(__xludf.DUMMYFUNCTION("""COMPUTED_VALUE"""),9.5)</f>
        <v>9.5</v>
      </c>
      <c r="BP38" s="63">
        <f>IFERROR(__xludf.DUMMYFUNCTION("""COMPUTED_VALUE"""),9.5)</f>
        <v>9.5</v>
      </c>
      <c r="BQ38" s="63">
        <f>IFERROR(__xludf.DUMMYFUNCTION("""COMPUTED_VALUE"""),6.5)</f>
        <v>6.5</v>
      </c>
      <c r="BR38" s="63">
        <f>IFERROR(__xludf.DUMMYFUNCTION("""COMPUTED_VALUE"""),6.5)</f>
        <v>6.5</v>
      </c>
      <c r="BS38" s="63">
        <f>IFERROR(__xludf.DUMMYFUNCTION("""COMPUTED_VALUE"""),6.5)</f>
        <v>6.5</v>
      </c>
      <c r="BT38" s="63">
        <v>0.0</v>
      </c>
      <c r="BU38" s="63">
        <v>0.0</v>
      </c>
      <c r="BV38" s="67">
        <v>0.0</v>
      </c>
      <c r="BW38" s="65" t="b">
        <v>0</v>
      </c>
      <c r="BX38" s="55"/>
      <c r="BY38" s="65">
        <f>IFERROR(__xludf.DUMMYFUNCTION("""COMPUTED_VALUE"""),49.0)</f>
        <v>49</v>
      </c>
      <c r="BZ38" s="65">
        <f>IFERROR(__xludf.DUMMYFUNCTION("""COMPUTED_VALUE"""),0.0)</f>
        <v>0</v>
      </c>
      <c r="CA38" s="55"/>
      <c r="CB38" s="55"/>
      <c r="CC38" s="55"/>
      <c r="CD38" s="55"/>
      <c r="CE38" s="55"/>
      <c r="CF38" s="55"/>
      <c r="CG38" s="55"/>
      <c r="CH38" s="55"/>
    </row>
    <row r="39" ht="16.5" customHeight="1">
      <c r="A39" s="61">
        <f>IFERROR(__xludf.DUMMYFUNCTION("""COMPUTED_VALUE"""),83.0)</f>
        <v>83</v>
      </c>
      <c r="B39" s="61">
        <f>IFERROR(__xludf.DUMMYFUNCTION("""COMPUTED_VALUE"""),1.0)</f>
        <v>1</v>
      </c>
      <c r="C39" s="55"/>
      <c r="D39" s="55"/>
      <c r="E39" s="55"/>
      <c r="F39" s="55"/>
      <c r="G39" s="55"/>
      <c r="H39" s="64" t="str">
        <f>IFERROR(__xludf.DUMMYFUNCTION("IFERROR(
  AVERAGE(FILTER(data!B$2:B1000, data!A$2:A1000=$F39, data!D$2:D1000=$G39, data!E$2:E1000=2))
  -
  AVERAGE(FILTER(data!B$2:B1000, data!A$2:A1000=$F39, data!D$2:D1000=$G39, data!E$2:E1000=1))
, """")
"),"")</f>
        <v/>
      </c>
      <c r="I39" s="64" t="str">
        <f>IFERROR(__xludf.DUMMYFUNCTION("IFERROR(
  AVERAGE(FILTER(data!B$2:B1000, data!A$2:A1000=$F39, data!D$2:D1000=$G39, data!E$2:E1000=3))
  -
  AVERAGE(FILTER(data!B$2:B1000, data!A$2:A1000=$F39, data!D$2:D1000=$G39, data!E$2:E1000=2))
, """")
"),"")</f>
        <v/>
      </c>
      <c r="J39" s="64" t="str">
        <f>IFERROR(__xludf.DUMMYFUNCTION("IFERROR(
  AVERAGE(FILTER(data!B$2:B1000, data!A$2:A1000=$F39, data!D$2:D1000=$G39, data!E$2:E1000=3))
  -
  AVERAGE(FILTER(data!B$2:B1000, data!A$2:A1000=$F39, data!D$2:D1000=$G39, data!E$2:E1000=1))
, """")
"),"")</f>
        <v/>
      </c>
      <c r="K39" s="64" t="str">
        <f>IFERROR(__xludf.DUMMYFUNCTION("IFERROR(
  AVERAGE(FILTER(data!C$2:C1000, data!A$2:A1000=$F39, data!D$2:D1000=$G39, data!E$2:E1000=2))
  -
  AVERAGE(FILTER(data!C$2:C1000, data!A$2:A1000=$F39, data!D$2:D1000=$G39, data!E$2:E1000=1))
, """")
"),"")</f>
        <v/>
      </c>
      <c r="L39" s="64" t="str">
        <f>IFERROR(__xludf.DUMMYFUNCTION("IFERROR(
  AVERAGE(FILTER(data!C$2:C1000, data!A$2:A1000=$F39, data!D$2:D1000=$G39, data!E$2:E1000=3))
  -
  AVERAGE(FILTER(data!C$2:C1000, data!A$2:A1000=$F39, data!D$2:D1000=$G39, data!E$2:E1000=2))
, """")
"),"")</f>
        <v/>
      </c>
      <c r="M39" s="64" t="str">
        <f>IFERROR(__xludf.DUMMYFUNCTION("IFERROR(
  AVERAGE(FILTER(data!C$2:C1000, data!A$2:A1000=$F39, data!D$2:D1000=$G39, data!E$2:E1000=3))
  -
  AVERAGE(FILTER(data!C$2:C1000, data!A$2:A1000=$F39, data!D$2:D1000=$G39, data!E$2:E1000=1))
, """")
"),"")</f>
        <v/>
      </c>
      <c r="N39" s="64" t="str">
        <f t="shared" ref="N39:P39" si="76">IF(H39="",,ABS(H39))
</f>
        <v/>
      </c>
      <c r="O39" s="64" t="str">
        <f t="shared" si="76"/>
        <v/>
      </c>
      <c r="P39" s="64" t="str">
        <f t="shared" si="76"/>
        <v/>
      </c>
      <c r="Q39" s="64" t="str">
        <f t="shared" si="4"/>
        <v/>
      </c>
      <c r="R39" s="64" t="str">
        <f t="shared" ref="R39:S39" si="77">IF(L39="",,ABS(L39))
</f>
        <v/>
      </c>
      <c r="S39" s="64" t="str">
        <f t="shared" si="77"/>
        <v/>
      </c>
      <c r="T39" s="55"/>
      <c r="U39" s="55"/>
      <c r="V39" s="55"/>
      <c r="W39" s="64"/>
      <c r="X39" s="64"/>
      <c r="Y39" s="55"/>
      <c r="Z39" s="55"/>
      <c r="AA39" s="55"/>
      <c r="AB39" s="64" t="str">
        <f>IFERROR(__xludf.DUMMYFUNCTION("IF(AA39="""",,COUNTUNIQUE(FILTER(data!D$2:D1000, data!E$2:E1000=3, data!A$2:A1000=AA39)))
"),"")</f>
        <v/>
      </c>
      <c r="AC39" s="64" t="str">
        <f>IFERROR(__xludf.DUMMYFUNCTION("IF(AA39="""",,ROUND(AVERAGE(FILTER(data!B$2:B1000, data!E$2:E1000=3, data!A$2:A1000=AA39)),2))
"),"")</f>
        <v/>
      </c>
      <c r="AD39" s="64" t="str">
        <f>IFERROR(__xludf.DUMMYFUNCTION("IF(AA39="""",,ROUND(AVERAGE(FILTER(data!C$2:C1000, data!E$2:E1000=3, data!A$2:A1000=AA39)),2))
"),"")</f>
        <v/>
      </c>
      <c r="AE39" s="64" t="str">
        <f>IFERROR(__xludf.DUMMYFUNCTION("IF(AA39="""",,
  MAX(FILTER(data!B$2:B1000, data!E$2:E1000=3, data!A$2:A1000=AA39))
 -MIN(FILTER(data!B$2:B1000, data!E$2:E1000=3, data!A$2:A1000=AA39))
)
"),"")</f>
        <v/>
      </c>
      <c r="AF39" s="64" t="str">
        <f>IFERROR(__xludf.DUMMYFUNCTION("IF(AA39="""",,
  MAX(FILTER(data!C$2:C1000, data!E$2:E1000=3, data!A$2:A1000=AA39))
 -MIN(FILTER(data!C$2:C1000, data!E$2:E1000=3, data!A$2:A1000=AA39))
)
"),"")</f>
        <v/>
      </c>
      <c r="AG39" s="55" t="str">
        <f t="shared" si="6"/>
        <v/>
      </c>
      <c r="AH39" s="55"/>
      <c r="AI39" s="64"/>
      <c r="AJ39" s="64"/>
      <c r="AK39" s="64"/>
      <c r="AL39" s="64"/>
      <c r="AM39" s="64"/>
      <c r="AN39" s="64"/>
      <c r="AO39" s="55"/>
      <c r="AP39" s="55"/>
      <c r="AQ39" s="64"/>
      <c r="AR39" s="64"/>
      <c r="AS39" s="64"/>
      <c r="AT39" s="64"/>
      <c r="AU39" s="64"/>
      <c r="AV39" s="55"/>
      <c r="AW39" s="55"/>
      <c r="AX39" s="64"/>
      <c r="AY39" s="64"/>
      <c r="AZ39" s="64"/>
      <c r="BA39" s="64"/>
      <c r="BB39" s="64"/>
      <c r="BC39" s="55"/>
      <c r="BD39" s="55"/>
      <c r="BE39" s="64"/>
      <c r="BF39" s="55"/>
      <c r="BG39" s="64"/>
      <c r="BH39" s="64"/>
      <c r="BI39" s="64"/>
      <c r="BJ39" s="64"/>
      <c r="BK39" s="55"/>
      <c r="BL39" s="65">
        <f>IFERROR(__xludf.DUMMYFUNCTION("""COMPUTED_VALUE"""),47.0)</f>
        <v>47</v>
      </c>
      <c r="BM39" s="65" t="str">
        <f>IFERROR(__xludf.DUMMYFUNCTION("""COMPUTED_VALUE"""),"B")</f>
        <v>B</v>
      </c>
      <c r="BN39" s="63">
        <f>IFERROR(__xludf.DUMMYFUNCTION("""COMPUTED_VALUE"""),2.0)</f>
        <v>2</v>
      </c>
      <c r="BO39" s="63">
        <f>IFERROR(__xludf.DUMMYFUNCTION("""COMPUTED_VALUE"""),2.0)</f>
        <v>2</v>
      </c>
      <c r="BP39" s="63">
        <f>IFERROR(__xludf.DUMMYFUNCTION("""COMPUTED_VALUE"""),2.5)</f>
        <v>2.5</v>
      </c>
      <c r="BQ39" s="63">
        <f>IFERROR(__xludf.DUMMYFUNCTION("""COMPUTED_VALUE"""),7.0)</f>
        <v>7</v>
      </c>
      <c r="BR39" s="63">
        <f>IFERROR(__xludf.DUMMYFUNCTION("""COMPUTED_VALUE"""),7.0)</f>
        <v>7</v>
      </c>
      <c r="BS39" s="63">
        <f>IFERROR(__xludf.DUMMYFUNCTION("""COMPUTED_VALUE"""),7.0)</f>
        <v>7</v>
      </c>
      <c r="BT39" s="63">
        <v>0.0</v>
      </c>
      <c r="BU39" s="63">
        <v>0.5</v>
      </c>
      <c r="BV39" s="67">
        <v>0.5</v>
      </c>
      <c r="BW39" s="65" t="b">
        <v>0</v>
      </c>
      <c r="BX39" s="55"/>
      <c r="BY39" s="65">
        <f>IFERROR(__xludf.DUMMYFUNCTION("""COMPUTED_VALUE"""),50.0)</f>
        <v>50</v>
      </c>
      <c r="BZ39" s="65">
        <f>IFERROR(__xludf.DUMMYFUNCTION("""COMPUTED_VALUE"""),0.0)</f>
        <v>0</v>
      </c>
      <c r="CA39" s="55"/>
      <c r="CB39" s="55"/>
      <c r="CC39" s="55"/>
      <c r="CD39" s="55"/>
      <c r="CE39" s="55"/>
      <c r="CF39" s="55"/>
      <c r="CG39" s="55"/>
      <c r="CH39" s="55"/>
    </row>
    <row r="40" ht="16.5" customHeight="1">
      <c r="A40" s="61">
        <f>IFERROR(__xludf.DUMMYFUNCTION("""COMPUTED_VALUE"""),85.0)</f>
        <v>85</v>
      </c>
      <c r="B40" s="61">
        <f>IFERROR(__xludf.DUMMYFUNCTION("""COMPUTED_VALUE"""),1.0)</f>
        <v>1</v>
      </c>
      <c r="C40" s="55"/>
      <c r="D40" s="55"/>
      <c r="E40" s="55"/>
      <c r="F40" s="55"/>
      <c r="G40" s="55"/>
      <c r="H40" s="64" t="str">
        <f>IFERROR(__xludf.DUMMYFUNCTION("IFERROR(
  AVERAGE(FILTER(data!B$2:B1000, data!A$2:A1000=$F40, data!D$2:D1000=$G40, data!E$2:E1000=2))
  -
  AVERAGE(FILTER(data!B$2:B1000, data!A$2:A1000=$F40, data!D$2:D1000=$G40, data!E$2:E1000=1))
, """")
"),"")</f>
        <v/>
      </c>
      <c r="I40" s="64" t="str">
        <f>IFERROR(__xludf.DUMMYFUNCTION("IFERROR(
  AVERAGE(FILTER(data!B$2:B1000, data!A$2:A1000=$F40, data!D$2:D1000=$G40, data!E$2:E1000=3))
  -
  AVERAGE(FILTER(data!B$2:B1000, data!A$2:A1000=$F40, data!D$2:D1000=$G40, data!E$2:E1000=2))
, """")
"),"")</f>
        <v/>
      </c>
      <c r="J40" s="64" t="str">
        <f>IFERROR(__xludf.DUMMYFUNCTION("IFERROR(
  AVERAGE(FILTER(data!B$2:B1000, data!A$2:A1000=$F40, data!D$2:D1000=$G40, data!E$2:E1000=3))
  -
  AVERAGE(FILTER(data!B$2:B1000, data!A$2:A1000=$F40, data!D$2:D1000=$G40, data!E$2:E1000=1))
, """")
"),"")</f>
        <v/>
      </c>
      <c r="K40" s="64" t="str">
        <f>IFERROR(__xludf.DUMMYFUNCTION("IFERROR(
  AVERAGE(FILTER(data!C$2:C1000, data!A$2:A1000=$F40, data!D$2:D1000=$G40, data!E$2:E1000=2))
  -
  AVERAGE(FILTER(data!C$2:C1000, data!A$2:A1000=$F40, data!D$2:D1000=$G40, data!E$2:E1000=1))
, """")
"),"")</f>
        <v/>
      </c>
      <c r="L40" s="64" t="str">
        <f>IFERROR(__xludf.DUMMYFUNCTION("IFERROR(
  AVERAGE(FILTER(data!C$2:C1000, data!A$2:A1000=$F40, data!D$2:D1000=$G40, data!E$2:E1000=3))
  -
  AVERAGE(FILTER(data!C$2:C1000, data!A$2:A1000=$F40, data!D$2:D1000=$G40, data!E$2:E1000=2))
, """")
"),"")</f>
        <v/>
      </c>
      <c r="M40" s="64" t="str">
        <f>IFERROR(__xludf.DUMMYFUNCTION("IFERROR(
  AVERAGE(FILTER(data!C$2:C1000, data!A$2:A1000=$F40, data!D$2:D1000=$G40, data!E$2:E1000=3))
  -
  AVERAGE(FILTER(data!C$2:C1000, data!A$2:A1000=$F40, data!D$2:D1000=$G40, data!E$2:E1000=1))
, """")
"),"")</f>
        <v/>
      </c>
      <c r="N40" s="64" t="str">
        <f t="shared" ref="N40:P40" si="78">IF(H40="",,ABS(H40))
</f>
        <v/>
      </c>
      <c r="O40" s="64" t="str">
        <f t="shared" si="78"/>
        <v/>
      </c>
      <c r="P40" s="64" t="str">
        <f t="shared" si="78"/>
        <v/>
      </c>
      <c r="Q40" s="64" t="str">
        <f t="shared" si="4"/>
        <v/>
      </c>
      <c r="R40" s="64" t="str">
        <f t="shared" ref="R40:S40" si="79">IF(L40="",,ABS(L40))
</f>
        <v/>
      </c>
      <c r="S40" s="64" t="str">
        <f t="shared" si="79"/>
        <v/>
      </c>
      <c r="T40" s="55"/>
      <c r="U40" s="55"/>
      <c r="V40" s="55"/>
      <c r="W40" s="64"/>
      <c r="X40" s="64"/>
      <c r="Y40" s="55"/>
      <c r="Z40" s="55"/>
      <c r="AA40" s="55"/>
      <c r="AB40" s="64" t="str">
        <f>IFERROR(__xludf.DUMMYFUNCTION("IF(AA40="""",,COUNTUNIQUE(FILTER(data!D$2:D1000, data!E$2:E1000=3, data!A$2:A1000=AA40)))
"),"")</f>
        <v/>
      </c>
      <c r="AC40" s="64" t="str">
        <f>IFERROR(__xludf.DUMMYFUNCTION("IF(AA40="""",,ROUND(AVERAGE(FILTER(data!B$2:B1000, data!E$2:E1000=3, data!A$2:A1000=AA40)),2))
"),"")</f>
        <v/>
      </c>
      <c r="AD40" s="64" t="str">
        <f>IFERROR(__xludf.DUMMYFUNCTION("IF(AA40="""",,ROUND(AVERAGE(FILTER(data!C$2:C1000, data!E$2:E1000=3, data!A$2:A1000=AA40)),2))
"),"")</f>
        <v/>
      </c>
      <c r="AE40" s="64" t="str">
        <f>IFERROR(__xludf.DUMMYFUNCTION("IF(AA40="""",,
  MAX(FILTER(data!B$2:B1000, data!E$2:E1000=3, data!A$2:A1000=AA40))
 -MIN(FILTER(data!B$2:B1000, data!E$2:E1000=3, data!A$2:A1000=AA40))
)
"),"")</f>
        <v/>
      </c>
      <c r="AF40" s="64" t="str">
        <f>IFERROR(__xludf.DUMMYFUNCTION("IF(AA40="""",,
  MAX(FILTER(data!C$2:C1000, data!E$2:E1000=3, data!A$2:A1000=AA40))
 -MIN(FILTER(data!C$2:C1000, data!E$2:E1000=3, data!A$2:A1000=AA40))
)
"),"")</f>
        <v/>
      </c>
      <c r="AG40" s="55" t="str">
        <f t="shared" si="6"/>
        <v/>
      </c>
      <c r="AH40" s="55"/>
      <c r="AI40" s="64"/>
      <c r="AJ40" s="64"/>
      <c r="AK40" s="64"/>
      <c r="AL40" s="64"/>
      <c r="AM40" s="64"/>
      <c r="AN40" s="64"/>
      <c r="AO40" s="55"/>
      <c r="AP40" s="55"/>
      <c r="AQ40" s="64"/>
      <c r="AR40" s="64"/>
      <c r="AS40" s="64"/>
      <c r="AT40" s="64"/>
      <c r="AU40" s="64"/>
      <c r="AV40" s="55"/>
      <c r="AW40" s="55"/>
      <c r="AX40" s="64"/>
      <c r="AY40" s="64"/>
      <c r="AZ40" s="64"/>
      <c r="BA40" s="64"/>
      <c r="BB40" s="64"/>
      <c r="BC40" s="55"/>
      <c r="BD40" s="55"/>
      <c r="BE40" s="64"/>
      <c r="BF40" s="55"/>
      <c r="BG40" s="64"/>
      <c r="BH40" s="64"/>
      <c r="BI40" s="64"/>
      <c r="BJ40" s="64"/>
      <c r="BK40" s="55"/>
      <c r="BL40" s="65">
        <f>IFERROR(__xludf.DUMMYFUNCTION("""COMPUTED_VALUE"""),47.0)</f>
        <v>47</v>
      </c>
      <c r="BM40" s="65" t="str">
        <f>IFERROR(__xludf.DUMMYFUNCTION("""COMPUTED_VALUE"""),"C")</f>
        <v>C</v>
      </c>
      <c r="BN40" s="63">
        <f>IFERROR(__xludf.DUMMYFUNCTION("""COMPUTED_VALUE"""),6.0)</f>
        <v>6</v>
      </c>
      <c r="BO40" s="63">
        <f>IFERROR(__xludf.DUMMYFUNCTION("""COMPUTED_VALUE"""),6.0)</f>
        <v>6</v>
      </c>
      <c r="BP40" s="64"/>
      <c r="BQ40" s="63">
        <f>IFERROR(__xludf.DUMMYFUNCTION("""COMPUTED_VALUE"""),3.0)</f>
        <v>3</v>
      </c>
      <c r="BR40" s="63">
        <f>IFERROR(__xludf.DUMMYFUNCTION("""COMPUTED_VALUE"""),3.0)</f>
        <v>3</v>
      </c>
      <c r="BS40" s="64"/>
      <c r="BT40" s="63">
        <v>0.0</v>
      </c>
      <c r="BU40" s="64"/>
      <c r="BV40" s="67">
        <v>0.0</v>
      </c>
      <c r="BW40" s="65" t="b">
        <v>0</v>
      </c>
      <c r="BX40" s="55"/>
      <c r="BY40" s="65">
        <f>IFERROR(__xludf.DUMMYFUNCTION("""COMPUTED_VALUE"""),56.0)</f>
        <v>56</v>
      </c>
      <c r="BZ40" s="65">
        <f>IFERROR(__xludf.DUMMYFUNCTION("""COMPUTED_VALUE"""),0.0)</f>
        <v>0</v>
      </c>
      <c r="CA40" s="55"/>
      <c r="CB40" s="55"/>
      <c r="CC40" s="55"/>
      <c r="CD40" s="55"/>
      <c r="CE40" s="55"/>
      <c r="CF40" s="55"/>
      <c r="CG40" s="55"/>
      <c r="CH40" s="55"/>
    </row>
    <row r="41" ht="16.5" customHeight="1">
      <c r="A41" s="61">
        <f>IFERROR(__xludf.DUMMYFUNCTION("""COMPUTED_VALUE"""),86.0)</f>
        <v>86</v>
      </c>
      <c r="B41" s="61">
        <f>IFERROR(__xludf.DUMMYFUNCTION("""COMPUTED_VALUE"""),1.0)</f>
        <v>1</v>
      </c>
      <c r="C41" s="55"/>
      <c r="D41" s="55"/>
      <c r="E41" s="55"/>
      <c r="F41" s="55"/>
      <c r="G41" s="55"/>
      <c r="H41" s="64" t="str">
        <f>IFERROR(__xludf.DUMMYFUNCTION("IFERROR(
  AVERAGE(FILTER(data!B$2:B1000, data!A$2:A1000=$F41, data!D$2:D1000=$G41, data!E$2:E1000=2))
  -
  AVERAGE(FILTER(data!B$2:B1000, data!A$2:A1000=$F41, data!D$2:D1000=$G41, data!E$2:E1000=1))
, """")
"),"")</f>
        <v/>
      </c>
      <c r="I41" s="64" t="str">
        <f>IFERROR(__xludf.DUMMYFUNCTION("IFERROR(
  AVERAGE(FILTER(data!B$2:B1000, data!A$2:A1000=$F41, data!D$2:D1000=$G41, data!E$2:E1000=3))
  -
  AVERAGE(FILTER(data!B$2:B1000, data!A$2:A1000=$F41, data!D$2:D1000=$G41, data!E$2:E1000=2))
, """")
"),"")</f>
        <v/>
      </c>
      <c r="J41" s="64" t="str">
        <f>IFERROR(__xludf.DUMMYFUNCTION("IFERROR(
  AVERAGE(FILTER(data!B$2:B1000, data!A$2:A1000=$F41, data!D$2:D1000=$G41, data!E$2:E1000=3))
  -
  AVERAGE(FILTER(data!B$2:B1000, data!A$2:A1000=$F41, data!D$2:D1000=$G41, data!E$2:E1000=1))
, """")
"),"")</f>
        <v/>
      </c>
      <c r="K41" s="64" t="str">
        <f>IFERROR(__xludf.DUMMYFUNCTION("IFERROR(
  AVERAGE(FILTER(data!C$2:C1000, data!A$2:A1000=$F41, data!D$2:D1000=$G41, data!E$2:E1000=2))
  -
  AVERAGE(FILTER(data!C$2:C1000, data!A$2:A1000=$F41, data!D$2:D1000=$G41, data!E$2:E1000=1))
, """")
"),"")</f>
        <v/>
      </c>
      <c r="L41" s="64" t="str">
        <f>IFERROR(__xludf.DUMMYFUNCTION("IFERROR(
  AVERAGE(FILTER(data!C$2:C1000, data!A$2:A1000=$F41, data!D$2:D1000=$G41, data!E$2:E1000=3))
  -
  AVERAGE(FILTER(data!C$2:C1000, data!A$2:A1000=$F41, data!D$2:D1000=$G41, data!E$2:E1000=2))
, """")
"),"")</f>
        <v/>
      </c>
      <c r="M41" s="64" t="str">
        <f>IFERROR(__xludf.DUMMYFUNCTION("IFERROR(
  AVERAGE(FILTER(data!C$2:C1000, data!A$2:A1000=$F41, data!D$2:D1000=$G41, data!E$2:E1000=3))
  -
  AVERAGE(FILTER(data!C$2:C1000, data!A$2:A1000=$F41, data!D$2:D1000=$G41, data!E$2:E1000=1))
, """")
"),"")</f>
        <v/>
      </c>
      <c r="N41" s="64" t="str">
        <f t="shared" ref="N41:P41" si="80">IF(H41="",,ABS(H41))
</f>
        <v/>
      </c>
      <c r="O41" s="64" t="str">
        <f t="shared" si="80"/>
        <v/>
      </c>
      <c r="P41" s="64" t="str">
        <f t="shared" si="80"/>
        <v/>
      </c>
      <c r="Q41" s="64" t="str">
        <f t="shared" si="4"/>
        <v/>
      </c>
      <c r="R41" s="64" t="str">
        <f t="shared" ref="R41:S41" si="81">IF(L41="",,ABS(L41))
</f>
        <v/>
      </c>
      <c r="S41" s="64" t="str">
        <f t="shared" si="81"/>
        <v/>
      </c>
      <c r="T41" s="55"/>
      <c r="U41" s="55"/>
      <c r="V41" s="55"/>
      <c r="W41" s="64"/>
      <c r="X41" s="64"/>
      <c r="Y41" s="55"/>
      <c r="Z41" s="55"/>
      <c r="AA41" s="55"/>
      <c r="AB41" s="64" t="str">
        <f>IFERROR(__xludf.DUMMYFUNCTION("IF(AA41="""",,COUNTUNIQUE(FILTER(data!D$2:D1000, data!E$2:E1000=3, data!A$2:A1000=AA41)))
"),"")</f>
        <v/>
      </c>
      <c r="AC41" s="64" t="str">
        <f>IFERROR(__xludf.DUMMYFUNCTION("IF(AA41="""",,ROUND(AVERAGE(FILTER(data!B$2:B1000, data!E$2:E1000=3, data!A$2:A1000=AA41)),2))
"),"")</f>
        <v/>
      </c>
      <c r="AD41" s="64" t="str">
        <f>IFERROR(__xludf.DUMMYFUNCTION("IF(AA41="""",,ROUND(AVERAGE(FILTER(data!C$2:C1000, data!E$2:E1000=3, data!A$2:A1000=AA41)),2))
"),"")</f>
        <v/>
      </c>
      <c r="AE41" s="64" t="str">
        <f>IFERROR(__xludf.DUMMYFUNCTION("IF(AA41="""",,
  MAX(FILTER(data!B$2:B1000, data!E$2:E1000=3, data!A$2:A1000=AA41))
 -MIN(FILTER(data!B$2:B1000, data!E$2:E1000=3, data!A$2:A1000=AA41))
)
"),"")</f>
        <v/>
      </c>
      <c r="AF41" s="64" t="str">
        <f>IFERROR(__xludf.DUMMYFUNCTION("IF(AA41="""",,
  MAX(FILTER(data!C$2:C1000, data!E$2:E1000=3, data!A$2:A1000=AA41))
 -MIN(FILTER(data!C$2:C1000, data!E$2:E1000=3, data!A$2:A1000=AA41))
)
"),"")</f>
        <v/>
      </c>
      <c r="AG41" s="55" t="str">
        <f t="shared" si="6"/>
        <v/>
      </c>
      <c r="AH41" s="55"/>
      <c r="AI41" s="64"/>
      <c r="AJ41" s="64"/>
      <c r="AK41" s="64"/>
      <c r="AL41" s="64"/>
      <c r="AM41" s="64"/>
      <c r="AN41" s="64"/>
      <c r="AO41" s="55"/>
      <c r="AP41" s="55"/>
      <c r="AQ41" s="64"/>
      <c r="AR41" s="64"/>
      <c r="AS41" s="64"/>
      <c r="AT41" s="64"/>
      <c r="AU41" s="64"/>
      <c r="AV41" s="55"/>
      <c r="AW41" s="55"/>
      <c r="AX41" s="64"/>
      <c r="AY41" s="64"/>
      <c r="AZ41" s="64"/>
      <c r="BA41" s="64"/>
      <c r="BB41" s="64"/>
      <c r="BC41" s="55"/>
      <c r="BD41" s="55"/>
      <c r="BE41" s="64"/>
      <c r="BF41" s="55"/>
      <c r="BG41" s="64"/>
      <c r="BH41" s="64"/>
      <c r="BI41" s="64"/>
      <c r="BJ41" s="64"/>
      <c r="BK41" s="55"/>
      <c r="BL41" s="65">
        <f>IFERROR(__xludf.DUMMYFUNCTION("""COMPUTED_VALUE"""),49.0)</f>
        <v>49</v>
      </c>
      <c r="BM41" s="65" t="str">
        <f>IFERROR(__xludf.DUMMYFUNCTION("""COMPUTED_VALUE"""),"A")</f>
        <v>A</v>
      </c>
      <c r="BN41" s="63">
        <f>IFERROR(__xludf.DUMMYFUNCTION("""COMPUTED_VALUE"""),9.5)</f>
        <v>9.5</v>
      </c>
      <c r="BO41" s="63">
        <f>IFERROR(__xludf.DUMMYFUNCTION("""COMPUTED_VALUE"""),9.5)</f>
        <v>9.5</v>
      </c>
      <c r="BP41" s="63">
        <f>IFERROR(__xludf.DUMMYFUNCTION("""COMPUTED_VALUE"""),9.5)</f>
        <v>9.5</v>
      </c>
      <c r="BQ41" s="63">
        <f>IFERROR(__xludf.DUMMYFUNCTION("""COMPUTED_VALUE"""),9.0)</f>
        <v>9</v>
      </c>
      <c r="BR41" s="63">
        <f>IFERROR(__xludf.DUMMYFUNCTION("""COMPUTED_VALUE"""),9.0)</f>
        <v>9</v>
      </c>
      <c r="BS41" s="63">
        <f>IFERROR(__xludf.DUMMYFUNCTION("""COMPUTED_VALUE"""),9.0)</f>
        <v>9</v>
      </c>
      <c r="BT41" s="63">
        <v>0.0</v>
      </c>
      <c r="BU41" s="63">
        <v>0.0</v>
      </c>
      <c r="BV41" s="67">
        <v>0.0</v>
      </c>
      <c r="BW41" s="65" t="b">
        <v>0</v>
      </c>
      <c r="BX41" s="55"/>
      <c r="BY41" s="65">
        <f>IFERROR(__xludf.DUMMYFUNCTION("""COMPUTED_VALUE"""),59.0)</f>
        <v>59</v>
      </c>
      <c r="BZ41" s="65">
        <f>IFERROR(__xludf.DUMMYFUNCTION("""COMPUTED_VALUE"""),0.0)</f>
        <v>0</v>
      </c>
      <c r="CA41" s="55"/>
      <c r="CB41" s="55"/>
      <c r="CC41" s="55"/>
      <c r="CD41" s="55"/>
      <c r="CE41" s="55"/>
      <c r="CF41" s="55"/>
      <c r="CG41" s="55"/>
      <c r="CH41" s="55"/>
    </row>
    <row r="42" ht="16.5" customHeight="1">
      <c r="A42" s="61">
        <f>IFERROR(__xludf.DUMMYFUNCTION("""COMPUTED_VALUE"""),88.0)</f>
        <v>88</v>
      </c>
      <c r="B42" s="61">
        <f>IFERROR(__xludf.DUMMYFUNCTION("""COMPUTED_VALUE"""),1.0)</f>
        <v>1</v>
      </c>
      <c r="C42" s="55"/>
      <c r="D42" s="55"/>
      <c r="E42" s="55"/>
      <c r="F42" s="55"/>
      <c r="G42" s="55"/>
      <c r="H42" s="64" t="str">
        <f>IFERROR(__xludf.DUMMYFUNCTION("IFERROR(
  AVERAGE(FILTER(data!B$2:B1000, data!A$2:A1000=$F42, data!D$2:D1000=$G42, data!E$2:E1000=2))
  -
  AVERAGE(FILTER(data!B$2:B1000, data!A$2:A1000=$F42, data!D$2:D1000=$G42, data!E$2:E1000=1))
, """")
"),"")</f>
        <v/>
      </c>
      <c r="I42" s="64" t="str">
        <f>IFERROR(__xludf.DUMMYFUNCTION("IFERROR(
  AVERAGE(FILTER(data!B$2:B1000, data!A$2:A1000=$F42, data!D$2:D1000=$G42, data!E$2:E1000=3))
  -
  AVERAGE(FILTER(data!B$2:B1000, data!A$2:A1000=$F42, data!D$2:D1000=$G42, data!E$2:E1000=2))
, """")
"),"")</f>
        <v/>
      </c>
      <c r="J42" s="64" t="str">
        <f>IFERROR(__xludf.DUMMYFUNCTION("IFERROR(
  AVERAGE(FILTER(data!B$2:B1000, data!A$2:A1000=$F42, data!D$2:D1000=$G42, data!E$2:E1000=3))
  -
  AVERAGE(FILTER(data!B$2:B1000, data!A$2:A1000=$F42, data!D$2:D1000=$G42, data!E$2:E1000=1))
, """")
"),"")</f>
        <v/>
      </c>
      <c r="K42" s="64" t="str">
        <f>IFERROR(__xludf.DUMMYFUNCTION("IFERROR(
  AVERAGE(FILTER(data!C$2:C1000, data!A$2:A1000=$F42, data!D$2:D1000=$G42, data!E$2:E1000=2))
  -
  AVERAGE(FILTER(data!C$2:C1000, data!A$2:A1000=$F42, data!D$2:D1000=$G42, data!E$2:E1000=1))
, """")
"),"")</f>
        <v/>
      </c>
      <c r="L42" s="64" t="str">
        <f>IFERROR(__xludf.DUMMYFUNCTION("IFERROR(
  AVERAGE(FILTER(data!C$2:C1000, data!A$2:A1000=$F42, data!D$2:D1000=$G42, data!E$2:E1000=3))
  -
  AVERAGE(FILTER(data!C$2:C1000, data!A$2:A1000=$F42, data!D$2:D1000=$G42, data!E$2:E1000=2))
, """")
"),"")</f>
        <v/>
      </c>
      <c r="M42" s="64" t="str">
        <f>IFERROR(__xludf.DUMMYFUNCTION("IFERROR(
  AVERAGE(FILTER(data!C$2:C1000, data!A$2:A1000=$F42, data!D$2:D1000=$G42, data!E$2:E1000=3))
  -
  AVERAGE(FILTER(data!C$2:C1000, data!A$2:A1000=$F42, data!D$2:D1000=$G42, data!E$2:E1000=1))
, """")
"),"")</f>
        <v/>
      </c>
      <c r="N42" s="64" t="str">
        <f t="shared" ref="N42:P42" si="82">IF(H42="",,ABS(H42))
</f>
        <v/>
      </c>
      <c r="O42" s="64" t="str">
        <f t="shared" si="82"/>
        <v/>
      </c>
      <c r="P42" s="64" t="str">
        <f t="shared" si="82"/>
        <v/>
      </c>
      <c r="Q42" s="64" t="str">
        <f t="shared" si="4"/>
        <v/>
      </c>
      <c r="R42" s="64" t="str">
        <f t="shared" ref="R42:S42" si="83">IF(L42="",,ABS(L42))
</f>
        <v/>
      </c>
      <c r="S42" s="64" t="str">
        <f t="shared" si="83"/>
        <v/>
      </c>
      <c r="T42" s="55"/>
      <c r="U42" s="55"/>
      <c r="V42" s="55"/>
      <c r="W42" s="64"/>
      <c r="X42" s="64"/>
      <c r="Y42" s="55"/>
      <c r="Z42" s="55"/>
      <c r="AA42" s="55"/>
      <c r="AB42" s="64" t="str">
        <f>IFERROR(__xludf.DUMMYFUNCTION("IF(AA42="""",,COUNTUNIQUE(FILTER(data!D$2:D1000, data!E$2:E1000=3, data!A$2:A1000=AA42)))
"),"")</f>
        <v/>
      </c>
      <c r="AC42" s="64" t="str">
        <f>IFERROR(__xludf.DUMMYFUNCTION("IF(AA42="""",,ROUND(AVERAGE(FILTER(data!B$2:B1000, data!E$2:E1000=3, data!A$2:A1000=AA42)),2))
"),"")</f>
        <v/>
      </c>
      <c r="AD42" s="64" t="str">
        <f>IFERROR(__xludf.DUMMYFUNCTION("IF(AA42="""",,ROUND(AVERAGE(FILTER(data!C$2:C1000, data!E$2:E1000=3, data!A$2:A1000=AA42)),2))
"),"")</f>
        <v/>
      </c>
      <c r="AE42" s="64" t="str">
        <f>IFERROR(__xludf.DUMMYFUNCTION("IF(AA42="""",,
  MAX(FILTER(data!B$2:B1000, data!E$2:E1000=3, data!A$2:A1000=AA42))
 -MIN(FILTER(data!B$2:B1000, data!E$2:E1000=3, data!A$2:A1000=AA42))
)
"),"")</f>
        <v/>
      </c>
      <c r="AF42" s="64" t="str">
        <f>IFERROR(__xludf.DUMMYFUNCTION("IF(AA42="""",,
  MAX(FILTER(data!C$2:C1000, data!E$2:E1000=3, data!A$2:A1000=AA42))
 -MIN(FILTER(data!C$2:C1000, data!E$2:E1000=3, data!A$2:A1000=AA42))
)
"),"")</f>
        <v/>
      </c>
      <c r="AG42" s="55" t="str">
        <f t="shared" si="6"/>
        <v/>
      </c>
      <c r="AH42" s="55"/>
      <c r="AI42" s="64"/>
      <c r="AJ42" s="64"/>
      <c r="AK42" s="64"/>
      <c r="AL42" s="64"/>
      <c r="AM42" s="64"/>
      <c r="AN42" s="64"/>
      <c r="AO42" s="55"/>
      <c r="AP42" s="55"/>
      <c r="AQ42" s="64"/>
      <c r="AR42" s="64"/>
      <c r="AS42" s="64"/>
      <c r="AT42" s="64"/>
      <c r="AU42" s="64"/>
      <c r="AV42" s="55"/>
      <c r="AW42" s="55"/>
      <c r="AX42" s="64"/>
      <c r="AY42" s="64"/>
      <c r="AZ42" s="64"/>
      <c r="BA42" s="64"/>
      <c r="BB42" s="64"/>
      <c r="BC42" s="55"/>
      <c r="BD42" s="55"/>
      <c r="BE42" s="64"/>
      <c r="BF42" s="55"/>
      <c r="BG42" s="64"/>
      <c r="BH42" s="64"/>
      <c r="BI42" s="64"/>
      <c r="BJ42" s="64"/>
      <c r="BK42" s="55"/>
      <c r="BL42" s="65">
        <f>IFERROR(__xludf.DUMMYFUNCTION("""COMPUTED_VALUE"""),49.0)</f>
        <v>49</v>
      </c>
      <c r="BM42" s="65" t="str">
        <f>IFERROR(__xludf.DUMMYFUNCTION("""COMPUTED_VALUE"""),"C")</f>
        <v>C</v>
      </c>
      <c r="BN42" s="63">
        <f>IFERROR(__xludf.DUMMYFUNCTION("""COMPUTED_VALUE"""),8.0)</f>
        <v>8</v>
      </c>
      <c r="BO42" s="63">
        <f>IFERROR(__xludf.DUMMYFUNCTION("""COMPUTED_VALUE"""),8.0)</f>
        <v>8</v>
      </c>
      <c r="BP42" s="64"/>
      <c r="BQ42" s="63">
        <f>IFERROR(__xludf.DUMMYFUNCTION("""COMPUTED_VALUE"""),8.0)</f>
        <v>8</v>
      </c>
      <c r="BR42" s="63">
        <f>IFERROR(__xludf.DUMMYFUNCTION("""COMPUTED_VALUE"""),8.0)</f>
        <v>8</v>
      </c>
      <c r="BS42" s="64"/>
      <c r="BT42" s="63">
        <v>0.0</v>
      </c>
      <c r="BU42" s="64"/>
      <c r="BV42" s="67">
        <v>0.0</v>
      </c>
      <c r="BW42" s="65" t="b">
        <v>0</v>
      </c>
      <c r="BX42" s="55"/>
      <c r="BY42" s="65">
        <f>IFERROR(__xludf.DUMMYFUNCTION("""COMPUTED_VALUE"""),63.0)</f>
        <v>63</v>
      </c>
      <c r="BZ42" s="65">
        <f>IFERROR(__xludf.DUMMYFUNCTION("""COMPUTED_VALUE"""),0.0)</f>
        <v>0</v>
      </c>
      <c r="CA42" s="55"/>
      <c r="CB42" s="55"/>
      <c r="CC42" s="55"/>
      <c r="CD42" s="55"/>
      <c r="CE42" s="55"/>
      <c r="CF42" s="55"/>
      <c r="CG42" s="55"/>
      <c r="CH42" s="55"/>
    </row>
    <row r="43" ht="16.5" customHeight="1">
      <c r="A43" s="55"/>
      <c r="B43" s="55"/>
      <c r="C43" s="55"/>
      <c r="D43" s="55"/>
      <c r="E43" s="55"/>
      <c r="F43" s="55"/>
      <c r="G43" s="55"/>
      <c r="H43" s="64" t="str">
        <f>IFERROR(__xludf.DUMMYFUNCTION("IFERROR(
  AVERAGE(FILTER(data!B$2:B1000, data!A$2:A1000=$F43, data!D$2:D1000=$G43, data!E$2:E1000=2))
  -
  AVERAGE(FILTER(data!B$2:B1000, data!A$2:A1000=$F43, data!D$2:D1000=$G43, data!E$2:E1000=1))
, """")
"),"")</f>
        <v/>
      </c>
      <c r="I43" s="64" t="str">
        <f>IFERROR(__xludf.DUMMYFUNCTION("IFERROR(
  AVERAGE(FILTER(data!B$2:B1000, data!A$2:A1000=$F43, data!D$2:D1000=$G43, data!E$2:E1000=3))
  -
  AVERAGE(FILTER(data!B$2:B1000, data!A$2:A1000=$F43, data!D$2:D1000=$G43, data!E$2:E1000=2))
, """")
"),"")</f>
        <v/>
      </c>
      <c r="J43" s="64" t="str">
        <f>IFERROR(__xludf.DUMMYFUNCTION("IFERROR(
  AVERAGE(FILTER(data!B$2:B1000, data!A$2:A1000=$F43, data!D$2:D1000=$G43, data!E$2:E1000=3))
  -
  AVERAGE(FILTER(data!B$2:B1000, data!A$2:A1000=$F43, data!D$2:D1000=$G43, data!E$2:E1000=1))
, """")
"),"")</f>
        <v/>
      </c>
      <c r="K43" s="64" t="str">
        <f>IFERROR(__xludf.DUMMYFUNCTION("IFERROR(
  AVERAGE(FILTER(data!C$2:C1000, data!A$2:A1000=$F43, data!D$2:D1000=$G43, data!E$2:E1000=2))
  -
  AVERAGE(FILTER(data!C$2:C1000, data!A$2:A1000=$F43, data!D$2:D1000=$G43, data!E$2:E1000=1))
, """")
"),"")</f>
        <v/>
      </c>
      <c r="L43" s="64" t="str">
        <f>IFERROR(__xludf.DUMMYFUNCTION("IFERROR(
  AVERAGE(FILTER(data!C$2:C1000, data!A$2:A1000=$F43, data!D$2:D1000=$G43, data!E$2:E1000=3))
  -
  AVERAGE(FILTER(data!C$2:C1000, data!A$2:A1000=$F43, data!D$2:D1000=$G43, data!E$2:E1000=2))
, """")
"),"")</f>
        <v/>
      </c>
      <c r="M43" s="64" t="str">
        <f>IFERROR(__xludf.DUMMYFUNCTION("IFERROR(
  AVERAGE(FILTER(data!C$2:C1000, data!A$2:A1000=$F43, data!D$2:D1000=$G43, data!E$2:E1000=3))
  -
  AVERAGE(FILTER(data!C$2:C1000, data!A$2:A1000=$F43, data!D$2:D1000=$G43, data!E$2:E1000=1))
, """")
"),"")</f>
        <v/>
      </c>
      <c r="N43" s="64" t="str">
        <f t="shared" ref="N43:P43" si="84">IF(H43="",,ABS(H43))
</f>
        <v/>
      </c>
      <c r="O43" s="64" t="str">
        <f t="shared" si="84"/>
        <v/>
      </c>
      <c r="P43" s="64" t="str">
        <f t="shared" si="84"/>
        <v/>
      </c>
      <c r="Q43" s="64" t="str">
        <f t="shared" si="4"/>
        <v/>
      </c>
      <c r="R43" s="64" t="str">
        <f t="shared" ref="R43:S43" si="85">IF(L43="",,ABS(L43))
</f>
        <v/>
      </c>
      <c r="S43" s="64" t="str">
        <f t="shared" si="85"/>
        <v/>
      </c>
      <c r="T43" s="55"/>
      <c r="U43" s="55"/>
      <c r="V43" s="55"/>
      <c r="W43" s="64"/>
      <c r="X43" s="64"/>
      <c r="Y43" s="55"/>
      <c r="Z43" s="55"/>
      <c r="AA43" s="55"/>
      <c r="AB43" s="64" t="str">
        <f>IFERROR(__xludf.DUMMYFUNCTION("IF(AA43="""",,COUNTUNIQUE(FILTER(data!D$2:D1000, data!E$2:E1000=3, data!A$2:A1000=AA43)))
"),"")</f>
        <v/>
      </c>
      <c r="AC43" s="64" t="str">
        <f>IFERROR(__xludf.DUMMYFUNCTION("IF(AA43="""",,ROUND(AVERAGE(FILTER(data!B$2:B1000, data!E$2:E1000=3, data!A$2:A1000=AA43)),2))
"),"")</f>
        <v/>
      </c>
      <c r="AD43" s="64" t="str">
        <f>IFERROR(__xludf.DUMMYFUNCTION("IF(AA43="""",,ROUND(AVERAGE(FILTER(data!C$2:C1000, data!E$2:E1000=3, data!A$2:A1000=AA43)),2))
"),"")</f>
        <v/>
      </c>
      <c r="AE43" s="64" t="str">
        <f>IFERROR(__xludf.DUMMYFUNCTION("IF(AA43="""",,
  MAX(FILTER(data!B$2:B1000, data!E$2:E1000=3, data!A$2:A1000=AA43))
 -MIN(FILTER(data!B$2:B1000, data!E$2:E1000=3, data!A$2:A1000=AA43))
)
"),"")</f>
        <v/>
      </c>
      <c r="AF43" s="64" t="str">
        <f>IFERROR(__xludf.DUMMYFUNCTION("IF(AA43="""",,
  MAX(FILTER(data!C$2:C1000, data!E$2:E1000=3, data!A$2:A1000=AA43))
 -MIN(FILTER(data!C$2:C1000, data!E$2:E1000=3, data!A$2:A1000=AA43))
)
"),"")</f>
        <v/>
      </c>
      <c r="AG43" s="55" t="str">
        <f t="shared" si="6"/>
        <v/>
      </c>
      <c r="AH43" s="55"/>
      <c r="AI43" s="64"/>
      <c r="AJ43" s="64"/>
      <c r="AK43" s="64"/>
      <c r="AL43" s="64"/>
      <c r="AM43" s="64"/>
      <c r="AN43" s="64"/>
      <c r="AO43" s="55"/>
      <c r="AP43" s="55"/>
      <c r="AQ43" s="64"/>
      <c r="AR43" s="64"/>
      <c r="AS43" s="64"/>
      <c r="AT43" s="64"/>
      <c r="AU43" s="64"/>
      <c r="AV43" s="55"/>
      <c r="AW43" s="55"/>
      <c r="AX43" s="64"/>
      <c r="AY43" s="64"/>
      <c r="AZ43" s="64"/>
      <c r="BA43" s="64"/>
      <c r="BB43" s="64"/>
      <c r="BC43" s="55"/>
      <c r="BD43" s="55"/>
      <c r="BE43" s="64"/>
      <c r="BF43" s="55"/>
      <c r="BG43" s="64"/>
      <c r="BH43" s="64"/>
      <c r="BI43" s="64"/>
      <c r="BJ43" s="64"/>
      <c r="BK43" s="55"/>
      <c r="BL43" s="65">
        <f>IFERROR(__xludf.DUMMYFUNCTION("""COMPUTED_VALUE"""),50.0)</f>
        <v>50</v>
      </c>
      <c r="BM43" s="65" t="str">
        <f>IFERROR(__xludf.DUMMYFUNCTION("""COMPUTED_VALUE"""),"B")</f>
        <v>B</v>
      </c>
      <c r="BN43" s="63">
        <f>IFERROR(__xludf.DUMMYFUNCTION("""COMPUTED_VALUE"""),4.0)</f>
        <v>4</v>
      </c>
      <c r="BO43" s="63">
        <f>IFERROR(__xludf.DUMMYFUNCTION("""COMPUTED_VALUE"""),4.0)</f>
        <v>4</v>
      </c>
      <c r="BP43" s="63">
        <f>IFERROR(__xludf.DUMMYFUNCTION("""COMPUTED_VALUE"""),4.0)</f>
        <v>4</v>
      </c>
      <c r="BQ43" s="63">
        <f>IFERROR(__xludf.DUMMYFUNCTION("""COMPUTED_VALUE"""),7.0)</f>
        <v>7</v>
      </c>
      <c r="BR43" s="63">
        <f>IFERROR(__xludf.DUMMYFUNCTION("""COMPUTED_VALUE"""),7.0)</f>
        <v>7</v>
      </c>
      <c r="BS43" s="63">
        <f>IFERROR(__xludf.DUMMYFUNCTION("""COMPUTED_VALUE"""),7.0)</f>
        <v>7</v>
      </c>
      <c r="BT43" s="63">
        <v>0.0</v>
      </c>
      <c r="BU43" s="63">
        <v>0.0</v>
      </c>
      <c r="BV43" s="67">
        <v>0.0</v>
      </c>
      <c r="BW43" s="65" t="b">
        <v>0</v>
      </c>
      <c r="BX43" s="55"/>
      <c r="BY43" s="65">
        <f>IFERROR(__xludf.DUMMYFUNCTION("""COMPUTED_VALUE"""),66.0)</f>
        <v>66</v>
      </c>
      <c r="BZ43" s="65">
        <f>IFERROR(__xludf.DUMMYFUNCTION("""COMPUTED_VALUE"""),0.0)</f>
        <v>0</v>
      </c>
      <c r="CA43" s="55"/>
      <c r="CB43" s="55"/>
      <c r="CC43" s="55"/>
      <c r="CD43" s="55"/>
      <c r="CE43" s="55"/>
      <c r="CF43" s="55"/>
      <c r="CG43" s="55"/>
      <c r="CH43" s="55"/>
    </row>
    <row r="44" ht="16.5" customHeight="1">
      <c r="A44" s="55"/>
      <c r="B44" s="55"/>
      <c r="C44" s="55"/>
      <c r="D44" s="55"/>
      <c r="E44" s="55"/>
      <c r="F44" s="55"/>
      <c r="G44" s="55"/>
      <c r="H44" s="64" t="str">
        <f>IFERROR(__xludf.DUMMYFUNCTION("IFERROR(
  AVERAGE(FILTER(data!B$2:B1000, data!A$2:A1000=$F44, data!D$2:D1000=$G44, data!E$2:E1000=2))
  -
  AVERAGE(FILTER(data!B$2:B1000, data!A$2:A1000=$F44, data!D$2:D1000=$G44, data!E$2:E1000=1))
, """")
"),"")</f>
        <v/>
      </c>
      <c r="I44" s="64" t="str">
        <f>IFERROR(__xludf.DUMMYFUNCTION("IFERROR(
  AVERAGE(FILTER(data!B$2:B1000, data!A$2:A1000=$F44, data!D$2:D1000=$G44, data!E$2:E1000=3))
  -
  AVERAGE(FILTER(data!B$2:B1000, data!A$2:A1000=$F44, data!D$2:D1000=$G44, data!E$2:E1000=2))
, """")
"),"")</f>
        <v/>
      </c>
      <c r="J44" s="64" t="str">
        <f>IFERROR(__xludf.DUMMYFUNCTION("IFERROR(
  AVERAGE(FILTER(data!B$2:B1000, data!A$2:A1000=$F44, data!D$2:D1000=$G44, data!E$2:E1000=3))
  -
  AVERAGE(FILTER(data!B$2:B1000, data!A$2:A1000=$F44, data!D$2:D1000=$G44, data!E$2:E1000=1))
, """")
"),"")</f>
        <v/>
      </c>
      <c r="K44" s="64" t="str">
        <f>IFERROR(__xludf.DUMMYFUNCTION("IFERROR(
  AVERAGE(FILTER(data!C$2:C1000, data!A$2:A1000=$F44, data!D$2:D1000=$G44, data!E$2:E1000=2))
  -
  AVERAGE(FILTER(data!C$2:C1000, data!A$2:A1000=$F44, data!D$2:D1000=$G44, data!E$2:E1000=1))
, """")
"),"")</f>
        <v/>
      </c>
      <c r="L44" s="64" t="str">
        <f>IFERROR(__xludf.DUMMYFUNCTION("IFERROR(
  AVERAGE(FILTER(data!C$2:C1000, data!A$2:A1000=$F44, data!D$2:D1000=$G44, data!E$2:E1000=3))
  -
  AVERAGE(FILTER(data!C$2:C1000, data!A$2:A1000=$F44, data!D$2:D1000=$G44, data!E$2:E1000=2))
, """")
"),"")</f>
        <v/>
      </c>
      <c r="M44" s="64" t="str">
        <f>IFERROR(__xludf.DUMMYFUNCTION("IFERROR(
  AVERAGE(FILTER(data!C$2:C1000, data!A$2:A1000=$F44, data!D$2:D1000=$G44, data!E$2:E1000=3))
  -
  AVERAGE(FILTER(data!C$2:C1000, data!A$2:A1000=$F44, data!D$2:D1000=$G44, data!E$2:E1000=1))
, """")
"),"")</f>
        <v/>
      </c>
      <c r="N44" s="64" t="str">
        <f t="shared" ref="N44:P44" si="86">IF(H44="",,ABS(H44))
</f>
        <v/>
      </c>
      <c r="O44" s="64" t="str">
        <f t="shared" si="86"/>
        <v/>
      </c>
      <c r="P44" s="64" t="str">
        <f t="shared" si="86"/>
        <v/>
      </c>
      <c r="Q44" s="64" t="str">
        <f t="shared" si="4"/>
        <v/>
      </c>
      <c r="R44" s="64" t="str">
        <f t="shared" ref="R44:S44" si="87">IF(L44="",,ABS(L44))
</f>
        <v/>
      </c>
      <c r="S44" s="64" t="str">
        <f t="shared" si="87"/>
        <v/>
      </c>
      <c r="T44" s="55"/>
      <c r="U44" s="55"/>
      <c r="V44" s="55"/>
      <c r="W44" s="64"/>
      <c r="X44" s="64"/>
      <c r="Y44" s="55"/>
      <c r="Z44" s="55"/>
      <c r="AA44" s="55"/>
      <c r="AB44" s="64" t="str">
        <f>IFERROR(__xludf.DUMMYFUNCTION("IF(AA44="""",,COUNTUNIQUE(FILTER(data!D$2:D1000, data!E$2:E1000=3, data!A$2:A1000=AA44)))
"),"")</f>
        <v/>
      </c>
      <c r="AC44" s="64" t="str">
        <f>IFERROR(__xludf.DUMMYFUNCTION("IF(AA44="""",,ROUND(AVERAGE(FILTER(data!B$2:B1000, data!E$2:E1000=3, data!A$2:A1000=AA44)),2))
"),"")</f>
        <v/>
      </c>
      <c r="AD44" s="64" t="str">
        <f>IFERROR(__xludf.DUMMYFUNCTION("IF(AA44="""",,ROUND(AVERAGE(FILTER(data!C$2:C1000, data!E$2:E1000=3, data!A$2:A1000=AA44)),2))
"),"")</f>
        <v/>
      </c>
      <c r="AE44" s="64" t="str">
        <f>IFERROR(__xludf.DUMMYFUNCTION("IF(AA44="""",,
  MAX(FILTER(data!B$2:B1000, data!E$2:E1000=3, data!A$2:A1000=AA44))
 -MIN(FILTER(data!B$2:B1000, data!E$2:E1000=3, data!A$2:A1000=AA44))
)
"),"")</f>
        <v/>
      </c>
      <c r="AF44" s="64" t="str">
        <f>IFERROR(__xludf.DUMMYFUNCTION("IF(AA44="""",,
  MAX(FILTER(data!C$2:C1000, data!E$2:E1000=3, data!A$2:A1000=AA44))
 -MIN(FILTER(data!C$2:C1000, data!E$2:E1000=3, data!A$2:A1000=AA44))
)
"),"")</f>
        <v/>
      </c>
      <c r="AG44" s="55" t="str">
        <f t="shared" si="6"/>
        <v/>
      </c>
      <c r="AH44" s="55"/>
      <c r="AI44" s="64"/>
      <c r="AJ44" s="64"/>
      <c r="AK44" s="64"/>
      <c r="AL44" s="64"/>
      <c r="AM44" s="64"/>
      <c r="AN44" s="64"/>
      <c r="AO44" s="55"/>
      <c r="AP44" s="55"/>
      <c r="AQ44" s="64"/>
      <c r="AR44" s="64"/>
      <c r="AS44" s="64"/>
      <c r="AT44" s="64"/>
      <c r="AU44" s="64"/>
      <c r="AV44" s="55"/>
      <c r="AW44" s="55"/>
      <c r="AX44" s="64"/>
      <c r="AY44" s="64"/>
      <c r="AZ44" s="64"/>
      <c r="BA44" s="64"/>
      <c r="BB44" s="64"/>
      <c r="BC44" s="55"/>
      <c r="BD44" s="55"/>
      <c r="BE44" s="64"/>
      <c r="BF44" s="55"/>
      <c r="BG44" s="64"/>
      <c r="BH44" s="64"/>
      <c r="BI44" s="64"/>
      <c r="BJ44" s="64"/>
      <c r="BK44" s="55"/>
      <c r="BL44" s="65">
        <f>IFERROR(__xludf.DUMMYFUNCTION("""COMPUTED_VALUE"""),50.0)</f>
        <v>50</v>
      </c>
      <c r="BM44" s="65" t="str">
        <f>IFERROR(__xludf.DUMMYFUNCTION("""COMPUTED_VALUE"""),"C")</f>
        <v>C</v>
      </c>
      <c r="BN44" s="63">
        <f>IFERROR(__xludf.DUMMYFUNCTION("""COMPUTED_VALUE"""),4.0)</f>
        <v>4</v>
      </c>
      <c r="BO44" s="63">
        <f>IFERROR(__xludf.DUMMYFUNCTION("""COMPUTED_VALUE"""),4.0)</f>
        <v>4</v>
      </c>
      <c r="BP44" s="64"/>
      <c r="BQ44" s="63">
        <f>IFERROR(__xludf.DUMMYFUNCTION("""COMPUTED_VALUE"""),5.0)</f>
        <v>5</v>
      </c>
      <c r="BR44" s="63">
        <f>IFERROR(__xludf.DUMMYFUNCTION("""COMPUTED_VALUE"""),5.0)</f>
        <v>5</v>
      </c>
      <c r="BS44" s="64"/>
      <c r="BT44" s="63">
        <v>0.0</v>
      </c>
      <c r="BU44" s="64"/>
      <c r="BV44" s="67">
        <v>0.0</v>
      </c>
      <c r="BW44" s="65" t="b">
        <v>0</v>
      </c>
      <c r="BX44" s="55"/>
      <c r="BY44" s="65">
        <f>IFERROR(__xludf.DUMMYFUNCTION("""COMPUTED_VALUE"""),70.0)</f>
        <v>70</v>
      </c>
      <c r="BZ44" s="65">
        <f>IFERROR(__xludf.DUMMYFUNCTION("""COMPUTED_VALUE"""),0.0)</f>
        <v>0</v>
      </c>
      <c r="CA44" s="55"/>
      <c r="CB44" s="55"/>
      <c r="CC44" s="55"/>
      <c r="CD44" s="55"/>
      <c r="CE44" s="55"/>
      <c r="CF44" s="55"/>
      <c r="CG44" s="55"/>
      <c r="CH44" s="55"/>
    </row>
    <row r="45" ht="16.5" customHeight="1">
      <c r="A45" s="55"/>
      <c r="B45" s="55"/>
      <c r="C45" s="55"/>
      <c r="D45" s="55"/>
      <c r="E45" s="55"/>
      <c r="F45" s="55"/>
      <c r="G45" s="55"/>
      <c r="H45" s="64" t="str">
        <f>IFERROR(__xludf.DUMMYFUNCTION("IFERROR(
  AVERAGE(FILTER(data!B$2:B1000, data!A$2:A1000=$F45, data!D$2:D1000=$G45, data!E$2:E1000=2))
  -
  AVERAGE(FILTER(data!B$2:B1000, data!A$2:A1000=$F45, data!D$2:D1000=$G45, data!E$2:E1000=1))
, """")
"),"")</f>
        <v/>
      </c>
      <c r="I45" s="64" t="str">
        <f>IFERROR(__xludf.DUMMYFUNCTION("IFERROR(
  AVERAGE(FILTER(data!B$2:B1000, data!A$2:A1000=$F45, data!D$2:D1000=$G45, data!E$2:E1000=3))
  -
  AVERAGE(FILTER(data!B$2:B1000, data!A$2:A1000=$F45, data!D$2:D1000=$G45, data!E$2:E1000=2))
, """")
"),"")</f>
        <v/>
      </c>
      <c r="J45" s="64" t="str">
        <f>IFERROR(__xludf.DUMMYFUNCTION("IFERROR(
  AVERAGE(FILTER(data!B$2:B1000, data!A$2:A1000=$F45, data!D$2:D1000=$G45, data!E$2:E1000=3))
  -
  AVERAGE(FILTER(data!B$2:B1000, data!A$2:A1000=$F45, data!D$2:D1000=$G45, data!E$2:E1000=1))
, """")
"),"")</f>
        <v/>
      </c>
      <c r="K45" s="64" t="str">
        <f>IFERROR(__xludf.DUMMYFUNCTION("IFERROR(
  AVERAGE(FILTER(data!C$2:C1000, data!A$2:A1000=$F45, data!D$2:D1000=$G45, data!E$2:E1000=2))
  -
  AVERAGE(FILTER(data!C$2:C1000, data!A$2:A1000=$F45, data!D$2:D1000=$G45, data!E$2:E1000=1))
, """")
"),"")</f>
        <v/>
      </c>
      <c r="L45" s="64" t="str">
        <f>IFERROR(__xludf.DUMMYFUNCTION("IFERROR(
  AVERAGE(FILTER(data!C$2:C1000, data!A$2:A1000=$F45, data!D$2:D1000=$G45, data!E$2:E1000=3))
  -
  AVERAGE(FILTER(data!C$2:C1000, data!A$2:A1000=$F45, data!D$2:D1000=$G45, data!E$2:E1000=2))
, """")
"),"")</f>
        <v/>
      </c>
      <c r="M45" s="64" t="str">
        <f>IFERROR(__xludf.DUMMYFUNCTION("IFERROR(
  AVERAGE(FILTER(data!C$2:C1000, data!A$2:A1000=$F45, data!D$2:D1000=$G45, data!E$2:E1000=3))
  -
  AVERAGE(FILTER(data!C$2:C1000, data!A$2:A1000=$F45, data!D$2:D1000=$G45, data!E$2:E1000=1))
, """")
"),"")</f>
        <v/>
      </c>
      <c r="N45" s="64" t="str">
        <f t="shared" ref="N45:P45" si="88">IF(H45="",,ABS(H45))
</f>
        <v/>
      </c>
      <c r="O45" s="64" t="str">
        <f t="shared" si="88"/>
        <v/>
      </c>
      <c r="P45" s="64" t="str">
        <f t="shared" si="88"/>
        <v/>
      </c>
      <c r="Q45" s="64" t="str">
        <f t="shared" si="4"/>
        <v/>
      </c>
      <c r="R45" s="64" t="str">
        <f t="shared" ref="R45:S45" si="89">IF(L45="",,ABS(L45))
</f>
        <v/>
      </c>
      <c r="S45" s="64" t="str">
        <f t="shared" si="89"/>
        <v/>
      </c>
      <c r="T45" s="55"/>
      <c r="U45" s="55"/>
      <c r="V45" s="55"/>
      <c r="W45" s="64"/>
      <c r="X45" s="64"/>
      <c r="Y45" s="55"/>
      <c r="Z45" s="55"/>
      <c r="AA45" s="55"/>
      <c r="AB45" s="64" t="str">
        <f>IFERROR(__xludf.DUMMYFUNCTION("IF(AA45="""",,COUNTUNIQUE(FILTER(data!D$2:D1000, data!E$2:E1000=3, data!A$2:A1000=AA45)))
"),"")</f>
        <v/>
      </c>
      <c r="AC45" s="64" t="str">
        <f>IFERROR(__xludf.DUMMYFUNCTION("IF(AA45="""",,ROUND(AVERAGE(FILTER(data!B$2:B1000, data!E$2:E1000=3, data!A$2:A1000=AA45)),2))
"),"")</f>
        <v/>
      </c>
      <c r="AD45" s="64" t="str">
        <f>IFERROR(__xludf.DUMMYFUNCTION("IF(AA45="""",,ROUND(AVERAGE(FILTER(data!C$2:C1000, data!E$2:E1000=3, data!A$2:A1000=AA45)),2))
"),"")</f>
        <v/>
      </c>
      <c r="AE45" s="64" t="str">
        <f>IFERROR(__xludf.DUMMYFUNCTION("IF(AA45="""",,
  MAX(FILTER(data!B$2:B1000, data!E$2:E1000=3, data!A$2:A1000=AA45))
 -MIN(FILTER(data!B$2:B1000, data!E$2:E1000=3, data!A$2:A1000=AA45))
)
"),"")</f>
        <v/>
      </c>
      <c r="AF45" s="64" t="str">
        <f>IFERROR(__xludf.DUMMYFUNCTION("IF(AA45="""",,
  MAX(FILTER(data!C$2:C1000, data!E$2:E1000=3, data!A$2:A1000=AA45))
 -MIN(FILTER(data!C$2:C1000, data!E$2:E1000=3, data!A$2:A1000=AA45))
)
"),"")</f>
        <v/>
      </c>
      <c r="AG45" s="55" t="str">
        <f t="shared" si="6"/>
        <v/>
      </c>
      <c r="AH45" s="55"/>
      <c r="AI45" s="64"/>
      <c r="AJ45" s="64"/>
      <c r="AK45" s="64"/>
      <c r="AL45" s="64"/>
      <c r="AM45" s="64"/>
      <c r="AN45" s="64"/>
      <c r="AO45" s="55"/>
      <c r="AP45" s="55"/>
      <c r="AQ45" s="64"/>
      <c r="AR45" s="64"/>
      <c r="AS45" s="64"/>
      <c r="AT45" s="64"/>
      <c r="AU45" s="64"/>
      <c r="AV45" s="55"/>
      <c r="AW45" s="55"/>
      <c r="AX45" s="64"/>
      <c r="AY45" s="64"/>
      <c r="AZ45" s="64"/>
      <c r="BA45" s="64"/>
      <c r="BB45" s="64"/>
      <c r="BC45" s="55"/>
      <c r="BD45" s="55"/>
      <c r="BE45" s="64"/>
      <c r="BF45" s="55"/>
      <c r="BG45" s="64"/>
      <c r="BH45" s="64"/>
      <c r="BI45" s="64"/>
      <c r="BJ45" s="64"/>
      <c r="BK45" s="55"/>
      <c r="BL45" s="65">
        <f>IFERROR(__xludf.DUMMYFUNCTION("""COMPUTED_VALUE"""),56.0)</f>
        <v>56</v>
      </c>
      <c r="BM45" s="65" t="str">
        <f>IFERROR(__xludf.DUMMYFUNCTION("""COMPUTED_VALUE"""),"C")</f>
        <v>C</v>
      </c>
      <c r="BN45" s="63">
        <f>IFERROR(__xludf.DUMMYFUNCTION("""COMPUTED_VALUE"""),8.0)</f>
        <v>8</v>
      </c>
      <c r="BO45" s="63">
        <f>IFERROR(__xludf.DUMMYFUNCTION("""COMPUTED_VALUE"""),8.0)</f>
        <v>8</v>
      </c>
      <c r="BP45" s="64"/>
      <c r="BQ45" s="63">
        <f>IFERROR(__xludf.DUMMYFUNCTION("""COMPUTED_VALUE"""),7.0)</f>
        <v>7</v>
      </c>
      <c r="BR45" s="63">
        <f>IFERROR(__xludf.DUMMYFUNCTION("""COMPUTED_VALUE"""),7.0)</f>
        <v>7</v>
      </c>
      <c r="BS45" s="64"/>
      <c r="BT45" s="63">
        <v>0.0</v>
      </c>
      <c r="BU45" s="64"/>
      <c r="BV45" s="67">
        <v>0.0</v>
      </c>
      <c r="BW45" s="65" t="b">
        <v>0</v>
      </c>
      <c r="BX45" s="55"/>
      <c r="BY45" s="65">
        <f>IFERROR(__xludf.DUMMYFUNCTION("""COMPUTED_VALUE"""),72.0)</f>
        <v>72</v>
      </c>
      <c r="BZ45" s="65">
        <f>IFERROR(__xludf.DUMMYFUNCTION("""COMPUTED_VALUE"""),0.0)</f>
        <v>0</v>
      </c>
      <c r="CA45" s="55"/>
      <c r="CB45" s="55"/>
      <c r="CC45" s="55"/>
      <c r="CD45" s="55"/>
      <c r="CE45" s="55"/>
      <c r="CF45" s="55"/>
      <c r="CG45" s="55"/>
      <c r="CH45" s="55"/>
    </row>
    <row r="46" ht="16.5" customHeight="1">
      <c r="A46" s="55"/>
      <c r="B46" s="55"/>
      <c r="C46" s="55"/>
      <c r="D46" s="55"/>
      <c r="E46" s="55"/>
      <c r="F46" s="55"/>
      <c r="G46" s="55"/>
      <c r="H46" s="64" t="str">
        <f>IFERROR(__xludf.DUMMYFUNCTION("IFERROR(
  AVERAGE(FILTER(data!B$2:B1000, data!A$2:A1000=$F46, data!D$2:D1000=$G46, data!E$2:E1000=2))
  -
  AVERAGE(FILTER(data!B$2:B1000, data!A$2:A1000=$F46, data!D$2:D1000=$G46, data!E$2:E1000=1))
, """")
"),"")</f>
        <v/>
      </c>
      <c r="I46" s="64" t="str">
        <f>IFERROR(__xludf.DUMMYFUNCTION("IFERROR(
  AVERAGE(FILTER(data!B$2:B1000, data!A$2:A1000=$F46, data!D$2:D1000=$G46, data!E$2:E1000=3))
  -
  AVERAGE(FILTER(data!B$2:B1000, data!A$2:A1000=$F46, data!D$2:D1000=$G46, data!E$2:E1000=2))
, """")
"),"")</f>
        <v/>
      </c>
      <c r="J46" s="64" t="str">
        <f>IFERROR(__xludf.DUMMYFUNCTION("IFERROR(
  AVERAGE(FILTER(data!B$2:B1000, data!A$2:A1000=$F46, data!D$2:D1000=$G46, data!E$2:E1000=3))
  -
  AVERAGE(FILTER(data!B$2:B1000, data!A$2:A1000=$F46, data!D$2:D1000=$G46, data!E$2:E1000=1))
, """")
"),"")</f>
        <v/>
      </c>
      <c r="K46" s="64" t="str">
        <f>IFERROR(__xludf.DUMMYFUNCTION("IFERROR(
  AVERAGE(FILTER(data!C$2:C1000, data!A$2:A1000=$F46, data!D$2:D1000=$G46, data!E$2:E1000=2))
  -
  AVERAGE(FILTER(data!C$2:C1000, data!A$2:A1000=$F46, data!D$2:D1000=$G46, data!E$2:E1000=1))
, """")
"),"")</f>
        <v/>
      </c>
      <c r="L46" s="64" t="str">
        <f>IFERROR(__xludf.DUMMYFUNCTION("IFERROR(
  AVERAGE(FILTER(data!C$2:C1000, data!A$2:A1000=$F46, data!D$2:D1000=$G46, data!E$2:E1000=3))
  -
  AVERAGE(FILTER(data!C$2:C1000, data!A$2:A1000=$F46, data!D$2:D1000=$G46, data!E$2:E1000=2))
, """")
"),"")</f>
        <v/>
      </c>
      <c r="M46" s="64" t="str">
        <f>IFERROR(__xludf.DUMMYFUNCTION("IFERROR(
  AVERAGE(FILTER(data!C$2:C1000, data!A$2:A1000=$F46, data!D$2:D1000=$G46, data!E$2:E1000=3))
  -
  AVERAGE(FILTER(data!C$2:C1000, data!A$2:A1000=$F46, data!D$2:D1000=$G46, data!E$2:E1000=1))
, """")
"),"")</f>
        <v/>
      </c>
      <c r="N46" s="64" t="str">
        <f t="shared" ref="N46:P46" si="90">IF(H46="",,ABS(H46))
</f>
        <v/>
      </c>
      <c r="O46" s="64" t="str">
        <f t="shared" si="90"/>
        <v/>
      </c>
      <c r="P46" s="64" t="str">
        <f t="shared" si="90"/>
        <v/>
      </c>
      <c r="Q46" s="64" t="str">
        <f t="shared" si="4"/>
        <v/>
      </c>
      <c r="R46" s="64" t="str">
        <f t="shared" ref="R46:S46" si="91">IF(L46="",,ABS(L46))
</f>
        <v/>
      </c>
      <c r="S46" s="64" t="str">
        <f t="shared" si="91"/>
        <v/>
      </c>
      <c r="T46" s="55"/>
      <c r="U46" s="55"/>
      <c r="V46" s="55"/>
      <c r="W46" s="64"/>
      <c r="X46" s="64"/>
      <c r="Y46" s="55"/>
      <c r="Z46" s="55"/>
      <c r="AA46" s="55"/>
      <c r="AB46" s="64" t="str">
        <f>IFERROR(__xludf.DUMMYFUNCTION("IF(AA46="""",,COUNTUNIQUE(FILTER(data!D$2:D1000, data!E$2:E1000=3, data!A$2:A1000=AA46)))
"),"")</f>
        <v/>
      </c>
      <c r="AC46" s="64" t="str">
        <f>IFERROR(__xludf.DUMMYFUNCTION("IF(AA46="""",,ROUND(AVERAGE(FILTER(data!B$2:B1000, data!E$2:E1000=3, data!A$2:A1000=AA46)),2))
"),"")</f>
        <v/>
      </c>
      <c r="AD46" s="64" t="str">
        <f>IFERROR(__xludf.DUMMYFUNCTION("IF(AA46="""",,ROUND(AVERAGE(FILTER(data!C$2:C1000, data!E$2:E1000=3, data!A$2:A1000=AA46)),2))
"),"")</f>
        <v/>
      </c>
      <c r="AE46" s="64" t="str">
        <f>IFERROR(__xludf.DUMMYFUNCTION("IF(AA46="""",,
  MAX(FILTER(data!B$2:B1000, data!E$2:E1000=3, data!A$2:A1000=AA46))
 -MIN(FILTER(data!B$2:B1000, data!E$2:E1000=3, data!A$2:A1000=AA46))
)
"),"")</f>
        <v/>
      </c>
      <c r="AF46" s="64" t="str">
        <f>IFERROR(__xludf.DUMMYFUNCTION("IF(AA46="""",,
  MAX(FILTER(data!C$2:C1000, data!E$2:E1000=3, data!A$2:A1000=AA46))
 -MIN(FILTER(data!C$2:C1000, data!E$2:E1000=3, data!A$2:A1000=AA46))
)
"),"")</f>
        <v/>
      </c>
      <c r="AG46" s="55" t="str">
        <f t="shared" si="6"/>
        <v/>
      </c>
      <c r="AH46" s="55"/>
      <c r="AI46" s="64"/>
      <c r="AJ46" s="64"/>
      <c r="AK46" s="64"/>
      <c r="AL46" s="64"/>
      <c r="AM46" s="64"/>
      <c r="AN46" s="64"/>
      <c r="AO46" s="55"/>
      <c r="AP46" s="55"/>
      <c r="AQ46" s="64"/>
      <c r="AR46" s="64"/>
      <c r="AS46" s="64"/>
      <c r="AT46" s="64"/>
      <c r="AU46" s="64"/>
      <c r="AV46" s="55"/>
      <c r="AW46" s="55"/>
      <c r="AX46" s="64"/>
      <c r="AY46" s="64"/>
      <c r="AZ46" s="64"/>
      <c r="BA46" s="64"/>
      <c r="BB46" s="64"/>
      <c r="BC46" s="55"/>
      <c r="BD46" s="55"/>
      <c r="BE46" s="64"/>
      <c r="BF46" s="55"/>
      <c r="BG46" s="64"/>
      <c r="BH46" s="64"/>
      <c r="BI46" s="64"/>
      <c r="BJ46" s="64"/>
      <c r="BK46" s="55"/>
      <c r="BL46" s="65">
        <f>IFERROR(__xludf.DUMMYFUNCTION("""COMPUTED_VALUE"""),59.0)</f>
        <v>59</v>
      </c>
      <c r="BM46" s="65" t="str">
        <f>IFERROR(__xludf.DUMMYFUNCTION("""COMPUTED_VALUE"""),"C")</f>
        <v>C</v>
      </c>
      <c r="BN46" s="63">
        <f>IFERROR(__xludf.DUMMYFUNCTION("""COMPUTED_VALUE"""),3.0)</f>
        <v>3</v>
      </c>
      <c r="BO46" s="63">
        <f>IFERROR(__xludf.DUMMYFUNCTION("""COMPUTED_VALUE"""),3.0)</f>
        <v>3</v>
      </c>
      <c r="BP46" s="64"/>
      <c r="BQ46" s="63">
        <f>IFERROR(__xludf.DUMMYFUNCTION("""COMPUTED_VALUE"""),4.0)</f>
        <v>4</v>
      </c>
      <c r="BR46" s="63">
        <f>IFERROR(__xludf.DUMMYFUNCTION("""COMPUTED_VALUE"""),4.0)</f>
        <v>4</v>
      </c>
      <c r="BS46" s="64"/>
      <c r="BT46" s="63">
        <v>0.0</v>
      </c>
      <c r="BU46" s="64"/>
      <c r="BV46" s="67">
        <v>0.0</v>
      </c>
      <c r="BW46" s="65" t="b">
        <v>0</v>
      </c>
      <c r="BX46" s="55"/>
      <c r="BY46" s="65">
        <f>IFERROR(__xludf.DUMMYFUNCTION("""COMPUTED_VALUE"""),74.0)</f>
        <v>74</v>
      </c>
      <c r="BZ46" s="65">
        <f>IFERROR(__xludf.DUMMYFUNCTION("""COMPUTED_VALUE"""),0.0)</f>
        <v>0</v>
      </c>
      <c r="CA46" s="55"/>
      <c r="CB46" s="55"/>
      <c r="CC46" s="55"/>
      <c r="CD46" s="55"/>
      <c r="CE46" s="55"/>
      <c r="CF46" s="55"/>
      <c r="CG46" s="55"/>
      <c r="CH46" s="55"/>
    </row>
    <row r="47" ht="16.5" customHeight="1">
      <c r="A47" s="55"/>
      <c r="B47" s="55"/>
      <c r="C47" s="55"/>
      <c r="D47" s="55"/>
      <c r="E47" s="55"/>
      <c r="F47" s="55"/>
      <c r="G47" s="55"/>
      <c r="H47" s="64" t="str">
        <f>IFERROR(__xludf.DUMMYFUNCTION("IFERROR(
  AVERAGE(FILTER(data!B$2:B1000, data!A$2:A1000=$F47, data!D$2:D1000=$G47, data!E$2:E1000=2))
  -
  AVERAGE(FILTER(data!B$2:B1000, data!A$2:A1000=$F47, data!D$2:D1000=$G47, data!E$2:E1000=1))
, """")
"),"")</f>
        <v/>
      </c>
      <c r="I47" s="64" t="str">
        <f>IFERROR(__xludf.DUMMYFUNCTION("IFERROR(
  AVERAGE(FILTER(data!B$2:B1000, data!A$2:A1000=$F47, data!D$2:D1000=$G47, data!E$2:E1000=3))
  -
  AVERAGE(FILTER(data!B$2:B1000, data!A$2:A1000=$F47, data!D$2:D1000=$G47, data!E$2:E1000=2))
, """")
"),"")</f>
        <v/>
      </c>
      <c r="J47" s="64" t="str">
        <f>IFERROR(__xludf.DUMMYFUNCTION("IFERROR(
  AVERAGE(FILTER(data!B$2:B1000, data!A$2:A1000=$F47, data!D$2:D1000=$G47, data!E$2:E1000=3))
  -
  AVERAGE(FILTER(data!B$2:B1000, data!A$2:A1000=$F47, data!D$2:D1000=$G47, data!E$2:E1000=1))
, """")
"),"")</f>
        <v/>
      </c>
      <c r="K47" s="64" t="str">
        <f>IFERROR(__xludf.DUMMYFUNCTION("IFERROR(
  AVERAGE(FILTER(data!C$2:C1000, data!A$2:A1000=$F47, data!D$2:D1000=$G47, data!E$2:E1000=2))
  -
  AVERAGE(FILTER(data!C$2:C1000, data!A$2:A1000=$F47, data!D$2:D1000=$G47, data!E$2:E1000=1))
, """")
"),"")</f>
        <v/>
      </c>
      <c r="L47" s="64" t="str">
        <f>IFERROR(__xludf.DUMMYFUNCTION("IFERROR(
  AVERAGE(FILTER(data!C$2:C1000, data!A$2:A1000=$F47, data!D$2:D1000=$G47, data!E$2:E1000=3))
  -
  AVERAGE(FILTER(data!C$2:C1000, data!A$2:A1000=$F47, data!D$2:D1000=$G47, data!E$2:E1000=2))
, """")
"),"")</f>
        <v/>
      </c>
      <c r="M47" s="64" t="str">
        <f>IFERROR(__xludf.DUMMYFUNCTION("IFERROR(
  AVERAGE(FILTER(data!C$2:C1000, data!A$2:A1000=$F47, data!D$2:D1000=$G47, data!E$2:E1000=3))
  -
  AVERAGE(FILTER(data!C$2:C1000, data!A$2:A1000=$F47, data!D$2:D1000=$G47, data!E$2:E1000=1))
, """")
"),"")</f>
        <v/>
      </c>
      <c r="N47" s="64" t="str">
        <f t="shared" ref="N47:P47" si="92">IF(H47="",,ABS(H47))
</f>
        <v/>
      </c>
      <c r="O47" s="64" t="str">
        <f t="shared" si="92"/>
        <v/>
      </c>
      <c r="P47" s="64" t="str">
        <f t="shared" si="92"/>
        <v/>
      </c>
      <c r="Q47" s="64" t="str">
        <f t="shared" si="4"/>
        <v/>
      </c>
      <c r="R47" s="64" t="str">
        <f t="shared" ref="R47:S47" si="93">IF(L47="",,ABS(L47))
</f>
        <v/>
      </c>
      <c r="S47" s="64" t="str">
        <f t="shared" si="93"/>
        <v/>
      </c>
      <c r="T47" s="55"/>
      <c r="U47" s="55"/>
      <c r="V47" s="55"/>
      <c r="W47" s="64"/>
      <c r="X47" s="64"/>
      <c r="Y47" s="55"/>
      <c r="Z47" s="55"/>
      <c r="AA47" s="55"/>
      <c r="AB47" s="64" t="str">
        <f>IFERROR(__xludf.DUMMYFUNCTION("IF(AA47="""",,COUNTUNIQUE(FILTER(data!D$2:D1000, data!E$2:E1000=3, data!A$2:A1000=AA47)))
"),"")</f>
        <v/>
      </c>
      <c r="AC47" s="64" t="str">
        <f>IFERROR(__xludf.DUMMYFUNCTION("IF(AA47="""",,ROUND(AVERAGE(FILTER(data!B$2:B1000, data!E$2:E1000=3, data!A$2:A1000=AA47)),2))
"),"")</f>
        <v/>
      </c>
      <c r="AD47" s="64" t="str">
        <f>IFERROR(__xludf.DUMMYFUNCTION("IF(AA47="""",,ROUND(AVERAGE(FILTER(data!C$2:C1000, data!E$2:E1000=3, data!A$2:A1000=AA47)),2))
"),"")</f>
        <v/>
      </c>
      <c r="AE47" s="64" t="str">
        <f>IFERROR(__xludf.DUMMYFUNCTION("IF(AA47="""",,
  MAX(FILTER(data!B$2:B1000, data!E$2:E1000=3, data!A$2:A1000=AA47))
 -MIN(FILTER(data!B$2:B1000, data!E$2:E1000=3, data!A$2:A1000=AA47))
)
"),"")</f>
        <v/>
      </c>
      <c r="AF47" s="64" t="str">
        <f>IFERROR(__xludf.DUMMYFUNCTION("IF(AA47="""",,
  MAX(FILTER(data!C$2:C1000, data!E$2:E1000=3, data!A$2:A1000=AA47))
 -MIN(FILTER(data!C$2:C1000, data!E$2:E1000=3, data!A$2:A1000=AA47))
)
"),"")</f>
        <v/>
      </c>
      <c r="AG47" s="55" t="str">
        <f t="shared" si="6"/>
        <v/>
      </c>
      <c r="AH47" s="55"/>
      <c r="AI47" s="64"/>
      <c r="AJ47" s="64"/>
      <c r="AK47" s="64"/>
      <c r="AL47" s="64"/>
      <c r="AM47" s="64"/>
      <c r="AN47" s="64"/>
      <c r="AO47" s="55"/>
      <c r="AP47" s="55"/>
      <c r="AQ47" s="64"/>
      <c r="AR47" s="64"/>
      <c r="AS47" s="64"/>
      <c r="AT47" s="64"/>
      <c r="AU47" s="64"/>
      <c r="AV47" s="55"/>
      <c r="AW47" s="55"/>
      <c r="AX47" s="64"/>
      <c r="AY47" s="64"/>
      <c r="AZ47" s="64"/>
      <c r="BA47" s="64"/>
      <c r="BB47" s="64"/>
      <c r="BC47" s="55"/>
      <c r="BD47" s="55"/>
      <c r="BE47" s="64"/>
      <c r="BF47" s="55"/>
      <c r="BG47" s="64"/>
      <c r="BH47" s="64"/>
      <c r="BI47" s="64"/>
      <c r="BJ47" s="64"/>
      <c r="BK47" s="55"/>
      <c r="BL47" s="65">
        <f>IFERROR(__xludf.DUMMYFUNCTION("""COMPUTED_VALUE"""),60.0)</f>
        <v>60</v>
      </c>
      <c r="BM47" s="65" t="str">
        <f>IFERROR(__xludf.DUMMYFUNCTION("""COMPUTED_VALUE"""),"B")</f>
        <v>B</v>
      </c>
      <c r="BN47" s="63">
        <f>IFERROR(__xludf.DUMMYFUNCTION("""COMPUTED_VALUE"""),7.5)</f>
        <v>7.5</v>
      </c>
      <c r="BO47" s="63">
        <f>IFERROR(__xludf.DUMMYFUNCTION("""COMPUTED_VALUE"""),7.5)</f>
        <v>7.5</v>
      </c>
      <c r="BP47" s="63">
        <f>IFERROR(__xludf.DUMMYFUNCTION("""COMPUTED_VALUE"""),8.0)</f>
        <v>8</v>
      </c>
      <c r="BQ47" s="63">
        <f>IFERROR(__xludf.DUMMYFUNCTION("""COMPUTED_VALUE"""),10.0)</f>
        <v>10</v>
      </c>
      <c r="BR47" s="63">
        <f>IFERROR(__xludf.DUMMYFUNCTION("""COMPUTED_VALUE"""),10.0)</f>
        <v>10</v>
      </c>
      <c r="BS47" s="63">
        <f>IFERROR(__xludf.DUMMYFUNCTION("""COMPUTED_VALUE"""),9.0)</f>
        <v>9</v>
      </c>
      <c r="BT47" s="63">
        <v>0.0</v>
      </c>
      <c r="BU47" s="63">
        <v>1.5</v>
      </c>
      <c r="BV47" s="67">
        <v>1.5</v>
      </c>
      <c r="BW47" s="65" t="b">
        <v>0</v>
      </c>
      <c r="BX47" s="55"/>
      <c r="BY47" s="65">
        <f>IFERROR(__xludf.DUMMYFUNCTION("""COMPUTED_VALUE"""),76.0)</f>
        <v>76</v>
      </c>
      <c r="BZ47" s="65">
        <f>IFERROR(__xludf.DUMMYFUNCTION("""COMPUTED_VALUE"""),0.0)</f>
        <v>0</v>
      </c>
      <c r="CA47" s="55"/>
      <c r="CB47" s="55"/>
      <c r="CC47" s="55"/>
      <c r="CD47" s="55"/>
      <c r="CE47" s="55"/>
      <c r="CF47" s="55"/>
      <c r="CG47" s="55"/>
      <c r="CH47" s="55"/>
    </row>
    <row r="48" ht="16.5" customHeight="1">
      <c r="A48" s="55"/>
      <c r="B48" s="55"/>
      <c r="C48" s="55"/>
      <c r="D48" s="55"/>
      <c r="E48" s="55"/>
      <c r="F48" s="55"/>
      <c r="G48" s="55"/>
      <c r="H48" s="64" t="str">
        <f>IFERROR(__xludf.DUMMYFUNCTION("IFERROR(
  AVERAGE(FILTER(data!B$2:B1000, data!A$2:A1000=$F48, data!D$2:D1000=$G48, data!E$2:E1000=2))
  -
  AVERAGE(FILTER(data!B$2:B1000, data!A$2:A1000=$F48, data!D$2:D1000=$G48, data!E$2:E1000=1))
, """")
"),"")</f>
        <v/>
      </c>
      <c r="I48" s="64" t="str">
        <f>IFERROR(__xludf.DUMMYFUNCTION("IFERROR(
  AVERAGE(FILTER(data!B$2:B1000, data!A$2:A1000=$F48, data!D$2:D1000=$G48, data!E$2:E1000=3))
  -
  AVERAGE(FILTER(data!B$2:B1000, data!A$2:A1000=$F48, data!D$2:D1000=$G48, data!E$2:E1000=2))
, """")
"),"")</f>
        <v/>
      </c>
      <c r="J48" s="64" t="str">
        <f>IFERROR(__xludf.DUMMYFUNCTION("IFERROR(
  AVERAGE(FILTER(data!B$2:B1000, data!A$2:A1000=$F48, data!D$2:D1000=$G48, data!E$2:E1000=3))
  -
  AVERAGE(FILTER(data!B$2:B1000, data!A$2:A1000=$F48, data!D$2:D1000=$G48, data!E$2:E1000=1))
, """")
"),"")</f>
        <v/>
      </c>
      <c r="K48" s="64" t="str">
        <f>IFERROR(__xludf.DUMMYFUNCTION("IFERROR(
  AVERAGE(FILTER(data!C$2:C1000, data!A$2:A1000=$F48, data!D$2:D1000=$G48, data!E$2:E1000=2))
  -
  AVERAGE(FILTER(data!C$2:C1000, data!A$2:A1000=$F48, data!D$2:D1000=$G48, data!E$2:E1000=1))
, """")
"),"")</f>
        <v/>
      </c>
      <c r="L48" s="64" t="str">
        <f>IFERROR(__xludf.DUMMYFUNCTION("IFERROR(
  AVERAGE(FILTER(data!C$2:C1000, data!A$2:A1000=$F48, data!D$2:D1000=$G48, data!E$2:E1000=3))
  -
  AVERAGE(FILTER(data!C$2:C1000, data!A$2:A1000=$F48, data!D$2:D1000=$G48, data!E$2:E1000=2))
, """")
"),"")</f>
        <v/>
      </c>
      <c r="M48" s="64" t="str">
        <f>IFERROR(__xludf.DUMMYFUNCTION("IFERROR(
  AVERAGE(FILTER(data!C$2:C1000, data!A$2:A1000=$F48, data!D$2:D1000=$G48, data!E$2:E1000=3))
  -
  AVERAGE(FILTER(data!C$2:C1000, data!A$2:A1000=$F48, data!D$2:D1000=$G48, data!E$2:E1000=1))
, """")
"),"")</f>
        <v/>
      </c>
      <c r="N48" s="64" t="str">
        <f t="shared" ref="N48:P48" si="94">IF(H48="",,ABS(H48))
</f>
        <v/>
      </c>
      <c r="O48" s="64" t="str">
        <f t="shared" si="94"/>
        <v/>
      </c>
      <c r="P48" s="64" t="str">
        <f t="shared" si="94"/>
        <v/>
      </c>
      <c r="Q48" s="64" t="str">
        <f t="shared" si="4"/>
        <v/>
      </c>
      <c r="R48" s="64" t="str">
        <f t="shared" ref="R48:S48" si="95">IF(L48="",,ABS(L48))
</f>
        <v/>
      </c>
      <c r="S48" s="64" t="str">
        <f t="shared" si="95"/>
        <v/>
      </c>
      <c r="T48" s="55"/>
      <c r="U48" s="55"/>
      <c r="V48" s="55"/>
      <c r="W48" s="64"/>
      <c r="X48" s="64"/>
      <c r="Y48" s="55"/>
      <c r="Z48" s="55"/>
      <c r="AA48" s="55"/>
      <c r="AB48" s="64" t="str">
        <f>IFERROR(__xludf.DUMMYFUNCTION("IF(AA48="""",,COUNTUNIQUE(FILTER(data!D$2:D1000, data!E$2:E1000=3, data!A$2:A1000=AA48)))
"),"")</f>
        <v/>
      </c>
      <c r="AC48" s="64" t="str">
        <f>IFERROR(__xludf.DUMMYFUNCTION("IF(AA48="""",,ROUND(AVERAGE(FILTER(data!B$2:B1000, data!E$2:E1000=3, data!A$2:A1000=AA48)),2))
"),"")</f>
        <v/>
      </c>
      <c r="AD48" s="64" t="str">
        <f>IFERROR(__xludf.DUMMYFUNCTION("IF(AA48="""",,ROUND(AVERAGE(FILTER(data!C$2:C1000, data!E$2:E1000=3, data!A$2:A1000=AA48)),2))
"),"")</f>
        <v/>
      </c>
      <c r="AE48" s="64" t="str">
        <f>IFERROR(__xludf.DUMMYFUNCTION("IF(AA48="""",,
  MAX(FILTER(data!B$2:B1000, data!E$2:E1000=3, data!A$2:A1000=AA48))
 -MIN(FILTER(data!B$2:B1000, data!E$2:E1000=3, data!A$2:A1000=AA48))
)
"),"")</f>
        <v/>
      </c>
      <c r="AF48" s="64" t="str">
        <f>IFERROR(__xludf.DUMMYFUNCTION("IF(AA48="""",,
  MAX(FILTER(data!C$2:C1000, data!E$2:E1000=3, data!A$2:A1000=AA48))
 -MIN(FILTER(data!C$2:C1000, data!E$2:E1000=3, data!A$2:A1000=AA48))
)
"),"")</f>
        <v/>
      </c>
      <c r="AG48" s="55" t="str">
        <f t="shared" si="6"/>
        <v/>
      </c>
      <c r="AH48" s="55"/>
      <c r="AI48" s="64"/>
      <c r="AJ48" s="64"/>
      <c r="AK48" s="64"/>
      <c r="AL48" s="64"/>
      <c r="AM48" s="64"/>
      <c r="AN48" s="64"/>
      <c r="AO48" s="55"/>
      <c r="AP48" s="55"/>
      <c r="AQ48" s="64"/>
      <c r="AR48" s="64"/>
      <c r="AS48" s="64"/>
      <c r="AT48" s="64"/>
      <c r="AU48" s="64"/>
      <c r="AV48" s="55"/>
      <c r="AW48" s="55"/>
      <c r="AX48" s="64"/>
      <c r="AY48" s="64"/>
      <c r="AZ48" s="64"/>
      <c r="BA48" s="64"/>
      <c r="BB48" s="64"/>
      <c r="BC48" s="55"/>
      <c r="BD48" s="55"/>
      <c r="BE48" s="64"/>
      <c r="BF48" s="55"/>
      <c r="BG48" s="64"/>
      <c r="BH48" s="64"/>
      <c r="BI48" s="64"/>
      <c r="BJ48" s="64"/>
      <c r="BK48" s="55"/>
      <c r="BL48" s="65">
        <f>IFERROR(__xludf.DUMMYFUNCTION("""COMPUTED_VALUE"""),60.0)</f>
        <v>60</v>
      </c>
      <c r="BM48" s="65" t="str">
        <f>IFERROR(__xludf.DUMMYFUNCTION("""COMPUTED_VALUE"""),"E")</f>
        <v>E</v>
      </c>
      <c r="BN48" s="63">
        <f>IFERROR(__xludf.DUMMYFUNCTION("""COMPUTED_VALUE"""),5.0)</f>
        <v>5</v>
      </c>
      <c r="BO48" s="63">
        <f>IFERROR(__xludf.DUMMYFUNCTION("""COMPUTED_VALUE"""),5.0)</f>
        <v>5</v>
      </c>
      <c r="BP48" s="63">
        <f>IFERROR(__xludf.DUMMYFUNCTION("""COMPUTED_VALUE"""),5.0)</f>
        <v>5</v>
      </c>
      <c r="BQ48" s="63">
        <f>IFERROR(__xludf.DUMMYFUNCTION("""COMPUTED_VALUE"""),7.0)</f>
        <v>7</v>
      </c>
      <c r="BR48" s="63">
        <f>IFERROR(__xludf.DUMMYFUNCTION("""COMPUTED_VALUE"""),7.0)</f>
        <v>7</v>
      </c>
      <c r="BS48" s="63">
        <f>IFERROR(__xludf.DUMMYFUNCTION("""COMPUTED_VALUE"""),7.0)</f>
        <v>7</v>
      </c>
      <c r="BT48" s="63">
        <v>0.0</v>
      </c>
      <c r="BU48" s="63">
        <v>0.0</v>
      </c>
      <c r="BV48" s="67">
        <v>0.0</v>
      </c>
      <c r="BW48" s="65" t="b">
        <v>0</v>
      </c>
      <c r="BX48" s="55"/>
      <c r="BY48" s="65">
        <f>IFERROR(__xludf.DUMMYFUNCTION("""COMPUTED_VALUE"""),88.0)</f>
        <v>88</v>
      </c>
      <c r="BZ48" s="65">
        <f>IFERROR(__xludf.DUMMYFUNCTION("""COMPUTED_VALUE"""),0.0)</f>
        <v>0</v>
      </c>
      <c r="CA48" s="55"/>
      <c r="CB48" s="55"/>
      <c r="CC48" s="55"/>
      <c r="CD48" s="55"/>
      <c r="CE48" s="55"/>
      <c r="CF48" s="55"/>
      <c r="CG48" s="55"/>
      <c r="CH48" s="55"/>
    </row>
    <row r="49" ht="16.5" customHeight="1">
      <c r="A49" s="55"/>
      <c r="B49" s="55"/>
      <c r="C49" s="55"/>
      <c r="D49" s="55"/>
      <c r="E49" s="55"/>
      <c r="F49" s="55"/>
      <c r="G49" s="55"/>
      <c r="H49" s="64" t="str">
        <f>IFERROR(__xludf.DUMMYFUNCTION("IFERROR(
  AVERAGE(FILTER(data!B$2:B1000, data!A$2:A1000=$F49, data!D$2:D1000=$G49, data!E$2:E1000=2))
  -
  AVERAGE(FILTER(data!B$2:B1000, data!A$2:A1000=$F49, data!D$2:D1000=$G49, data!E$2:E1000=1))
, """")
"),"")</f>
        <v/>
      </c>
      <c r="I49" s="64" t="str">
        <f>IFERROR(__xludf.DUMMYFUNCTION("IFERROR(
  AVERAGE(FILTER(data!B$2:B1000, data!A$2:A1000=$F49, data!D$2:D1000=$G49, data!E$2:E1000=3))
  -
  AVERAGE(FILTER(data!B$2:B1000, data!A$2:A1000=$F49, data!D$2:D1000=$G49, data!E$2:E1000=2))
, """")
"),"")</f>
        <v/>
      </c>
      <c r="J49" s="64" t="str">
        <f>IFERROR(__xludf.DUMMYFUNCTION("IFERROR(
  AVERAGE(FILTER(data!B$2:B1000, data!A$2:A1000=$F49, data!D$2:D1000=$G49, data!E$2:E1000=3))
  -
  AVERAGE(FILTER(data!B$2:B1000, data!A$2:A1000=$F49, data!D$2:D1000=$G49, data!E$2:E1000=1))
, """")
"),"")</f>
        <v/>
      </c>
      <c r="K49" s="64" t="str">
        <f>IFERROR(__xludf.DUMMYFUNCTION("IFERROR(
  AVERAGE(FILTER(data!C$2:C1000, data!A$2:A1000=$F49, data!D$2:D1000=$G49, data!E$2:E1000=2))
  -
  AVERAGE(FILTER(data!C$2:C1000, data!A$2:A1000=$F49, data!D$2:D1000=$G49, data!E$2:E1000=1))
, """")
"),"")</f>
        <v/>
      </c>
      <c r="L49" s="64" t="str">
        <f>IFERROR(__xludf.DUMMYFUNCTION("IFERROR(
  AVERAGE(FILTER(data!C$2:C1000, data!A$2:A1000=$F49, data!D$2:D1000=$G49, data!E$2:E1000=3))
  -
  AVERAGE(FILTER(data!C$2:C1000, data!A$2:A1000=$F49, data!D$2:D1000=$G49, data!E$2:E1000=2))
, """")
"),"")</f>
        <v/>
      </c>
      <c r="M49" s="64" t="str">
        <f>IFERROR(__xludf.DUMMYFUNCTION("IFERROR(
  AVERAGE(FILTER(data!C$2:C1000, data!A$2:A1000=$F49, data!D$2:D1000=$G49, data!E$2:E1000=3))
  -
  AVERAGE(FILTER(data!C$2:C1000, data!A$2:A1000=$F49, data!D$2:D1000=$G49, data!E$2:E1000=1))
, """")
"),"")</f>
        <v/>
      </c>
      <c r="N49" s="64" t="str">
        <f t="shared" ref="N49:P49" si="96">IF(H49="",,ABS(H49))
</f>
        <v/>
      </c>
      <c r="O49" s="64" t="str">
        <f t="shared" si="96"/>
        <v/>
      </c>
      <c r="P49" s="64" t="str">
        <f t="shared" si="96"/>
        <v/>
      </c>
      <c r="Q49" s="64" t="str">
        <f t="shared" si="4"/>
        <v/>
      </c>
      <c r="R49" s="64" t="str">
        <f t="shared" ref="R49:S49" si="97">IF(L49="",,ABS(L49))
</f>
        <v/>
      </c>
      <c r="S49" s="64" t="str">
        <f t="shared" si="97"/>
        <v/>
      </c>
      <c r="T49" s="55"/>
      <c r="U49" s="55"/>
      <c r="V49" s="55"/>
      <c r="W49" s="64"/>
      <c r="X49" s="64"/>
      <c r="Y49" s="55"/>
      <c r="Z49" s="55"/>
      <c r="AA49" s="55"/>
      <c r="AB49" s="64" t="str">
        <f>IFERROR(__xludf.DUMMYFUNCTION("IF(AA49="""",,COUNTUNIQUE(FILTER(data!D$2:D1000, data!E$2:E1000=3, data!A$2:A1000=AA49)))
"),"")</f>
        <v/>
      </c>
      <c r="AC49" s="64" t="str">
        <f>IFERROR(__xludf.DUMMYFUNCTION("IF(AA49="""",,ROUND(AVERAGE(FILTER(data!B$2:B1000, data!E$2:E1000=3, data!A$2:A1000=AA49)),2))
"),"")</f>
        <v/>
      </c>
      <c r="AD49" s="64" t="str">
        <f>IFERROR(__xludf.DUMMYFUNCTION("IF(AA49="""",,ROUND(AVERAGE(FILTER(data!C$2:C1000, data!E$2:E1000=3, data!A$2:A1000=AA49)),2))
"),"")</f>
        <v/>
      </c>
      <c r="AE49" s="64" t="str">
        <f>IFERROR(__xludf.DUMMYFUNCTION("IF(AA49="""",,MAX(FILTER(data!B$2:B1000, data!E$2:E1000=3, data!A$2:A1000=AA49))
            -MIN(FILTER(data!B$2:B1000, data!E$2:E1000=3, data!A$2:A1000=AA49)))
"),"")</f>
        <v/>
      </c>
      <c r="AF49" s="64" t="str">
        <f>IFERROR(__xludf.DUMMYFUNCTION("IF(AA49="""",,MAX(FILTER(data!C$2:C1000, data!E$2:E1000=3, data!A$2:A1000=AA49))
            -MIN(FILTER(data!C$2:C1000, data!E$2:E1000=3, data!A$2:A1000=AA49)))
"),"")</f>
        <v/>
      </c>
      <c r="AG49" s="55" t="str">
        <f t="shared" ref="AG49:AG67" si="100">IF(AA49="",,
  IF(AB49&gt;=2,
    IF(AND(AE49&lt;2, AF49&lt;2), "Consensuelle",
      IF(AND(AE49&gt;2, AF49&gt;2), "Non-consensuelle", "Intermédiaire")
    ),
    "Non-récurrente"
  )
)
</f>
        <v/>
      </c>
      <c r="AH49" s="55"/>
      <c r="AI49" s="64"/>
      <c r="AJ49" s="64"/>
      <c r="AK49" s="64"/>
      <c r="AL49" s="64"/>
      <c r="AM49" s="64"/>
      <c r="AN49" s="64"/>
      <c r="AO49" s="55"/>
      <c r="AP49" s="55"/>
      <c r="AQ49" s="64"/>
      <c r="AR49" s="64"/>
      <c r="AS49" s="64"/>
      <c r="AT49" s="64"/>
      <c r="AU49" s="64"/>
      <c r="AV49" s="55"/>
      <c r="AW49" s="55"/>
      <c r="AX49" s="64"/>
      <c r="AY49" s="64"/>
      <c r="AZ49" s="64"/>
      <c r="BA49" s="64"/>
      <c r="BB49" s="64"/>
      <c r="BC49" s="55"/>
      <c r="BD49" s="55"/>
      <c r="BE49" s="64"/>
      <c r="BF49" s="55"/>
      <c r="BG49" s="64"/>
      <c r="BH49" s="64"/>
      <c r="BI49" s="64"/>
      <c r="BJ49" s="64"/>
      <c r="BK49" s="55"/>
      <c r="BL49" s="65">
        <f>IFERROR(__xludf.DUMMYFUNCTION("""COMPUTED_VALUE"""),63.0)</f>
        <v>63</v>
      </c>
      <c r="BM49" s="65" t="str">
        <f>IFERROR(__xludf.DUMMYFUNCTION("""COMPUTED_VALUE"""),"B")</f>
        <v>B</v>
      </c>
      <c r="BN49" s="63">
        <f>IFERROR(__xludf.DUMMYFUNCTION("""COMPUTED_VALUE"""),4.5)</f>
        <v>4.5</v>
      </c>
      <c r="BO49" s="63">
        <f>IFERROR(__xludf.DUMMYFUNCTION("""COMPUTED_VALUE"""),4.5)</f>
        <v>4.5</v>
      </c>
      <c r="BP49" s="64"/>
      <c r="BQ49" s="63">
        <f>IFERROR(__xludf.DUMMYFUNCTION("""COMPUTED_VALUE"""),10.0)</f>
        <v>10</v>
      </c>
      <c r="BR49" s="63">
        <f>IFERROR(__xludf.DUMMYFUNCTION("""COMPUTED_VALUE"""),10.0)</f>
        <v>10</v>
      </c>
      <c r="BS49" s="64"/>
      <c r="BT49" s="63">
        <v>0.0</v>
      </c>
      <c r="BU49" s="64"/>
      <c r="BV49" s="67">
        <v>0.0</v>
      </c>
      <c r="BW49" s="65" t="b">
        <v>0</v>
      </c>
      <c r="BX49" s="55"/>
      <c r="BY49" s="55"/>
      <c r="BZ49" s="55"/>
      <c r="CA49" s="55"/>
      <c r="CB49" s="55"/>
      <c r="CC49" s="55"/>
      <c r="CD49" s="55"/>
      <c r="CE49" s="55"/>
      <c r="CF49" s="55"/>
      <c r="CG49" s="55"/>
      <c r="CH49" s="55"/>
    </row>
    <row r="50" ht="16.5" customHeight="1">
      <c r="A50" s="55"/>
      <c r="B50" s="55"/>
      <c r="C50" s="55"/>
      <c r="D50" s="55"/>
      <c r="E50" s="55"/>
      <c r="F50" s="55"/>
      <c r="G50" s="55"/>
      <c r="H50" s="64" t="str">
        <f>IFERROR(__xludf.DUMMYFUNCTION("IFERROR(
  AVERAGE(FILTER(data!B$2:B1000, data!A$2:A1000=$F50, data!D$2:D1000=$G50, data!E$2:E1000=2))
  -
  AVERAGE(FILTER(data!B$2:B1000, data!A$2:A1000=$F50, data!D$2:D1000=$G50, data!E$2:E1000=1))
, """")
"),"")</f>
        <v/>
      </c>
      <c r="I50" s="64" t="str">
        <f>IFERROR(__xludf.DUMMYFUNCTION("IFERROR(
  AVERAGE(FILTER(data!B$2:B1000, data!A$2:A1000=$F50, data!D$2:D1000=$G50, data!E$2:E1000=3))
  -
  AVERAGE(FILTER(data!B$2:B1000, data!A$2:A1000=$F50, data!D$2:D1000=$G50, data!E$2:E1000=2))
, """")
"),"")</f>
        <v/>
      </c>
      <c r="J50" s="64" t="str">
        <f>IFERROR(__xludf.DUMMYFUNCTION("IFERROR(
  AVERAGE(FILTER(data!B$2:B1000, data!A$2:A1000=$F50, data!D$2:D1000=$G50, data!E$2:E1000=3))
  -
  AVERAGE(FILTER(data!B$2:B1000, data!A$2:A1000=$F50, data!D$2:D1000=$G50, data!E$2:E1000=1))
, """")
"),"")</f>
        <v/>
      </c>
      <c r="K50" s="64" t="str">
        <f>IFERROR(__xludf.DUMMYFUNCTION("IFERROR(
  AVERAGE(FILTER(data!C$2:C1000, data!A$2:A1000=$F50, data!D$2:D1000=$G50, data!E$2:E1000=2))
  -
  AVERAGE(FILTER(data!C$2:C1000, data!A$2:A1000=$F50, data!D$2:D1000=$G50, data!E$2:E1000=1))
, """")
"),"")</f>
        <v/>
      </c>
      <c r="L50" s="64" t="str">
        <f>IFERROR(__xludf.DUMMYFUNCTION("IFERROR(
  AVERAGE(FILTER(data!C$2:C1000, data!A$2:A1000=$F50, data!D$2:D1000=$G50, data!E$2:E1000=3))
  -
  AVERAGE(FILTER(data!C$2:C1000, data!A$2:A1000=$F50, data!D$2:D1000=$G50, data!E$2:E1000=2))
, """")
"),"")</f>
        <v/>
      </c>
      <c r="M50" s="64" t="str">
        <f>IFERROR(__xludf.DUMMYFUNCTION("IFERROR(
  AVERAGE(FILTER(data!C$2:C1000, data!A$2:A1000=$F50, data!D$2:D1000=$G50, data!E$2:E1000=3))
  -
  AVERAGE(FILTER(data!C$2:C1000, data!A$2:A1000=$F50, data!D$2:D1000=$G50, data!E$2:E1000=1))
, """")
"),"")</f>
        <v/>
      </c>
      <c r="N50" s="64" t="str">
        <f t="shared" ref="N50:P50" si="98">IF(H50="",,ABS(H50))
</f>
        <v/>
      </c>
      <c r="O50" s="64" t="str">
        <f t="shared" si="98"/>
        <v/>
      </c>
      <c r="P50" s="64" t="str">
        <f t="shared" si="98"/>
        <v/>
      </c>
      <c r="Q50" s="64" t="str">
        <f t="shared" si="4"/>
        <v/>
      </c>
      <c r="R50" s="64" t="str">
        <f t="shared" ref="R50:S50" si="99">IF(L50="",,ABS(L50))
</f>
        <v/>
      </c>
      <c r="S50" s="64" t="str">
        <f t="shared" si="99"/>
        <v/>
      </c>
      <c r="T50" s="55"/>
      <c r="U50" s="55"/>
      <c r="V50" s="55"/>
      <c r="W50" s="64"/>
      <c r="X50" s="64"/>
      <c r="Y50" s="55"/>
      <c r="Z50" s="55"/>
      <c r="AA50" s="55"/>
      <c r="AB50" s="64" t="str">
        <f>IFERROR(__xludf.DUMMYFUNCTION("IF(AA50="""",,COUNTUNIQUE(FILTER(data!D$2:D1000, data!E$2:E1000=3, data!A$2:A1000=AA50)))
"),"")</f>
        <v/>
      </c>
      <c r="AC50" s="64" t="str">
        <f>IFERROR(__xludf.DUMMYFUNCTION("IF(AA50="""",,ROUND(AVERAGE(FILTER(data!B$2:B1000, data!E$2:E1000=3, data!A$2:A1000=AA50)),2))
"),"")</f>
        <v/>
      </c>
      <c r="AD50" s="64" t="str">
        <f>IFERROR(__xludf.DUMMYFUNCTION("IF(AA50="""",,ROUND(AVERAGE(FILTER(data!C$2:C1000, data!E$2:E1000=3, data!A$2:A1000=AA50)),2))
"),"")</f>
        <v/>
      </c>
      <c r="AE50" s="64" t="str">
        <f>IFERROR(__xludf.DUMMYFUNCTION("IF(AA50="""",,MAX(FILTER(data!B$2:B1000, data!E$2:E1000=3, data!A$2:A1000=AA50))
            -MIN(FILTER(data!B$2:B1000, data!E$2:E1000=3, data!A$2:A1000=AA50)))
"),"")</f>
        <v/>
      </c>
      <c r="AF50" s="64" t="str">
        <f>IFERROR(__xludf.DUMMYFUNCTION("IF(AA50="""",,MAX(FILTER(data!C$2:C1000, data!E$2:E1000=3, data!A$2:A1000=AA50))
            -MIN(FILTER(data!C$2:C1000, data!E$2:E1000=3, data!A$2:A1000=AA50)))
"),"")</f>
        <v/>
      </c>
      <c r="AG50" s="55" t="str">
        <f t="shared" si="100"/>
        <v/>
      </c>
      <c r="AH50" s="55"/>
      <c r="AI50" s="64"/>
      <c r="AJ50" s="64"/>
      <c r="AK50" s="64"/>
      <c r="AL50" s="64"/>
      <c r="AM50" s="64"/>
      <c r="AN50" s="64"/>
      <c r="AO50" s="55"/>
      <c r="AP50" s="55"/>
      <c r="AQ50" s="64"/>
      <c r="AR50" s="64"/>
      <c r="AS50" s="64"/>
      <c r="AT50" s="64"/>
      <c r="AU50" s="64"/>
      <c r="AV50" s="55"/>
      <c r="AW50" s="55"/>
      <c r="AX50" s="64"/>
      <c r="AY50" s="64"/>
      <c r="AZ50" s="64"/>
      <c r="BA50" s="64"/>
      <c r="BB50" s="64"/>
      <c r="BC50" s="55"/>
      <c r="BD50" s="55"/>
      <c r="BE50" s="64"/>
      <c r="BF50" s="55"/>
      <c r="BG50" s="64"/>
      <c r="BH50" s="64"/>
      <c r="BI50" s="64"/>
      <c r="BJ50" s="64"/>
      <c r="BK50" s="55"/>
      <c r="BL50" s="65">
        <f>IFERROR(__xludf.DUMMYFUNCTION("""COMPUTED_VALUE"""),66.0)</f>
        <v>66</v>
      </c>
      <c r="BM50" s="65" t="str">
        <f>IFERROR(__xludf.DUMMYFUNCTION("""COMPUTED_VALUE"""),"A")</f>
        <v>A</v>
      </c>
      <c r="BN50" s="63">
        <f>IFERROR(__xludf.DUMMYFUNCTION("""COMPUTED_VALUE"""),1.0)</f>
        <v>1</v>
      </c>
      <c r="BO50" s="63">
        <f>IFERROR(__xludf.DUMMYFUNCTION("""COMPUTED_VALUE"""),1.0)</f>
        <v>1</v>
      </c>
      <c r="BP50" s="63">
        <f>IFERROR(__xludf.DUMMYFUNCTION("""COMPUTED_VALUE"""),1.0)</f>
        <v>1</v>
      </c>
      <c r="BQ50" s="63">
        <f>IFERROR(__xludf.DUMMYFUNCTION("""COMPUTED_VALUE"""),10.0)</f>
        <v>10</v>
      </c>
      <c r="BR50" s="63">
        <f>IFERROR(__xludf.DUMMYFUNCTION("""COMPUTED_VALUE"""),10.0)</f>
        <v>10</v>
      </c>
      <c r="BS50" s="63">
        <f>IFERROR(__xludf.DUMMYFUNCTION("""COMPUTED_VALUE"""),10.0)</f>
        <v>10</v>
      </c>
      <c r="BT50" s="63">
        <v>0.0</v>
      </c>
      <c r="BU50" s="63">
        <v>0.0</v>
      </c>
      <c r="BV50" s="67">
        <v>0.0</v>
      </c>
      <c r="BW50" s="65" t="b">
        <v>0</v>
      </c>
      <c r="BX50" s="55"/>
      <c r="BY50" s="55"/>
      <c r="BZ50" s="55"/>
      <c r="CA50" s="55"/>
      <c r="CB50" s="55"/>
      <c r="CC50" s="55"/>
      <c r="CD50" s="55"/>
      <c r="CE50" s="55"/>
      <c r="CF50" s="55"/>
      <c r="CG50" s="55"/>
      <c r="CH50" s="55"/>
    </row>
    <row r="51" ht="16.5" customHeight="1">
      <c r="A51" s="55"/>
      <c r="B51" s="55"/>
      <c r="C51" s="55"/>
      <c r="D51" s="55"/>
      <c r="E51" s="55"/>
      <c r="F51" s="55"/>
      <c r="G51" s="55"/>
      <c r="H51" s="64" t="str">
        <f>IFERROR(__xludf.DUMMYFUNCTION("IFERROR(
  AVERAGE(FILTER(data!B$2:B1000, data!A$2:A1000=$F51, data!D$2:D1000=$G51, data!E$2:E1000=2))
  -
  AVERAGE(FILTER(data!B$2:B1000, data!A$2:A1000=$F51, data!D$2:D1000=$G51, data!E$2:E1000=1))
, """")
"),"")</f>
        <v/>
      </c>
      <c r="I51" s="64" t="str">
        <f>IFERROR(__xludf.DUMMYFUNCTION("IFERROR(
  AVERAGE(FILTER(data!B$2:B1000, data!A$2:A1000=$F51, data!D$2:D1000=$G51, data!E$2:E1000=3))
  -
  AVERAGE(FILTER(data!B$2:B1000, data!A$2:A1000=$F51, data!D$2:D1000=$G51, data!E$2:E1000=2))
, """")
"),"")</f>
        <v/>
      </c>
      <c r="J51" s="64" t="str">
        <f>IFERROR(__xludf.DUMMYFUNCTION("IFERROR(
  AVERAGE(FILTER(data!B$2:B1000, data!A$2:A1000=$F51, data!D$2:D1000=$G51, data!E$2:E1000=3))
  -
  AVERAGE(FILTER(data!B$2:B1000, data!A$2:A1000=$F51, data!D$2:D1000=$G51, data!E$2:E1000=1))
, """")
"),"")</f>
        <v/>
      </c>
      <c r="K51" s="64" t="str">
        <f>IFERROR(__xludf.DUMMYFUNCTION("IFERROR(
  AVERAGE(FILTER(data!C$2:C1000, data!A$2:A1000=$F51, data!D$2:D1000=$G51, data!E$2:E1000=2))
  -
  AVERAGE(FILTER(data!C$2:C1000, data!A$2:A1000=$F51, data!D$2:D1000=$G51, data!E$2:E1000=1))
, """")
"),"")</f>
        <v/>
      </c>
      <c r="L51" s="64" t="str">
        <f>IFERROR(__xludf.DUMMYFUNCTION("IFERROR(
  AVERAGE(FILTER(data!C$2:C1000, data!A$2:A1000=$F51, data!D$2:D1000=$G51, data!E$2:E1000=3))
  -
  AVERAGE(FILTER(data!C$2:C1000, data!A$2:A1000=$F51, data!D$2:D1000=$G51, data!E$2:E1000=2))
, """")
"),"")</f>
        <v/>
      </c>
      <c r="M51" s="64" t="str">
        <f>IFERROR(__xludf.DUMMYFUNCTION("IFERROR(
  AVERAGE(FILTER(data!C$2:C1000, data!A$2:A1000=$F51, data!D$2:D1000=$G51, data!E$2:E1000=3))
  -
  AVERAGE(FILTER(data!C$2:C1000, data!A$2:A1000=$F51, data!D$2:D1000=$G51, data!E$2:E1000=1))
, """")
"),"")</f>
        <v/>
      </c>
      <c r="N51" s="64" t="str">
        <f t="shared" ref="N51:P51" si="101">IF(H51="",,ABS(H51))
</f>
        <v/>
      </c>
      <c r="O51" s="64" t="str">
        <f t="shared" si="101"/>
        <v/>
      </c>
      <c r="P51" s="64" t="str">
        <f t="shared" si="101"/>
        <v/>
      </c>
      <c r="Q51" s="64" t="str">
        <f t="shared" si="4"/>
        <v/>
      </c>
      <c r="R51" s="64" t="str">
        <f t="shared" ref="R51:S51" si="102">IF(L51="",,ABS(L51))
</f>
        <v/>
      </c>
      <c r="S51" s="64" t="str">
        <f t="shared" si="102"/>
        <v/>
      </c>
      <c r="T51" s="55"/>
      <c r="U51" s="55"/>
      <c r="V51" s="55"/>
      <c r="W51" s="64"/>
      <c r="X51" s="64"/>
      <c r="Y51" s="55"/>
      <c r="Z51" s="55"/>
      <c r="AA51" s="55"/>
      <c r="AB51" s="64" t="str">
        <f>IFERROR(__xludf.DUMMYFUNCTION("IF(AA51="""",,COUNTUNIQUE(FILTER(data!D$2:D1000, data!E$2:E1000=3, data!A$2:A1000=AA51)))
"),"")</f>
        <v/>
      </c>
      <c r="AC51" s="64" t="str">
        <f>IFERROR(__xludf.DUMMYFUNCTION("IF(AA51="""",,ROUND(AVERAGE(FILTER(data!B$2:B1000, data!E$2:E1000=3, data!A$2:A1000=AA51)),2))
"),"")</f>
        <v/>
      </c>
      <c r="AD51" s="64" t="str">
        <f>IFERROR(__xludf.DUMMYFUNCTION("IF(AA51="""",,ROUND(AVERAGE(FILTER(data!C$2:C1000, data!E$2:E1000=3, data!A$2:A1000=AA51)),2))
"),"")</f>
        <v/>
      </c>
      <c r="AE51" s="64" t="str">
        <f>IFERROR(__xludf.DUMMYFUNCTION("IF(AA51="""",,MAX(FILTER(data!B$2:B1000, data!E$2:E1000=3, data!A$2:A1000=AA51))
            -MIN(FILTER(data!B$2:B1000, data!E$2:E1000=3, data!A$2:A1000=AA51)))
"),"")</f>
        <v/>
      </c>
      <c r="AF51" s="64" t="str">
        <f>IFERROR(__xludf.DUMMYFUNCTION("IF(AA51="""",,MAX(FILTER(data!C$2:C1000, data!E$2:E1000=3, data!A$2:A1000=AA51))
            -MIN(FILTER(data!C$2:C1000, data!E$2:E1000=3, data!A$2:A1000=AA51)))
"),"")</f>
        <v/>
      </c>
      <c r="AG51" s="55" t="str">
        <f t="shared" si="100"/>
        <v/>
      </c>
      <c r="AH51" s="55"/>
      <c r="AI51" s="64"/>
      <c r="AJ51" s="64"/>
      <c r="AK51" s="64"/>
      <c r="AL51" s="64"/>
      <c r="AM51" s="64"/>
      <c r="AN51" s="64"/>
      <c r="AO51" s="55"/>
      <c r="AP51" s="55"/>
      <c r="AQ51" s="64"/>
      <c r="AR51" s="64"/>
      <c r="AS51" s="64"/>
      <c r="AT51" s="64"/>
      <c r="AU51" s="64"/>
      <c r="AV51" s="55"/>
      <c r="AW51" s="55"/>
      <c r="AX51" s="64"/>
      <c r="AY51" s="64"/>
      <c r="AZ51" s="64"/>
      <c r="BA51" s="64"/>
      <c r="BB51" s="64"/>
      <c r="BC51" s="55"/>
      <c r="BD51" s="55"/>
      <c r="BE51" s="64"/>
      <c r="BF51" s="55"/>
      <c r="BG51" s="64"/>
      <c r="BH51" s="64"/>
      <c r="BI51" s="64"/>
      <c r="BJ51" s="64"/>
      <c r="BK51" s="55"/>
      <c r="BL51" s="65">
        <f>IFERROR(__xludf.DUMMYFUNCTION("""COMPUTED_VALUE"""),68.0)</f>
        <v>68</v>
      </c>
      <c r="BM51" s="65" t="str">
        <f>IFERROR(__xludf.DUMMYFUNCTION("""COMPUTED_VALUE"""),"B")</f>
        <v>B</v>
      </c>
      <c r="BN51" s="63">
        <f>IFERROR(__xludf.DUMMYFUNCTION("""COMPUTED_VALUE"""),7.0)</f>
        <v>7</v>
      </c>
      <c r="BO51" s="63">
        <f>IFERROR(__xludf.DUMMYFUNCTION("""COMPUTED_VALUE"""),6.5)</f>
        <v>6.5</v>
      </c>
      <c r="BP51" s="63">
        <f>IFERROR(__xludf.DUMMYFUNCTION("""COMPUTED_VALUE"""),6.0)</f>
        <v>6</v>
      </c>
      <c r="BQ51" s="63">
        <f>IFERROR(__xludf.DUMMYFUNCTION("""COMPUTED_VALUE"""),7.0)</f>
        <v>7</v>
      </c>
      <c r="BR51" s="63">
        <f>IFERROR(__xludf.DUMMYFUNCTION("""COMPUTED_VALUE"""),7.0)</f>
        <v>7</v>
      </c>
      <c r="BS51" s="63">
        <f>IFERROR(__xludf.DUMMYFUNCTION("""COMPUTED_VALUE"""),7.0)</f>
        <v>7</v>
      </c>
      <c r="BT51" s="63">
        <v>0.5</v>
      </c>
      <c r="BU51" s="63">
        <v>0.5</v>
      </c>
      <c r="BV51" s="67">
        <v>1.0</v>
      </c>
      <c r="BW51" s="65" t="b">
        <v>0</v>
      </c>
      <c r="BX51" s="55"/>
      <c r="BY51" s="55"/>
      <c r="BZ51" s="55"/>
      <c r="CA51" s="55"/>
      <c r="CB51" s="55"/>
      <c r="CC51" s="55"/>
      <c r="CD51" s="55"/>
      <c r="CE51" s="55"/>
      <c r="CF51" s="55"/>
      <c r="CG51" s="55"/>
      <c r="CH51" s="55"/>
    </row>
    <row r="52" ht="16.5" customHeight="1">
      <c r="A52" s="55"/>
      <c r="B52" s="55"/>
      <c r="C52" s="55"/>
      <c r="D52" s="55"/>
      <c r="E52" s="55"/>
      <c r="F52" s="55"/>
      <c r="G52" s="55"/>
      <c r="H52" s="64" t="str">
        <f>IFERROR(__xludf.DUMMYFUNCTION("IFERROR(
  AVERAGE(FILTER(data!B$2:B1000, data!A$2:A1000=$F52, data!D$2:D1000=$G52, data!E$2:E1000=2))
  -
  AVERAGE(FILTER(data!B$2:B1000, data!A$2:A1000=$F52, data!D$2:D1000=$G52, data!E$2:E1000=1))
, """")
"),"")</f>
        <v/>
      </c>
      <c r="I52" s="64" t="str">
        <f>IFERROR(__xludf.DUMMYFUNCTION("IFERROR(
  AVERAGE(FILTER(data!B$2:B1000, data!A$2:A1000=$F52, data!D$2:D1000=$G52, data!E$2:E1000=3))
  -
  AVERAGE(FILTER(data!B$2:B1000, data!A$2:A1000=$F52, data!D$2:D1000=$G52, data!E$2:E1000=2))
, """")
"),"")</f>
        <v/>
      </c>
      <c r="J52" s="64" t="str">
        <f>IFERROR(__xludf.DUMMYFUNCTION("IFERROR(
  AVERAGE(FILTER(data!B$2:B1000, data!A$2:A1000=$F52, data!D$2:D1000=$G52, data!E$2:E1000=3))
  -
  AVERAGE(FILTER(data!B$2:B1000, data!A$2:A1000=$F52, data!D$2:D1000=$G52, data!E$2:E1000=1))
, """")
"),"")</f>
        <v/>
      </c>
      <c r="K52" s="64" t="str">
        <f>IFERROR(__xludf.DUMMYFUNCTION("IFERROR(
  AVERAGE(FILTER(data!C$2:C1000, data!A$2:A1000=$F52, data!D$2:D1000=$G52, data!E$2:E1000=2))
  -
  AVERAGE(FILTER(data!C$2:C1000, data!A$2:A1000=$F52, data!D$2:D1000=$G52, data!E$2:E1000=1))
, """")
"),"")</f>
        <v/>
      </c>
      <c r="L52" s="64" t="str">
        <f>IFERROR(__xludf.DUMMYFUNCTION("IFERROR(
  AVERAGE(FILTER(data!C$2:C1000, data!A$2:A1000=$F52, data!D$2:D1000=$G52, data!E$2:E1000=3))
  -
  AVERAGE(FILTER(data!C$2:C1000, data!A$2:A1000=$F52, data!D$2:D1000=$G52, data!E$2:E1000=2))
, """")
"),"")</f>
        <v/>
      </c>
      <c r="M52" s="64" t="str">
        <f>IFERROR(__xludf.DUMMYFUNCTION("IFERROR(
  AVERAGE(FILTER(data!C$2:C1000, data!A$2:A1000=$F52, data!D$2:D1000=$G52, data!E$2:E1000=3))
  -
  AVERAGE(FILTER(data!C$2:C1000, data!A$2:A1000=$F52, data!D$2:D1000=$G52, data!E$2:E1000=1))
, """")
"),"")</f>
        <v/>
      </c>
      <c r="N52" s="64" t="str">
        <f t="shared" ref="N52:P52" si="103">IF(H52="",,ABS(H52))
</f>
        <v/>
      </c>
      <c r="O52" s="64" t="str">
        <f t="shared" si="103"/>
        <v/>
      </c>
      <c r="P52" s="64" t="str">
        <f t="shared" si="103"/>
        <v/>
      </c>
      <c r="Q52" s="64" t="str">
        <f t="shared" si="4"/>
        <v/>
      </c>
      <c r="R52" s="64" t="str">
        <f t="shared" ref="R52:S52" si="104">IF(L52="",,ABS(L52))
</f>
        <v/>
      </c>
      <c r="S52" s="64" t="str">
        <f t="shared" si="104"/>
        <v/>
      </c>
      <c r="T52" s="55"/>
      <c r="U52" s="55"/>
      <c r="V52" s="55"/>
      <c r="W52" s="64"/>
      <c r="X52" s="64"/>
      <c r="Y52" s="55"/>
      <c r="Z52" s="55"/>
      <c r="AA52" s="55"/>
      <c r="AB52" s="64" t="str">
        <f>IFERROR(__xludf.DUMMYFUNCTION("IF(AA52="""",,COUNTUNIQUE(FILTER(data!D$2:D1000, data!E$2:E1000=3, data!A$2:A1000=AA52)))
"),"")</f>
        <v/>
      </c>
      <c r="AC52" s="64" t="str">
        <f>IFERROR(__xludf.DUMMYFUNCTION("IF(AA52="""",,ROUND(AVERAGE(FILTER(data!B$2:B1000, data!E$2:E1000=3, data!A$2:A1000=AA52)),2))
"),"")</f>
        <v/>
      </c>
      <c r="AD52" s="64" t="str">
        <f>IFERROR(__xludf.DUMMYFUNCTION("IF(AA52="""",,ROUND(AVERAGE(FILTER(data!C$2:C1000, data!E$2:E1000=3, data!A$2:A1000=AA52)),2))
"),"")</f>
        <v/>
      </c>
      <c r="AE52" s="64" t="str">
        <f>IFERROR(__xludf.DUMMYFUNCTION("IF(AA52="""",,MAX(FILTER(data!B$2:B1000, data!E$2:E1000=3, data!A$2:A1000=AA52))
            -MIN(FILTER(data!B$2:B1000, data!E$2:E1000=3, data!A$2:A1000=AA52)))
"),"")</f>
        <v/>
      </c>
      <c r="AF52" s="64" t="str">
        <f>IFERROR(__xludf.DUMMYFUNCTION("IF(AA52="""",,MAX(FILTER(data!C$2:C1000, data!E$2:E1000=3, data!A$2:A1000=AA52))
            -MIN(FILTER(data!C$2:C1000, data!E$2:E1000=3, data!A$2:A1000=AA52)))
"),"")</f>
        <v/>
      </c>
      <c r="AG52" s="55" t="str">
        <f t="shared" si="100"/>
        <v/>
      </c>
      <c r="AH52" s="55"/>
      <c r="AI52" s="64"/>
      <c r="AJ52" s="64"/>
      <c r="AK52" s="64"/>
      <c r="AL52" s="64"/>
      <c r="AM52" s="64"/>
      <c r="AN52" s="64"/>
      <c r="AO52" s="55"/>
      <c r="AP52" s="55"/>
      <c r="AQ52" s="64"/>
      <c r="AR52" s="64"/>
      <c r="AS52" s="64"/>
      <c r="AT52" s="64"/>
      <c r="AU52" s="64"/>
      <c r="AV52" s="55"/>
      <c r="AW52" s="55"/>
      <c r="AX52" s="64"/>
      <c r="AY52" s="64"/>
      <c r="AZ52" s="64"/>
      <c r="BA52" s="64"/>
      <c r="BB52" s="64"/>
      <c r="BC52" s="55"/>
      <c r="BD52" s="55"/>
      <c r="BE52" s="64"/>
      <c r="BF52" s="55"/>
      <c r="BG52" s="64"/>
      <c r="BH52" s="64"/>
      <c r="BI52" s="64"/>
      <c r="BJ52" s="64"/>
      <c r="BK52" s="55"/>
      <c r="BL52" s="65">
        <f>IFERROR(__xludf.DUMMYFUNCTION("""COMPUTED_VALUE"""),68.0)</f>
        <v>68</v>
      </c>
      <c r="BM52" s="65" t="str">
        <f>IFERROR(__xludf.DUMMYFUNCTION("""COMPUTED_VALUE"""),"E")</f>
        <v>E</v>
      </c>
      <c r="BN52" s="63">
        <f>IFERROR(__xludf.DUMMYFUNCTION("""COMPUTED_VALUE"""),1.0)</f>
        <v>1</v>
      </c>
      <c r="BO52" s="63">
        <f>IFERROR(__xludf.DUMMYFUNCTION("""COMPUTED_VALUE"""),1.0)</f>
        <v>1</v>
      </c>
      <c r="BP52" s="63">
        <f>IFERROR(__xludf.DUMMYFUNCTION("""COMPUTED_VALUE"""),1.0)</f>
        <v>1</v>
      </c>
      <c r="BQ52" s="63">
        <f>IFERROR(__xludf.DUMMYFUNCTION("""COMPUTED_VALUE"""),9.5)</f>
        <v>9.5</v>
      </c>
      <c r="BR52" s="63">
        <f>IFERROR(__xludf.DUMMYFUNCTION("""COMPUTED_VALUE"""),9.5)</f>
        <v>9.5</v>
      </c>
      <c r="BS52" s="63">
        <f>IFERROR(__xludf.DUMMYFUNCTION("""COMPUTED_VALUE"""),9.5)</f>
        <v>9.5</v>
      </c>
      <c r="BT52" s="63">
        <v>0.0</v>
      </c>
      <c r="BU52" s="63">
        <v>0.0</v>
      </c>
      <c r="BV52" s="67">
        <v>0.0</v>
      </c>
      <c r="BW52" s="65" t="b">
        <v>0</v>
      </c>
      <c r="BX52" s="55"/>
      <c r="BY52" s="55"/>
      <c r="BZ52" s="55"/>
      <c r="CA52" s="55"/>
      <c r="CB52" s="55"/>
      <c r="CC52" s="55"/>
      <c r="CD52" s="55"/>
      <c r="CE52" s="55"/>
      <c r="CF52" s="55"/>
      <c r="CG52" s="55"/>
      <c r="CH52" s="55"/>
    </row>
    <row r="53" ht="16.5" customHeight="1">
      <c r="A53" s="55"/>
      <c r="B53" s="55"/>
      <c r="C53" s="55"/>
      <c r="D53" s="55"/>
      <c r="E53" s="55"/>
      <c r="F53" s="55"/>
      <c r="G53" s="55"/>
      <c r="H53" s="64" t="str">
        <f>IFERROR(__xludf.DUMMYFUNCTION("IFERROR(
  AVERAGE(FILTER(data!B$2:B1000, data!A$2:A1000=$F53, data!D$2:D1000=$G53, data!E$2:E1000=2))
  -
  AVERAGE(FILTER(data!B$2:B1000, data!A$2:A1000=$F53, data!D$2:D1000=$G53, data!E$2:E1000=1))
, """")
"),"")</f>
        <v/>
      </c>
      <c r="I53" s="64" t="str">
        <f>IFERROR(__xludf.DUMMYFUNCTION("IFERROR(
  AVERAGE(FILTER(data!B$2:B1000, data!A$2:A1000=$F53, data!D$2:D1000=$G53, data!E$2:E1000=3))
  -
  AVERAGE(FILTER(data!B$2:B1000, data!A$2:A1000=$F53, data!D$2:D1000=$G53, data!E$2:E1000=2))
, """")
"),"")</f>
        <v/>
      </c>
      <c r="J53" s="64" t="str">
        <f>IFERROR(__xludf.DUMMYFUNCTION("IFERROR(
  AVERAGE(FILTER(data!B$2:B1000, data!A$2:A1000=$F53, data!D$2:D1000=$G53, data!E$2:E1000=3))
  -
  AVERAGE(FILTER(data!B$2:B1000, data!A$2:A1000=$F53, data!D$2:D1000=$G53, data!E$2:E1000=1))
, """")
"),"")</f>
        <v/>
      </c>
      <c r="K53" s="64" t="str">
        <f>IFERROR(__xludf.DUMMYFUNCTION("IFERROR(
  AVERAGE(FILTER(data!C$2:C1000, data!A$2:A1000=$F53, data!D$2:D1000=$G53, data!E$2:E1000=2))
  -
  AVERAGE(FILTER(data!C$2:C1000, data!A$2:A1000=$F53, data!D$2:D1000=$G53, data!E$2:E1000=1))
, """")
"),"")</f>
        <v/>
      </c>
      <c r="L53" s="64" t="str">
        <f>IFERROR(__xludf.DUMMYFUNCTION("IFERROR(
  AVERAGE(FILTER(data!C$2:C1000, data!A$2:A1000=$F53, data!D$2:D1000=$G53, data!E$2:E1000=3))
  -
  AVERAGE(FILTER(data!C$2:C1000, data!A$2:A1000=$F53, data!D$2:D1000=$G53, data!E$2:E1000=2))
, """")
"),"")</f>
        <v/>
      </c>
      <c r="M53" s="64" t="str">
        <f>IFERROR(__xludf.DUMMYFUNCTION("IFERROR(
  AVERAGE(FILTER(data!C$2:C1000, data!A$2:A1000=$F53, data!D$2:D1000=$G53, data!E$2:E1000=3))
  -
  AVERAGE(FILTER(data!C$2:C1000, data!A$2:A1000=$F53, data!D$2:D1000=$G53, data!E$2:E1000=1))
, """")
"),"")</f>
        <v/>
      </c>
      <c r="N53" s="64" t="str">
        <f t="shared" ref="N53:P53" si="105">IF(H53="",,ABS(H53))
</f>
        <v/>
      </c>
      <c r="O53" s="64" t="str">
        <f t="shared" si="105"/>
        <v/>
      </c>
      <c r="P53" s="64" t="str">
        <f t="shared" si="105"/>
        <v/>
      </c>
      <c r="Q53" s="64" t="str">
        <f t="shared" si="4"/>
        <v/>
      </c>
      <c r="R53" s="64" t="str">
        <f t="shared" ref="R53:S53" si="106">IF(L53="",,ABS(L53))
</f>
        <v/>
      </c>
      <c r="S53" s="64" t="str">
        <f t="shared" si="106"/>
        <v/>
      </c>
      <c r="T53" s="55"/>
      <c r="U53" s="55"/>
      <c r="V53" s="55"/>
      <c r="W53" s="64"/>
      <c r="X53" s="64"/>
      <c r="Y53" s="55"/>
      <c r="Z53" s="55"/>
      <c r="AA53" s="55"/>
      <c r="AB53" s="64" t="str">
        <f>IFERROR(__xludf.DUMMYFUNCTION("IF(AA53="""",,COUNTUNIQUE(FILTER(data!D$2:D1000, data!E$2:E1000=3, data!A$2:A1000=AA53)))
"),"")</f>
        <v/>
      </c>
      <c r="AC53" s="64" t="str">
        <f>IFERROR(__xludf.DUMMYFUNCTION("IF(AA53="""",,ROUND(AVERAGE(FILTER(data!B$2:B1000, data!E$2:E1000=3, data!A$2:A1000=AA53)),2))
"),"")</f>
        <v/>
      </c>
      <c r="AD53" s="64" t="str">
        <f>IFERROR(__xludf.DUMMYFUNCTION("IF(AA53="""",,ROUND(AVERAGE(FILTER(data!C$2:C1000, data!E$2:E1000=3, data!A$2:A1000=AA53)),2))
"),"")</f>
        <v/>
      </c>
      <c r="AE53" s="64" t="str">
        <f>IFERROR(__xludf.DUMMYFUNCTION("IF(AA53="""",,MAX(FILTER(data!B$2:B1000, data!E$2:E1000=3, data!A$2:A1000=AA53))
            -MIN(FILTER(data!B$2:B1000, data!E$2:E1000=3, data!A$2:A1000=AA53)))
"),"")</f>
        <v/>
      </c>
      <c r="AF53" s="64" t="str">
        <f>IFERROR(__xludf.DUMMYFUNCTION("IF(AA53="""",,MAX(FILTER(data!C$2:C1000, data!E$2:E1000=3, data!A$2:A1000=AA53))
            -MIN(FILTER(data!C$2:C1000, data!E$2:E1000=3, data!A$2:A1000=AA53)))
"),"")</f>
        <v/>
      </c>
      <c r="AG53" s="55" t="str">
        <f t="shared" si="100"/>
        <v/>
      </c>
      <c r="AH53" s="55"/>
      <c r="AI53" s="64"/>
      <c r="AJ53" s="64"/>
      <c r="AK53" s="64"/>
      <c r="AL53" s="64"/>
      <c r="AM53" s="64"/>
      <c r="AN53" s="64"/>
      <c r="AO53" s="55"/>
      <c r="AP53" s="55"/>
      <c r="AQ53" s="64"/>
      <c r="AR53" s="64"/>
      <c r="AS53" s="64"/>
      <c r="AT53" s="64"/>
      <c r="AU53" s="64"/>
      <c r="AV53" s="55"/>
      <c r="AW53" s="55"/>
      <c r="AX53" s="64"/>
      <c r="AY53" s="64"/>
      <c r="AZ53" s="64"/>
      <c r="BA53" s="64"/>
      <c r="BB53" s="64"/>
      <c r="BC53" s="55"/>
      <c r="BD53" s="55"/>
      <c r="BE53" s="64"/>
      <c r="BF53" s="55"/>
      <c r="BG53" s="64"/>
      <c r="BH53" s="64"/>
      <c r="BI53" s="64"/>
      <c r="BJ53" s="64"/>
      <c r="BK53" s="55"/>
      <c r="BL53" s="65">
        <f>IFERROR(__xludf.DUMMYFUNCTION("""COMPUTED_VALUE"""),70.0)</f>
        <v>70</v>
      </c>
      <c r="BM53" s="65" t="str">
        <f>IFERROR(__xludf.DUMMYFUNCTION("""COMPUTED_VALUE"""),"B")</f>
        <v>B</v>
      </c>
      <c r="BN53" s="63">
        <f>IFERROR(__xludf.DUMMYFUNCTION("""COMPUTED_VALUE"""),7.5)</f>
        <v>7.5</v>
      </c>
      <c r="BO53" s="63">
        <f>IFERROR(__xludf.DUMMYFUNCTION("""COMPUTED_VALUE"""),7.5)</f>
        <v>7.5</v>
      </c>
      <c r="BP53" s="63">
        <f>IFERROR(__xludf.DUMMYFUNCTION("""COMPUTED_VALUE"""),7.5)</f>
        <v>7.5</v>
      </c>
      <c r="BQ53" s="63">
        <f>IFERROR(__xludf.DUMMYFUNCTION("""COMPUTED_VALUE"""),8.0)</f>
        <v>8</v>
      </c>
      <c r="BR53" s="63">
        <f>IFERROR(__xludf.DUMMYFUNCTION("""COMPUTED_VALUE"""),8.0)</f>
        <v>8</v>
      </c>
      <c r="BS53" s="63">
        <f>IFERROR(__xludf.DUMMYFUNCTION("""COMPUTED_VALUE"""),8.0)</f>
        <v>8</v>
      </c>
      <c r="BT53" s="63">
        <v>0.0</v>
      </c>
      <c r="BU53" s="63">
        <v>0.0</v>
      </c>
      <c r="BV53" s="67">
        <v>0.0</v>
      </c>
      <c r="BW53" s="65" t="b">
        <v>0</v>
      </c>
      <c r="BX53" s="55"/>
      <c r="BY53" s="55"/>
      <c r="BZ53" s="55"/>
      <c r="CA53" s="55"/>
      <c r="CB53" s="55"/>
      <c r="CC53" s="55"/>
      <c r="CD53" s="55"/>
      <c r="CE53" s="55"/>
      <c r="CF53" s="55"/>
      <c r="CG53" s="55"/>
      <c r="CH53" s="55"/>
    </row>
    <row r="54" ht="16.5" customHeight="1">
      <c r="A54" s="55"/>
      <c r="B54" s="55"/>
      <c r="C54" s="55"/>
      <c r="D54" s="55"/>
      <c r="E54" s="55"/>
      <c r="F54" s="55"/>
      <c r="G54" s="55"/>
      <c r="H54" s="64" t="str">
        <f>IFERROR(__xludf.DUMMYFUNCTION("IFERROR(
  AVERAGE(FILTER(data!B$2:B1000, data!A$2:A1000=$F54, data!D$2:D1000=$G54, data!E$2:E1000=2))
  -
  AVERAGE(FILTER(data!B$2:B1000, data!A$2:A1000=$F54, data!D$2:D1000=$G54, data!E$2:E1000=1))
, """")
"),"")</f>
        <v/>
      </c>
      <c r="I54" s="64" t="str">
        <f>IFERROR(__xludf.DUMMYFUNCTION("IFERROR(
  AVERAGE(FILTER(data!B$2:B1000, data!A$2:A1000=$F54, data!D$2:D1000=$G54, data!E$2:E1000=3))
  -
  AVERAGE(FILTER(data!B$2:B1000, data!A$2:A1000=$F54, data!D$2:D1000=$G54, data!E$2:E1000=2))
, """")
"),"")</f>
        <v/>
      </c>
      <c r="J54" s="64" t="str">
        <f>IFERROR(__xludf.DUMMYFUNCTION("IFERROR(
  AVERAGE(FILTER(data!B$2:B1000, data!A$2:A1000=$F54, data!D$2:D1000=$G54, data!E$2:E1000=3))
  -
  AVERAGE(FILTER(data!B$2:B1000, data!A$2:A1000=$F54, data!D$2:D1000=$G54, data!E$2:E1000=1))
, """")
"),"")</f>
        <v/>
      </c>
      <c r="K54" s="64" t="str">
        <f>IFERROR(__xludf.DUMMYFUNCTION("IFERROR(
  AVERAGE(FILTER(data!C$2:C1000, data!A$2:A1000=$F54, data!D$2:D1000=$G54, data!E$2:E1000=2))
  -
  AVERAGE(FILTER(data!C$2:C1000, data!A$2:A1000=$F54, data!D$2:D1000=$G54, data!E$2:E1000=1))
, """")
"),"")</f>
        <v/>
      </c>
      <c r="L54" s="64" t="str">
        <f>IFERROR(__xludf.DUMMYFUNCTION("IFERROR(
  AVERAGE(FILTER(data!C$2:C1000, data!A$2:A1000=$F54, data!D$2:D1000=$G54, data!E$2:E1000=3))
  -
  AVERAGE(FILTER(data!C$2:C1000, data!A$2:A1000=$F54, data!D$2:D1000=$G54, data!E$2:E1000=2))
, """")
"),"")</f>
        <v/>
      </c>
      <c r="M54" s="64" t="str">
        <f>IFERROR(__xludf.DUMMYFUNCTION("IFERROR(
  AVERAGE(FILTER(data!C$2:C1000, data!A$2:A1000=$F54, data!D$2:D1000=$G54, data!E$2:E1000=3))
  -
  AVERAGE(FILTER(data!C$2:C1000, data!A$2:A1000=$F54, data!D$2:D1000=$G54, data!E$2:E1000=1))
, """")
"),"")</f>
        <v/>
      </c>
      <c r="N54" s="64" t="str">
        <f t="shared" ref="N54:P54" si="107">IF(H54="",,ABS(H54))
</f>
        <v/>
      </c>
      <c r="O54" s="64" t="str">
        <f t="shared" si="107"/>
        <v/>
      </c>
      <c r="P54" s="64" t="str">
        <f t="shared" si="107"/>
        <v/>
      </c>
      <c r="Q54" s="64" t="str">
        <f t="shared" si="4"/>
        <v/>
      </c>
      <c r="R54" s="64" t="str">
        <f t="shared" ref="R54:S54" si="108">IF(L54="",,ABS(L54))
</f>
        <v/>
      </c>
      <c r="S54" s="64" t="str">
        <f t="shared" si="108"/>
        <v/>
      </c>
      <c r="T54" s="55"/>
      <c r="U54" s="55"/>
      <c r="V54" s="55"/>
      <c r="W54" s="64"/>
      <c r="X54" s="64"/>
      <c r="Y54" s="55"/>
      <c r="Z54" s="55"/>
      <c r="AA54" s="55"/>
      <c r="AB54" s="64" t="str">
        <f>IFERROR(__xludf.DUMMYFUNCTION("IF(AA54="""",,COUNTUNIQUE(FILTER(data!D$2:D1000, data!E$2:E1000=3, data!A$2:A1000=AA54)))
"),"")</f>
        <v/>
      </c>
      <c r="AC54" s="64" t="str">
        <f>IFERROR(__xludf.DUMMYFUNCTION("IF(AA54="""",,ROUND(AVERAGE(FILTER(data!B$2:B1000, data!E$2:E1000=3, data!A$2:A1000=AA54)),2))
"),"")</f>
        <v/>
      </c>
      <c r="AD54" s="64" t="str">
        <f>IFERROR(__xludf.DUMMYFUNCTION("IF(AA54="""",,ROUND(AVERAGE(FILTER(data!C$2:C1000, data!E$2:E1000=3, data!A$2:A1000=AA54)),2))
"),"")</f>
        <v/>
      </c>
      <c r="AE54" s="64" t="str">
        <f>IFERROR(__xludf.DUMMYFUNCTION("IF(AA54="""",,MAX(FILTER(data!B$2:B1000, data!E$2:E1000=3, data!A$2:A1000=AA54))
            -MIN(FILTER(data!B$2:B1000, data!E$2:E1000=3, data!A$2:A1000=AA54)))
"),"")</f>
        <v/>
      </c>
      <c r="AF54" s="64" t="str">
        <f>IFERROR(__xludf.DUMMYFUNCTION("IF(AA54="""",,MAX(FILTER(data!C$2:C1000, data!E$2:E1000=3, data!A$2:A1000=AA54))
            -MIN(FILTER(data!C$2:C1000, data!E$2:E1000=3, data!A$2:A1000=AA54)))
"),"")</f>
        <v/>
      </c>
      <c r="AG54" s="55" t="str">
        <f t="shared" si="100"/>
        <v/>
      </c>
      <c r="AH54" s="55"/>
      <c r="AI54" s="64"/>
      <c r="AJ54" s="64"/>
      <c r="AK54" s="64"/>
      <c r="AL54" s="64"/>
      <c r="AM54" s="64"/>
      <c r="AN54" s="64"/>
      <c r="AO54" s="55"/>
      <c r="AP54" s="55"/>
      <c r="AQ54" s="64"/>
      <c r="AR54" s="64"/>
      <c r="AS54" s="64"/>
      <c r="AT54" s="64"/>
      <c r="AU54" s="64"/>
      <c r="AV54" s="55"/>
      <c r="AW54" s="55"/>
      <c r="AX54" s="64"/>
      <c r="AY54" s="64"/>
      <c r="AZ54" s="64"/>
      <c r="BA54" s="64"/>
      <c r="BB54" s="64"/>
      <c r="BC54" s="55"/>
      <c r="BD54" s="55"/>
      <c r="BE54" s="64"/>
      <c r="BF54" s="55"/>
      <c r="BG54" s="64"/>
      <c r="BH54" s="64"/>
      <c r="BI54" s="64"/>
      <c r="BJ54" s="64"/>
      <c r="BK54" s="55"/>
      <c r="BL54" s="65">
        <f>IFERROR(__xludf.DUMMYFUNCTION("""COMPUTED_VALUE"""),71.0)</f>
        <v>71</v>
      </c>
      <c r="BM54" s="65" t="str">
        <f>IFERROR(__xludf.DUMMYFUNCTION("""COMPUTED_VALUE"""),"E")</f>
        <v>E</v>
      </c>
      <c r="BN54" s="63">
        <f>IFERROR(__xludf.DUMMYFUNCTION("""COMPUTED_VALUE"""),2.5)</f>
        <v>2.5</v>
      </c>
      <c r="BO54" s="63">
        <f>IFERROR(__xludf.DUMMYFUNCTION("""COMPUTED_VALUE"""),2.0)</f>
        <v>2</v>
      </c>
      <c r="BP54" s="63">
        <f>IFERROR(__xludf.DUMMYFUNCTION("""COMPUTED_VALUE"""),2.0)</f>
        <v>2</v>
      </c>
      <c r="BQ54" s="63">
        <f>IFERROR(__xludf.DUMMYFUNCTION("""COMPUTED_VALUE"""),1.0)</f>
        <v>1</v>
      </c>
      <c r="BR54" s="63">
        <f>IFERROR(__xludf.DUMMYFUNCTION("""COMPUTED_VALUE"""),1.0)</f>
        <v>1</v>
      </c>
      <c r="BS54" s="63">
        <f>IFERROR(__xludf.DUMMYFUNCTION("""COMPUTED_VALUE"""),1.0)</f>
        <v>1</v>
      </c>
      <c r="BT54" s="63">
        <v>0.5</v>
      </c>
      <c r="BU54" s="63">
        <v>0.0</v>
      </c>
      <c r="BV54" s="67">
        <v>0.5</v>
      </c>
      <c r="BW54" s="65" t="b">
        <v>0</v>
      </c>
      <c r="BX54" s="55"/>
      <c r="BY54" s="55"/>
      <c r="BZ54" s="55"/>
      <c r="CA54" s="55"/>
      <c r="CB54" s="55"/>
      <c r="CC54" s="55"/>
      <c r="CD54" s="55"/>
      <c r="CE54" s="55"/>
      <c r="CF54" s="55"/>
      <c r="CG54" s="55"/>
      <c r="CH54" s="55"/>
    </row>
    <row r="55" ht="16.5" customHeight="1">
      <c r="A55" s="55"/>
      <c r="B55" s="55"/>
      <c r="C55" s="55"/>
      <c r="D55" s="55"/>
      <c r="E55" s="55"/>
      <c r="F55" s="55"/>
      <c r="G55" s="55"/>
      <c r="H55" s="64" t="str">
        <f>IFERROR(__xludf.DUMMYFUNCTION("IFERROR(
  AVERAGE(FILTER(data!B$2:B1000, data!A$2:A1000=$F55, data!D$2:D1000=$G55, data!E$2:E1000=2))
  -
  AVERAGE(FILTER(data!B$2:B1000, data!A$2:A1000=$F55, data!D$2:D1000=$G55, data!E$2:E1000=1))
, """")
"),"")</f>
        <v/>
      </c>
      <c r="I55" s="64" t="str">
        <f>IFERROR(__xludf.DUMMYFUNCTION("IFERROR(
  AVERAGE(FILTER(data!B$2:B1000, data!A$2:A1000=$F55, data!D$2:D1000=$G55, data!E$2:E1000=3))
  -
  AVERAGE(FILTER(data!B$2:B1000, data!A$2:A1000=$F55, data!D$2:D1000=$G55, data!E$2:E1000=2))
, """")
"),"")</f>
        <v/>
      </c>
      <c r="J55" s="64" t="str">
        <f>IFERROR(__xludf.DUMMYFUNCTION("IFERROR(
  AVERAGE(FILTER(data!B$2:B1000, data!A$2:A1000=$F55, data!D$2:D1000=$G55, data!E$2:E1000=3))
  -
  AVERAGE(FILTER(data!B$2:B1000, data!A$2:A1000=$F55, data!D$2:D1000=$G55, data!E$2:E1000=1))
, """")
"),"")</f>
        <v/>
      </c>
      <c r="K55" s="64" t="str">
        <f>IFERROR(__xludf.DUMMYFUNCTION("IFERROR(
  AVERAGE(FILTER(data!C$2:C1000, data!A$2:A1000=$F55, data!D$2:D1000=$G55, data!E$2:E1000=2))
  -
  AVERAGE(FILTER(data!C$2:C1000, data!A$2:A1000=$F55, data!D$2:D1000=$G55, data!E$2:E1000=1))
, """")
"),"")</f>
        <v/>
      </c>
      <c r="L55" s="64" t="str">
        <f>IFERROR(__xludf.DUMMYFUNCTION("IFERROR(
  AVERAGE(FILTER(data!C$2:C1000, data!A$2:A1000=$F55, data!D$2:D1000=$G55, data!E$2:E1000=3))
  -
  AVERAGE(FILTER(data!C$2:C1000, data!A$2:A1000=$F55, data!D$2:D1000=$G55, data!E$2:E1000=2))
, """")
"),"")</f>
        <v/>
      </c>
      <c r="M55" s="64" t="str">
        <f>IFERROR(__xludf.DUMMYFUNCTION("IFERROR(
  AVERAGE(FILTER(data!C$2:C1000, data!A$2:A1000=$F55, data!D$2:D1000=$G55, data!E$2:E1000=3))
  -
  AVERAGE(FILTER(data!C$2:C1000, data!A$2:A1000=$F55, data!D$2:D1000=$G55, data!E$2:E1000=1))
, """")
"),"")</f>
        <v/>
      </c>
      <c r="N55" s="64" t="str">
        <f t="shared" ref="N55:P55" si="109">IF(H55="",,ABS(H55))
</f>
        <v/>
      </c>
      <c r="O55" s="64" t="str">
        <f t="shared" si="109"/>
        <v/>
      </c>
      <c r="P55" s="64" t="str">
        <f t="shared" si="109"/>
        <v/>
      </c>
      <c r="Q55" s="64" t="str">
        <f t="shared" si="4"/>
        <v/>
      </c>
      <c r="R55" s="64" t="str">
        <f t="shared" ref="R55:S55" si="110">IF(L55="",,ABS(L55))
</f>
        <v/>
      </c>
      <c r="S55" s="64" t="str">
        <f t="shared" si="110"/>
        <v/>
      </c>
      <c r="T55" s="55"/>
      <c r="U55" s="55"/>
      <c r="V55" s="55"/>
      <c r="W55" s="64"/>
      <c r="X55" s="64"/>
      <c r="Y55" s="55"/>
      <c r="Z55" s="55"/>
      <c r="AA55" s="55"/>
      <c r="AB55" s="64" t="str">
        <f>IFERROR(__xludf.DUMMYFUNCTION("IF(AA55="""",,COUNTUNIQUE(FILTER(data!D$2:D1000, data!E$2:E1000=3, data!A$2:A1000=AA55)))
"),"")</f>
        <v/>
      </c>
      <c r="AC55" s="64" t="str">
        <f>IFERROR(__xludf.DUMMYFUNCTION("IF(AA55="""",,ROUND(AVERAGE(FILTER(data!B$2:B1000, data!E$2:E1000=3, data!A$2:A1000=AA55)),2))
"),"")</f>
        <v/>
      </c>
      <c r="AD55" s="64" t="str">
        <f>IFERROR(__xludf.DUMMYFUNCTION("IF(AA55="""",,ROUND(AVERAGE(FILTER(data!C$2:C1000, data!E$2:E1000=3, data!A$2:A1000=AA55)),2))
"),"")</f>
        <v/>
      </c>
      <c r="AE55" s="64" t="str">
        <f>IFERROR(__xludf.DUMMYFUNCTION("IF(AA55="""",,MAX(FILTER(data!B$2:B1000, data!E$2:E1000=3, data!A$2:A1000=AA55))
            -MIN(FILTER(data!B$2:B1000, data!E$2:E1000=3, data!A$2:A1000=AA55)))
"),"")</f>
        <v/>
      </c>
      <c r="AF55" s="64" t="str">
        <f>IFERROR(__xludf.DUMMYFUNCTION("IF(AA55="""",,MAX(FILTER(data!C$2:C1000, data!E$2:E1000=3, data!A$2:A1000=AA55))
            -MIN(FILTER(data!C$2:C1000, data!E$2:E1000=3, data!A$2:A1000=AA55)))
"),"")</f>
        <v/>
      </c>
      <c r="AG55" s="55" t="str">
        <f t="shared" si="100"/>
        <v/>
      </c>
      <c r="AH55" s="55"/>
      <c r="AI55" s="64"/>
      <c r="AJ55" s="64"/>
      <c r="AK55" s="64"/>
      <c r="AL55" s="64"/>
      <c r="AM55" s="64"/>
      <c r="AN55" s="64"/>
      <c r="AO55" s="55"/>
      <c r="AP55" s="55"/>
      <c r="AQ55" s="64"/>
      <c r="AR55" s="64"/>
      <c r="AS55" s="64"/>
      <c r="AT55" s="64"/>
      <c r="AU55" s="64"/>
      <c r="AV55" s="55"/>
      <c r="AW55" s="55"/>
      <c r="AX55" s="64"/>
      <c r="AY55" s="64"/>
      <c r="AZ55" s="64"/>
      <c r="BA55" s="64"/>
      <c r="BB55" s="64"/>
      <c r="BC55" s="55"/>
      <c r="BD55" s="55"/>
      <c r="BE55" s="64"/>
      <c r="BF55" s="55"/>
      <c r="BG55" s="64"/>
      <c r="BH55" s="64"/>
      <c r="BI55" s="64"/>
      <c r="BJ55" s="64"/>
      <c r="BK55" s="55"/>
      <c r="BL55" s="65">
        <f>IFERROR(__xludf.DUMMYFUNCTION("""COMPUTED_VALUE"""),72.0)</f>
        <v>72</v>
      </c>
      <c r="BM55" s="65" t="str">
        <f>IFERROR(__xludf.DUMMYFUNCTION("""COMPUTED_VALUE"""),"C")</f>
        <v>C</v>
      </c>
      <c r="BN55" s="63">
        <f>IFERROR(__xludf.DUMMYFUNCTION("""COMPUTED_VALUE"""),3.0)</f>
        <v>3</v>
      </c>
      <c r="BO55" s="63">
        <f>IFERROR(__xludf.DUMMYFUNCTION("""COMPUTED_VALUE"""),3.0)</f>
        <v>3</v>
      </c>
      <c r="BP55" s="64"/>
      <c r="BQ55" s="63">
        <f>IFERROR(__xludf.DUMMYFUNCTION("""COMPUTED_VALUE"""),4.5)</f>
        <v>4.5</v>
      </c>
      <c r="BR55" s="63">
        <f>IFERROR(__xludf.DUMMYFUNCTION("""COMPUTED_VALUE"""),4.5)</f>
        <v>4.5</v>
      </c>
      <c r="BS55" s="64"/>
      <c r="BT55" s="63">
        <v>0.0</v>
      </c>
      <c r="BU55" s="64"/>
      <c r="BV55" s="67">
        <v>0.0</v>
      </c>
      <c r="BW55" s="65" t="b">
        <v>0</v>
      </c>
      <c r="BX55" s="55"/>
      <c r="BY55" s="55"/>
      <c r="BZ55" s="55"/>
      <c r="CA55" s="55"/>
      <c r="CB55" s="55"/>
      <c r="CC55" s="55"/>
      <c r="CD55" s="55"/>
      <c r="CE55" s="55"/>
      <c r="CF55" s="55"/>
      <c r="CG55" s="55"/>
      <c r="CH55" s="55"/>
    </row>
    <row r="56" ht="16.5" customHeight="1">
      <c r="A56" s="55"/>
      <c r="B56" s="55"/>
      <c r="C56" s="55"/>
      <c r="D56" s="55"/>
      <c r="E56" s="55"/>
      <c r="F56" s="55"/>
      <c r="G56" s="55"/>
      <c r="H56" s="64" t="str">
        <f>IFERROR(__xludf.DUMMYFUNCTION("IFERROR(
  AVERAGE(FILTER(data!B$2:B1000, data!A$2:A1000=$F56, data!D$2:D1000=$G56, data!E$2:E1000=2))
  -
  AVERAGE(FILTER(data!B$2:B1000, data!A$2:A1000=$F56, data!D$2:D1000=$G56, data!E$2:E1000=1))
, """")
"),"")</f>
        <v/>
      </c>
      <c r="I56" s="64" t="str">
        <f>IFERROR(__xludf.DUMMYFUNCTION("IFERROR(
  AVERAGE(FILTER(data!B$2:B1000, data!A$2:A1000=$F56, data!D$2:D1000=$G56, data!E$2:E1000=3))
  -
  AVERAGE(FILTER(data!B$2:B1000, data!A$2:A1000=$F56, data!D$2:D1000=$G56, data!E$2:E1000=2))
, """")
"),"")</f>
        <v/>
      </c>
      <c r="J56" s="64" t="str">
        <f>IFERROR(__xludf.DUMMYFUNCTION("IFERROR(
  AVERAGE(FILTER(data!B$2:B1000, data!A$2:A1000=$F56, data!D$2:D1000=$G56, data!E$2:E1000=3))
  -
  AVERAGE(FILTER(data!B$2:B1000, data!A$2:A1000=$F56, data!D$2:D1000=$G56, data!E$2:E1000=1))
, """")
"),"")</f>
        <v/>
      </c>
      <c r="K56" s="64" t="str">
        <f>IFERROR(__xludf.DUMMYFUNCTION("IFERROR(
  AVERAGE(FILTER(data!C$2:C1000, data!A$2:A1000=$F56, data!D$2:D1000=$G56, data!E$2:E1000=2))
  -
  AVERAGE(FILTER(data!C$2:C1000, data!A$2:A1000=$F56, data!D$2:D1000=$G56, data!E$2:E1000=1))
, """")
"),"")</f>
        <v/>
      </c>
      <c r="L56" s="64" t="str">
        <f>IFERROR(__xludf.DUMMYFUNCTION("IFERROR(
  AVERAGE(FILTER(data!C$2:C1000, data!A$2:A1000=$F56, data!D$2:D1000=$G56, data!E$2:E1000=3))
  -
  AVERAGE(FILTER(data!C$2:C1000, data!A$2:A1000=$F56, data!D$2:D1000=$G56, data!E$2:E1000=2))
, """")
"),"")</f>
        <v/>
      </c>
      <c r="M56" s="64" t="str">
        <f>IFERROR(__xludf.DUMMYFUNCTION("IFERROR(
  AVERAGE(FILTER(data!C$2:C1000, data!A$2:A1000=$F56, data!D$2:D1000=$G56, data!E$2:E1000=3))
  -
  AVERAGE(FILTER(data!C$2:C1000, data!A$2:A1000=$F56, data!D$2:D1000=$G56, data!E$2:E1000=1))
, """")
"),"")</f>
        <v/>
      </c>
      <c r="N56" s="64" t="str">
        <f t="shared" ref="N56:P56" si="111">IF(H56="",,ABS(H56))
</f>
        <v/>
      </c>
      <c r="O56" s="64" t="str">
        <f t="shared" si="111"/>
        <v/>
      </c>
      <c r="P56" s="64" t="str">
        <f t="shared" si="111"/>
        <v/>
      </c>
      <c r="Q56" s="64" t="str">
        <f t="shared" si="4"/>
        <v/>
      </c>
      <c r="R56" s="64" t="str">
        <f t="shared" ref="R56:S56" si="112">IF(L56="",,ABS(L56))
</f>
        <v/>
      </c>
      <c r="S56" s="64" t="str">
        <f t="shared" si="112"/>
        <v/>
      </c>
      <c r="T56" s="55"/>
      <c r="U56" s="55"/>
      <c r="V56" s="55"/>
      <c r="W56" s="64"/>
      <c r="X56" s="64"/>
      <c r="Y56" s="55"/>
      <c r="Z56" s="55"/>
      <c r="AA56" s="55"/>
      <c r="AB56" s="64" t="str">
        <f>IFERROR(__xludf.DUMMYFUNCTION("IF(AA56="""",,COUNTUNIQUE(FILTER(data!D$2:D1000, data!E$2:E1000=3, data!A$2:A1000=AA56)))
"),"")</f>
        <v/>
      </c>
      <c r="AC56" s="64" t="str">
        <f>IFERROR(__xludf.DUMMYFUNCTION("IF(AA56="""",,ROUND(AVERAGE(FILTER(data!B$2:B1000, data!E$2:E1000=3, data!A$2:A1000=AA56)),2))
"),"")</f>
        <v/>
      </c>
      <c r="AD56" s="64" t="str">
        <f>IFERROR(__xludf.DUMMYFUNCTION("IF(AA56="""",,ROUND(AVERAGE(FILTER(data!C$2:C1000, data!E$2:E1000=3, data!A$2:A1000=AA56)),2))
"),"")</f>
        <v/>
      </c>
      <c r="AE56" s="64" t="str">
        <f>IFERROR(__xludf.DUMMYFUNCTION("IF(AA56="""",,MAX(FILTER(data!B$2:B1000, data!E$2:E1000=3, data!A$2:A1000=AA56))
            -MIN(FILTER(data!B$2:B1000, data!E$2:E1000=3, data!A$2:A1000=AA56)))
"),"")</f>
        <v/>
      </c>
      <c r="AF56" s="64" t="str">
        <f>IFERROR(__xludf.DUMMYFUNCTION("IF(AA56="""",,MAX(FILTER(data!C$2:C1000, data!E$2:E1000=3, data!A$2:A1000=AA56))
            -MIN(FILTER(data!C$2:C1000, data!E$2:E1000=3, data!A$2:A1000=AA56)))
"),"")</f>
        <v/>
      </c>
      <c r="AG56" s="55" t="str">
        <f t="shared" si="100"/>
        <v/>
      </c>
      <c r="AH56" s="55"/>
      <c r="AI56" s="64"/>
      <c r="AJ56" s="64"/>
      <c r="AK56" s="64"/>
      <c r="AL56" s="64"/>
      <c r="AM56" s="64"/>
      <c r="AN56" s="64"/>
      <c r="AO56" s="55"/>
      <c r="AP56" s="55"/>
      <c r="AQ56" s="64"/>
      <c r="AR56" s="64"/>
      <c r="AS56" s="64"/>
      <c r="AT56" s="64"/>
      <c r="AU56" s="64"/>
      <c r="AV56" s="55"/>
      <c r="AW56" s="55"/>
      <c r="AX56" s="64"/>
      <c r="AY56" s="64"/>
      <c r="AZ56" s="64"/>
      <c r="BA56" s="64"/>
      <c r="BB56" s="64"/>
      <c r="BC56" s="55"/>
      <c r="BD56" s="55"/>
      <c r="BE56" s="64"/>
      <c r="BF56" s="55"/>
      <c r="BG56" s="64"/>
      <c r="BH56" s="64"/>
      <c r="BI56" s="64"/>
      <c r="BJ56" s="64"/>
      <c r="BK56" s="55"/>
      <c r="BL56" s="65">
        <f>IFERROR(__xludf.DUMMYFUNCTION("""COMPUTED_VALUE"""),74.0)</f>
        <v>74</v>
      </c>
      <c r="BM56" s="65" t="str">
        <f>IFERROR(__xludf.DUMMYFUNCTION("""COMPUTED_VALUE"""),"A")</f>
        <v>A</v>
      </c>
      <c r="BN56" s="63">
        <f>IFERROR(__xludf.DUMMYFUNCTION("""COMPUTED_VALUE"""),6.0)</f>
        <v>6</v>
      </c>
      <c r="BO56" s="63">
        <f>IFERROR(__xludf.DUMMYFUNCTION("""COMPUTED_VALUE"""),6.0)</f>
        <v>6</v>
      </c>
      <c r="BP56" s="63">
        <f>IFERROR(__xludf.DUMMYFUNCTION("""COMPUTED_VALUE"""),6.0)</f>
        <v>6</v>
      </c>
      <c r="BQ56" s="63">
        <f>IFERROR(__xludf.DUMMYFUNCTION("""COMPUTED_VALUE"""),6.0)</f>
        <v>6</v>
      </c>
      <c r="BR56" s="63">
        <f>IFERROR(__xludf.DUMMYFUNCTION("""COMPUTED_VALUE"""),6.0)</f>
        <v>6</v>
      </c>
      <c r="BS56" s="63">
        <f>IFERROR(__xludf.DUMMYFUNCTION("""COMPUTED_VALUE"""),6.0)</f>
        <v>6</v>
      </c>
      <c r="BT56" s="63">
        <v>0.0</v>
      </c>
      <c r="BU56" s="63">
        <v>0.0</v>
      </c>
      <c r="BV56" s="67">
        <v>0.0</v>
      </c>
      <c r="BW56" s="65" t="b">
        <v>0</v>
      </c>
      <c r="BX56" s="55"/>
      <c r="BY56" s="55"/>
      <c r="BZ56" s="55"/>
      <c r="CA56" s="55"/>
      <c r="CB56" s="55"/>
      <c r="CC56" s="55"/>
      <c r="CD56" s="55"/>
      <c r="CE56" s="55"/>
      <c r="CF56" s="55"/>
      <c r="CG56" s="55"/>
      <c r="CH56" s="55"/>
    </row>
    <row r="57" ht="16.5" customHeight="1">
      <c r="A57" s="55"/>
      <c r="B57" s="55"/>
      <c r="C57" s="55"/>
      <c r="D57" s="55"/>
      <c r="E57" s="55"/>
      <c r="F57" s="55"/>
      <c r="G57" s="55"/>
      <c r="H57" s="64" t="str">
        <f>IFERROR(__xludf.DUMMYFUNCTION("IFERROR(
  AVERAGE(FILTER(data!B$2:B1000, data!A$2:A1000=$F57, data!D$2:D1000=$G57, data!E$2:E1000=2))
  -
  AVERAGE(FILTER(data!B$2:B1000, data!A$2:A1000=$F57, data!D$2:D1000=$G57, data!E$2:E1000=1))
, """")
"),"")</f>
        <v/>
      </c>
      <c r="I57" s="64" t="str">
        <f>IFERROR(__xludf.DUMMYFUNCTION("IFERROR(
  AVERAGE(FILTER(data!B$2:B1000, data!A$2:A1000=$F57, data!D$2:D1000=$G57, data!E$2:E1000=3))
  -
  AVERAGE(FILTER(data!B$2:B1000, data!A$2:A1000=$F57, data!D$2:D1000=$G57, data!E$2:E1000=2))
, """")
"),"")</f>
        <v/>
      </c>
      <c r="J57" s="64" t="str">
        <f>IFERROR(__xludf.DUMMYFUNCTION("IFERROR(
  AVERAGE(FILTER(data!B$2:B1000, data!A$2:A1000=$F57, data!D$2:D1000=$G57, data!E$2:E1000=3))
  -
  AVERAGE(FILTER(data!B$2:B1000, data!A$2:A1000=$F57, data!D$2:D1000=$G57, data!E$2:E1000=1))
, """")
"),"")</f>
        <v/>
      </c>
      <c r="K57" s="64" t="str">
        <f>IFERROR(__xludf.DUMMYFUNCTION("IFERROR(
  AVERAGE(FILTER(data!C$2:C1000, data!A$2:A1000=$F57, data!D$2:D1000=$G57, data!E$2:E1000=2))
  -
  AVERAGE(FILTER(data!C$2:C1000, data!A$2:A1000=$F57, data!D$2:D1000=$G57, data!E$2:E1000=1))
, """")
"),"")</f>
        <v/>
      </c>
      <c r="L57" s="64" t="str">
        <f>IFERROR(__xludf.DUMMYFUNCTION("IFERROR(
  AVERAGE(FILTER(data!C$2:C1000, data!A$2:A1000=$F57, data!D$2:D1000=$G57, data!E$2:E1000=3))
  -
  AVERAGE(FILTER(data!C$2:C1000, data!A$2:A1000=$F57, data!D$2:D1000=$G57, data!E$2:E1000=2))
, """")
"),"")</f>
        <v/>
      </c>
      <c r="M57" s="64" t="str">
        <f>IFERROR(__xludf.DUMMYFUNCTION("IFERROR(
  AVERAGE(FILTER(data!C$2:C1000, data!A$2:A1000=$F57, data!D$2:D1000=$G57, data!E$2:E1000=3))
  -
  AVERAGE(FILTER(data!C$2:C1000, data!A$2:A1000=$F57, data!D$2:D1000=$G57, data!E$2:E1000=1))
, """")
"),"")</f>
        <v/>
      </c>
      <c r="N57" s="64" t="str">
        <f t="shared" ref="N57:P57" si="113">IF(H57="",,ABS(H57))
</f>
        <v/>
      </c>
      <c r="O57" s="64" t="str">
        <f t="shared" si="113"/>
        <v/>
      </c>
      <c r="P57" s="64" t="str">
        <f t="shared" si="113"/>
        <v/>
      </c>
      <c r="Q57" s="64" t="str">
        <f t="shared" si="4"/>
        <v/>
      </c>
      <c r="R57" s="64" t="str">
        <f t="shared" ref="R57:S57" si="114">IF(L57="",,ABS(L57))
</f>
        <v/>
      </c>
      <c r="S57" s="64" t="str">
        <f t="shared" si="114"/>
        <v/>
      </c>
      <c r="T57" s="55"/>
      <c r="U57" s="55"/>
      <c r="V57" s="55"/>
      <c r="W57" s="64"/>
      <c r="X57" s="64"/>
      <c r="Y57" s="55"/>
      <c r="Z57" s="55"/>
      <c r="AA57" s="55"/>
      <c r="AB57" s="64" t="str">
        <f>IFERROR(__xludf.DUMMYFUNCTION("IF(AA57="""",,COUNTUNIQUE(FILTER(data!D$2:D1000, data!E$2:E1000=3, data!A$2:A1000=AA57)))
"),"")</f>
        <v/>
      </c>
      <c r="AC57" s="64" t="str">
        <f>IFERROR(__xludf.DUMMYFUNCTION("IF(AA57="""",,ROUND(AVERAGE(FILTER(data!B$2:B1000, data!E$2:E1000=3, data!A$2:A1000=AA57)),2))
"),"")</f>
        <v/>
      </c>
      <c r="AD57" s="64" t="str">
        <f>IFERROR(__xludf.DUMMYFUNCTION("IF(AA57="""",,ROUND(AVERAGE(FILTER(data!C$2:C1000, data!E$2:E1000=3, data!A$2:A1000=AA57)),2))
"),"")</f>
        <v/>
      </c>
      <c r="AE57" s="64" t="str">
        <f>IFERROR(__xludf.DUMMYFUNCTION("IF(AA57="""",,MAX(FILTER(data!B$2:B1000, data!E$2:E1000=3, data!A$2:A1000=AA57))
            -MIN(FILTER(data!B$2:B1000, data!E$2:E1000=3, data!A$2:A1000=AA57)))
"),"")</f>
        <v/>
      </c>
      <c r="AF57" s="64" t="str">
        <f>IFERROR(__xludf.DUMMYFUNCTION("IF(AA57="""",,MAX(FILTER(data!C$2:C1000, data!E$2:E1000=3, data!A$2:A1000=AA57))
            -MIN(FILTER(data!C$2:C1000, data!E$2:E1000=3, data!A$2:A1000=AA57)))
"),"")</f>
        <v/>
      </c>
      <c r="AG57" s="55" t="str">
        <f t="shared" si="100"/>
        <v/>
      </c>
      <c r="AH57" s="55"/>
      <c r="AI57" s="64"/>
      <c r="AJ57" s="64"/>
      <c r="AK57" s="64"/>
      <c r="AL57" s="64"/>
      <c r="AM57" s="64"/>
      <c r="AN57" s="64"/>
      <c r="AO57" s="55"/>
      <c r="AP57" s="55"/>
      <c r="AQ57" s="64"/>
      <c r="AR57" s="64"/>
      <c r="AS57" s="64"/>
      <c r="AT57" s="64"/>
      <c r="AU57" s="64"/>
      <c r="AV57" s="55"/>
      <c r="AW57" s="55"/>
      <c r="AX57" s="64"/>
      <c r="AY57" s="64"/>
      <c r="AZ57" s="64"/>
      <c r="BA57" s="64"/>
      <c r="BB57" s="64"/>
      <c r="BC57" s="55"/>
      <c r="BD57" s="55"/>
      <c r="BE57" s="64"/>
      <c r="BF57" s="55"/>
      <c r="BG57" s="64"/>
      <c r="BH57" s="64"/>
      <c r="BI57" s="64"/>
      <c r="BJ57" s="64"/>
      <c r="BK57" s="55"/>
      <c r="BL57" s="65">
        <f>IFERROR(__xludf.DUMMYFUNCTION("""COMPUTED_VALUE"""),76.0)</f>
        <v>76</v>
      </c>
      <c r="BM57" s="65" t="str">
        <f>IFERROR(__xludf.DUMMYFUNCTION("""COMPUTED_VALUE"""),"E")</f>
        <v>E</v>
      </c>
      <c r="BN57" s="63">
        <f>IFERROR(__xludf.DUMMYFUNCTION("""COMPUTED_VALUE"""),9.0)</f>
        <v>9</v>
      </c>
      <c r="BO57" s="63">
        <f>IFERROR(__xludf.DUMMYFUNCTION("""COMPUTED_VALUE"""),9.0)</f>
        <v>9</v>
      </c>
      <c r="BP57" s="63">
        <f>IFERROR(__xludf.DUMMYFUNCTION("""COMPUTED_VALUE"""),9.0)</f>
        <v>9</v>
      </c>
      <c r="BQ57" s="63">
        <f>IFERROR(__xludf.DUMMYFUNCTION("""COMPUTED_VALUE"""),7.0)</f>
        <v>7</v>
      </c>
      <c r="BR57" s="63">
        <f>IFERROR(__xludf.DUMMYFUNCTION("""COMPUTED_VALUE"""),7.0)</f>
        <v>7</v>
      </c>
      <c r="BS57" s="63">
        <f>IFERROR(__xludf.DUMMYFUNCTION("""COMPUTED_VALUE"""),7.0)</f>
        <v>7</v>
      </c>
      <c r="BT57" s="63">
        <v>0.0</v>
      </c>
      <c r="BU57" s="63">
        <v>0.0</v>
      </c>
      <c r="BV57" s="67">
        <v>0.0</v>
      </c>
      <c r="BW57" s="65" t="b">
        <v>0</v>
      </c>
      <c r="BX57" s="55"/>
      <c r="BY57" s="55"/>
      <c r="BZ57" s="55"/>
      <c r="CA57" s="55"/>
      <c r="CB57" s="55"/>
      <c r="CC57" s="55"/>
      <c r="CD57" s="55"/>
      <c r="CE57" s="55"/>
      <c r="CF57" s="55"/>
      <c r="CG57" s="55"/>
      <c r="CH57" s="55"/>
    </row>
    <row r="58" ht="16.5" customHeight="1">
      <c r="A58" s="55"/>
      <c r="B58" s="55"/>
      <c r="C58" s="55"/>
      <c r="D58" s="55"/>
      <c r="E58" s="55"/>
      <c r="F58" s="55"/>
      <c r="G58" s="55"/>
      <c r="H58" s="64" t="str">
        <f>IFERROR(__xludf.DUMMYFUNCTION("IFERROR(
  AVERAGE(FILTER(data!B$2:B1000, data!A$2:A1000=$F58, data!D$2:D1000=$G58, data!E$2:E1000=2))
  -
  AVERAGE(FILTER(data!B$2:B1000, data!A$2:A1000=$F58, data!D$2:D1000=$G58, data!E$2:E1000=1))
, """")
"),"")</f>
        <v/>
      </c>
      <c r="I58" s="64" t="str">
        <f>IFERROR(__xludf.DUMMYFUNCTION("IFERROR(
  AVERAGE(FILTER(data!B$2:B1000, data!A$2:A1000=$F58, data!D$2:D1000=$G58, data!E$2:E1000=3))
  -
  AVERAGE(FILTER(data!B$2:B1000, data!A$2:A1000=$F58, data!D$2:D1000=$G58, data!E$2:E1000=2))
, """")
"),"")</f>
        <v/>
      </c>
      <c r="J58" s="64" t="str">
        <f>IFERROR(__xludf.DUMMYFUNCTION("IFERROR(
  AVERAGE(FILTER(data!B$2:B1000, data!A$2:A1000=$F58, data!D$2:D1000=$G58, data!E$2:E1000=3))
  -
  AVERAGE(FILTER(data!B$2:B1000, data!A$2:A1000=$F58, data!D$2:D1000=$G58, data!E$2:E1000=1))
, """")
"),"")</f>
        <v/>
      </c>
      <c r="K58" s="64" t="str">
        <f>IFERROR(__xludf.DUMMYFUNCTION("IFERROR(
  AVERAGE(FILTER(data!C$2:C1000, data!A$2:A1000=$F58, data!D$2:D1000=$G58, data!E$2:E1000=2))
  -
  AVERAGE(FILTER(data!C$2:C1000, data!A$2:A1000=$F58, data!D$2:D1000=$G58, data!E$2:E1000=1))
, """")
"),"")</f>
        <v/>
      </c>
      <c r="L58" s="64" t="str">
        <f>IFERROR(__xludf.DUMMYFUNCTION("IFERROR(
  AVERAGE(FILTER(data!C$2:C1000, data!A$2:A1000=$F58, data!D$2:D1000=$G58, data!E$2:E1000=3))
  -
  AVERAGE(FILTER(data!C$2:C1000, data!A$2:A1000=$F58, data!D$2:D1000=$G58, data!E$2:E1000=2))
, """")
"),"")</f>
        <v/>
      </c>
      <c r="M58" s="64" t="str">
        <f>IFERROR(__xludf.DUMMYFUNCTION("IFERROR(
  AVERAGE(FILTER(data!C$2:C1000, data!A$2:A1000=$F58, data!D$2:D1000=$G58, data!E$2:E1000=3))
  -
  AVERAGE(FILTER(data!C$2:C1000, data!A$2:A1000=$F58, data!D$2:D1000=$G58, data!E$2:E1000=1))
, """")
"),"")</f>
        <v/>
      </c>
      <c r="N58" s="64" t="str">
        <f t="shared" ref="N58:P58" si="115">IF(H58="",,ABS(H58))
</f>
        <v/>
      </c>
      <c r="O58" s="64" t="str">
        <f t="shared" si="115"/>
        <v/>
      </c>
      <c r="P58" s="64" t="str">
        <f t="shared" si="115"/>
        <v/>
      </c>
      <c r="Q58" s="64" t="str">
        <f t="shared" si="4"/>
        <v/>
      </c>
      <c r="R58" s="64" t="str">
        <f t="shared" ref="R58:S58" si="116">IF(L58="",,ABS(L58))
</f>
        <v/>
      </c>
      <c r="S58" s="64" t="str">
        <f t="shared" si="116"/>
        <v/>
      </c>
      <c r="T58" s="55"/>
      <c r="U58" s="55"/>
      <c r="V58" s="55"/>
      <c r="W58" s="64"/>
      <c r="X58" s="64"/>
      <c r="Y58" s="55"/>
      <c r="Z58" s="55"/>
      <c r="AA58" s="55"/>
      <c r="AB58" s="64" t="str">
        <f>IFERROR(__xludf.DUMMYFUNCTION("IF(AA58="""",,COUNTUNIQUE(FILTER(data!D$2:D1000, data!E$2:E1000=3, data!A$2:A1000=AA58)))
"),"")</f>
        <v/>
      </c>
      <c r="AC58" s="64" t="str">
        <f>IFERROR(__xludf.DUMMYFUNCTION("IF(AA58="""",,ROUND(AVERAGE(FILTER(data!B$2:B1000, data!E$2:E1000=3, data!A$2:A1000=AA58)),2))
"),"")</f>
        <v/>
      </c>
      <c r="AD58" s="64" t="str">
        <f>IFERROR(__xludf.DUMMYFUNCTION("IF(AA58="""",,ROUND(AVERAGE(FILTER(data!C$2:C1000, data!E$2:E1000=3, data!A$2:A1000=AA58)),2))
"),"")</f>
        <v/>
      </c>
      <c r="AE58" s="64" t="str">
        <f>IFERROR(__xludf.DUMMYFUNCTION("IF(AA58="""",,MAX(FILTER(data!B$2:B1000, data!E$2:E1000=3, data!A$2:A1000=AA58))
            -MIN(FILTER(data!B$2:B1000, data!E$2:E1000=3, data!A$2:A1000=AA58)))
"),"")</f>
        <v/>
      </c>
      <c r="AF58" s="64" t="str">
        <f>IFERROR(__xludf.DUMMYFUNCTION("IF(AA58="""",,MAX(FILTER(data!C$2:C1000, data!E$2:E1000=3, data!A$2:A1000=AA58))
            -MIN(FILTER(data!C$2:C1000, data!E$2:E1000=3, data!A$2:A1000=AA58)))
"),"")</f>
        <v/>
      </c>
      <c r="AG58" s="55" t="str">
        <f t="shared" si="100"/>
        <v/>
      </c>
      <c r="AH58" s="55"/>
      <c r="AI58" s="64"/>
      <c r="AJ58" s="64"/>
      <c r="AK58" s="64"/>
      <c r="AL58" s="64"/>
      <c r="AM58" s="64"/>
      <c r="AN58" s="64"/>
      <c r="AO58" s="55"/>
      <c r="AP58" s="55"/>
      <c r="AQ58" s="64"/>
      <c r="AR58" s="64"/>
      <c r="AS58" s="64"/>
      <c r="AT58" s="64"/>
      <c r="AU58" s="64"/>
      <c r="AV58" s="55"/>
      <c r="AW58" s="55"/>
      <c r="AX58" s="64"/>
      <c r="AY58" s="64"/>
      <c r="AZ58" s="64"/>
      <c r="BA58" s="64"/>
      <c r="BB58" s="64"/>
      <c r="BC58" s="55"/>
      <c r="BD58" s="55"/>
      <c r="BE58" s="64"/>
      <c r="BF58" s="55"/>
      <c r="BG58" s="64"/>
      <c r="BH58" s="64"/>
      <c r="BI58" s="64"/>
      <c r="BJ58" s="64"/>
      <c r="BK58" s="55"/>
      <c r="BL58" s="65">
        <f>IFERROR(__xludf.DUMMYFUNCTION("""COMPUTED_VALUE"""),78.0)</f>
        <v>78</v>
      </c>
      <c r="BM58" s="65" t="str">
        <f>IFERROR(__xludf.DUMMYFUNCTION("""COMPUTED_VALUE"""),"E")</f>
        <v>E</v>
      </c>
      <c r="BN58" s="64"/>
      <c r="BO58" s="63">
        <f>IFERROR(__xludf.DUMMYFUNCTION("""COMPUTED_VALUE"""),2.0)</f>
        <v>2</v>
      </c>
      <c r="BP58" s="63">
        <f>IFERROR(__xludf.DUMMYFUNCTION("""COMPUTED_VALUE"""),4.0)</f>
        <v>4</v>
      </c>
      <c r="BQ58" s="64"/>
      <c r="BR58" s="63">
        <f>IFERROR(__xludf.DUMMYFUNCTION("""COMPUTED_VALUE"""),9.5)</f>
        <v>9.5</v>
      </c>
      <c r="BS58" s="63">
        <f>IFERROR(__xludf.DUMMYFUNCTION("""COMPUTED_VALUE"""),8.5)</f>
        <v>8.5</v>
      </c>
      <c r="BT58" s="64"/>
      <c r="BU58" s="63">
        <v>3.0</v>
      </c>
      <c r="BV58" s="67">
        <v>3.0</v>
      </c>
      <c r="BW58" s="65" t="b">
        <v>1</v>
      </c>
      <c r="BX58" s="55"/>
      <c r="BY58" s="55"/>
      <c r="BZ58" s="55"/>
      <c r="CA58" s="55"/>
      <c r="CB58" s="55"/>
      <c r="CC58" s="55"/>
      <c r="CD58" s="55"/>
      <c r="CE58" s="55"/>
      <c r="CF58" s="55"/>
      <c r="CG58" s="55"/>
      <c r="CH58" s="55"/>
    </row>
    <row r="59" ht="16.5" customHeight="1">
      <c r="A59" s="55"/>
      <c r="B59" s="55"/>
      <c r="C59" s="55"/>
      <c r="D59" s="55"/>
      <c r="E59" s="55"/>
      <c r="F59" s="55"/>
      <c r="G59" s="55"/>
      <c r="H59" s="64" t="str">
        <f>IFERROR(__xludf.DUMMYFUNCTION("IFERROR(
  AVERAGE(FILTER(data!B$2:B1000, data!A$2:A1000=$F59, data!D$2:D1000=$G59, data!E$2:E1000=2))
  -
  AVERAGE(FILTER(data!B$2:B1000, data!A$2:A1000=$F59, data!D$2:D1000=$G59, data!E$2:E1000=1))
, """")
"),"")</f>
        <v/>
      </c>
      <c r="I59" s="64" t="str">
        <f>IFERROR(__xludf.DUMMYFUNCTION("IFERROR(
  AVERAGE(FILTER(data!B$2:B1000, data!A$2:A1000=$F59, data!D$2:D1000=$G59, data!E$2:E1000=3))
  -
  AVERAGE(FILTER(data!B$2:B1000, data!A$2:A1000=$F59, data!D$2:D1000=$G59, data!E$2:E1000=2))
, """")
"),"")</f>
        <v/>
      </c>
      <c r="J59" s="64" t="str">
        <f>IFERROR(__xludf.DUMMYFUNCTION("IFERROR(
  AVERAGE(FILTER(data!B$2:B1000, data!A$2:A1000=$F59, data!D$2:D1000=$G59, data!E$2:E1000=3))
  -
  AVERAGE(FILTER(data!B$2:B1000, data!A$2:A1000=$F59, data!D$2:D1000=$G59, data!E$2:E1000=1))
, """")
"),"")</f>
        <v/>
      </c>
      <c r="K59" s="64" t="str">
        <f>IFERROR(__xludf.DUMMYFUNCTION("IFERROR(
  AVERAGE(FILTER(data!C$2:C1000, data!A$2:A1000=$F59, data!D$2:D1000=$G59, data!E$2:E1000=2))
  -
  AVERAGE(FILTER(data!C$2:C1000, data!A$2:A1000=$F59, data!D$2:D1000=$G59, data!E$2:E1000=1))
, """")
"),"")</f>
        <v/>
      </c>
      <c r="L59" s="64" t="str">
        <f>IFERROR(__xludf.DUMMYFUNCTION("IFERROR(
  AVERAGE(FILTER(data!C$2:C1000, data!A$2:A1000=$F59, data!D$2:D1000=$G59, data!E$2:E1000=3))
  -
  AVERAGE(FILTER(data!C$2:C1000, data!A$2:A1000=$F59, data!D$2:D1000=$G59, data!E$2:E1000=2))
, """")
"),"")</f>
        <v/>
      </c>
      <c r="M59" s="64" t="str">
        <f>IFERROR(__xludf.DUMMYFUNCTION("IFERROR(
  AVERAGE(FILTER(data!C$2:C1000, data!A$2:A1000=$F59, data!D$2:D1000=$G59, data!E$2:E1000=3))
  -
  AVERAGE(FILTER(data!C$2:C1000, data!A$2:A1000=$F59, data!D$2:D1000=$G59, data!E$2:E1000=1))
, """")
"),"")</f>
        <v/>
      </c>
      <c r="N59" s="64" t="str">
        <f t="shared" ref="N59:P59" si="117">IF(H59="",,ABS(H59))
</f>
        <v/>
      </c>
      <c r="O59" s="64" t="str">
        <f t="shared" si="117"/>
        <v/>
      </c>
      <c r="P59" s="64" t="str">
        <f t="shared" si="117"/>
        <v/>
      </c>
      <c r="Q59" s="64" t="str">
        <f t="shared" si="4"/>
        <v/>
      </c>
      <c r="R59" s="64" t="str">
        <f t="shared" ref="R59:S59" si="118">IF(L59="",,ABS(L59))
</f>
        <v/>
      </c>
      <c r="S59" s="64" t="str">
        <f t="shared" si="118"/>
        <v/>
      </c>
      <c r="T59" s="55"/>
      <c r="U59" s="55"/>
      <c r="V59" s="55"/>
      <c r="W59" s="64"/>
      <c r="X59" s="64"/>
      <c r="Y59" s="55"/>
      <c r="Z59" s="55"/>
      <c r="AA59" s="55"/>
      <c r="AB59" s="64" t="str">
        <f>IFERROR(__xludf.DUMMYFUNCTION("IF(AA59="""",,COUNTUNIQUE(FILTER(data!D$2:D1000, data!E$2:E1000=3, data!A$2:A1000=AA59)))
"),"")</f>
        <v/>
      </c>
      <c r="AC59" s="64" t="str">
        <f>IFERROR(__xludf.DUMMYFUNCTION("IF(AA59="""",,ROUND(AVERAGE(FILTER(data!B$2:B1000, data!E$2:E1000=3, data!A$2:A1000=AA59)),2))
"),"")</f>
        <v/>
      </c>
      <c r="AD59" s="64" t="str">
        <f>IFERROR(__xludf.DUMMYFUNCTION("IF(AA59="""",,ROUND(AVERAGE(FILTER(data!C$2:C1000, data!E$2:E1000=3, data!A$2:A1000=AA59)),2))
"),"")</f>
        <v/>
      </c>
      <c r="AE59" s="64" t="str">
        <f>IFERROR(__xludf.DUMMYFUNCTION("IF(AA59="""",,MAX(FILTER(data!B$2:B1000, data!E$2:E1000=3, data!A$2:A1000=AA59))
            -MIN(FILTER(data!B$2:B1000, data!E$2:E1000=3, data!A$2:A1000=AA59)))
"),"")</f>
        <v/>
      </c>
      <c r="AF59" s="64" t="str">
        <f>IFERROR(__xludf.DUMMYFUNCTION("IF(AA59="""",,MAX(FILTER(data!C$2:C1000, data!E$2:E1000=3, data!A$2:A1000=AA59))
            -MIN(FILTER(data!C$2:C1000, data!E$2:E1000=3, data!A$2:A1000=AA59)))
"),"")</f>
        <v/>
      </c>
      <c r="AG59" s="55" t="str">
        <f t="shared" si="100"/>
        <v/>
      </c>
      <c r="AH59" s="55"/>
      <c r="AI59" s="64"/>
      <c r="AJ59" s="64"/>
      <c r="AK59" s="64"/>
      <c r="AL59" s="64"/>
      <c r="AM59" s="64"/>
      <c r="AN59" s="64"/>
      <c r="AO59" s="55"/>
      <c r="AP59" s="55"/>
      <c r="AQ59" s="64"/>
      <c r="AR59" s="64"/>
      <c r="AS59" s="64"/>
      <c r="AT59" s="64"/>
      <c r="AU59" s="64"/>
      <c r="AV59" s="55"/>
      <c r="AW59" s="55"/>
      <c r="AX59" s="64"/>
      <c r="AY59" s="64"/>
      <c r="AZ59" s="64"/>
      <c r="BA59" s="64"/>
      <c r="BB59" s="64"/>
      <c r="BC59" s="55"/>
      <c r="BD59" s="55"/>
      <c r="BE59" s="64"/>
      <c r="BF59" s="55"/>
      <c r="BG59" s="64"/>
      <c r="BH59" s="64"/>
      <c r="BI59" s="64"/>
      <c r="BJ59" s="64"/>
      <c r="BK59" s="55"/>
      <c r="BL59" s="65">
        <f>IFERROR(__xludf.DUMMYFUNCTION("""COMPUTED_VALUE"""),79.0)</f>
        <v>79</v>
      </c>
      <c r="BM59" s="65" t="str">
        <f>IFERROR(__xludf.DUMMYFUNCTION("""COMPUTED_VALUE"""),"B")</f>
        <v>B</v>
      </c>
      <c r="BN59" s="63">
        <f>IFERROR(__xludf.DUMMYFUNCTION("""COMPUTED_VALUE"""),1.0)</f>
        <v>1</v>
      </c>
      <c r="BO59" s="63">
        <f>IFERROR(__xludf.DUMMYFUNCTION("""COMPUTED_VALUE"""),1.0)</f>
        <v>1</v>
      </c>
      <c r="BP59" s="63">
        <f>IFERROR(__xludf.DUMMYFUNCTION("""COMPUTED_VALUE"""),5.5)</f>
        <v>5.5</v>
      </c>
      <c r="BQ59" s="63">
        <f>IFERROR(__xludf.DUMMYFUNCTION("""COMPUTED_VALUE"""),7.0)</f>
        <v>7</v>
      </c>
      <c r="BR59" s="63">
        <f>IFERROR(__xludf.DUMMYFUNCTION("""COMPUTED_VALUE"""),7.0)</f>
        <v>7</v>
      </c>
      <c r="BS59" s="63">
        <f>IFERROR(__xludf.DUMMYFUNCTION("""COMPUTED_VALUE"""),5.5)</f>
        <v>5.5</v>
      </c>
      <c r="BT59" s="63">
        <v>0.0</v>
      </c>
      <c r="BU59" s="63">
        <v>6.0</v>
      </c>
      <c r="BV59" s="67">
        <v>6.0</v>
      </c>
      <c r="BW59" s="65" t="b">
        <v>1</v>
      </c>
      <c r="BX59" s="55"/>
      <c r="BY59" s="55"/>
      <c r="BZ59" s="55"/>
      <c r="CA59" s="55"/>
      <c r="CB59" s="55"/>
      <c r="CC59" s="55"/>
      <c r="CD59" s="55"/>
      <c r="CE59" s="55"/>
      <c r="CF59" s="55"/>
      <c r="CG59" s="55"/>
      <c r="CH59" s="55"/>
    </row>
    <row r="60" ht="16.5" customHeight="1">
      <c r="A60" s="55"/>
      <c r="B60" s="55"/>
      <c r="C60" s="55"/>
      <c r="D60" s="55"/>
      <c r="E60" s="55"/>
      <c r="F60" s="55"/>
      <c r="G60" s="55"/>
      <c r="H60" s="64" t="str">
        <f>IFERROR(__xludf.DUMMYFUNCTION("IFERROR(
  AVERAGE(FILTER(data!B$2:B1000, data!A$2:A1000=$F60, data!D$2:D1000=$G60, data!E$2:E1000=2))
  -
  AVERAGE(FILTER(data!B$2:B1000, data!A$2:A1000=$F60, data!D$2:D1000=$G60, data!E$2:E1000=1))
, """")
"),"")</f>
        <v/>
      </c>
      <c r="I60" s="64" t="str">
        <f>IFERROR(__xludf.DUMMYFUNCTION("IFERROR(
  AVERAGE(FILTER(data!B$2:B1000, data!A$2:A1000=$F60, data!D$2:D1000=$G60, data!E$2:E1000=3))
  -
  AVERAGE(FILTER(data!B$2:B1000, data!A$2:A1000=$F60, data!D$2:D1000=$G60, data!E$2:E1000=2))
, """")
"),"")</f>
        <v/>
      </c>
      <c r="J60" s="64" t="str">
        <f>IFERROR(__xludf.DUMMYFUNCTION("IFERROR(
  AVERAGE(FILTER(data!B$2:B1000, data!A$2:A1000=$F60, data!D$2:D1000=$G60, data!E$2:E1000=3))
  -
  AVERAGE(FILTER(data!B$2:B1000, data!A$2:A1000=$F60, data!D$2:D1000=$G60, data!E$2:E1000=1))
, """")
"),"")</f>
        <v/>
      </c>
      <c r="K60" s="64" t="str">
        <f>IFERROR(__xludf.DUMMYFUNCTION("IFERROR(
  AVERAGE(FILTER(data!C$2:C1000, data!A$2:A1000=$F60, data!D$2:D1000=$G60, data!E$2:E1000=2))
  -
  AVERAGE(FILTER(data!C$2:C1000, data!A$2:A1000=$F60, data!D$2:D1000=$G60, data!E$2:E1000=1))
, """")
"),"")</f>
        <v/>
      </c>
      <c r="L60" s="64" t="str">
        <f>IFERROR(__xludf.DUMMYFUNCTION("IFERROR(
  AVERAGE(FILTER(data!C$2:C1000, data!A$2:A1000=$F60, data!D$2:D1000=$G60, data!E$2:E1000=3))
  -
  AVERAGE(FILTER(data!C$2:C1000, data!A$2:A1000=$F60, data!D$2:D1000=$G60, data!E$2:E1000=2))
, """")
"),"")</f>
        <v/>
      </c>
      <c r="M60" s="64" t="str">
        <f>IFERROR(__xludf.DUMMYFUNCTION("IFERROR(
  AVERAGE(FILTER(data!C$2:C1000, data!A$2:A1000=$F60, data!D$2:D1000=$G60, data!E$2:E1000=3))
  -
  AVERAGE(FILTER(data!C$2:C1000, data!A$2:A1000=$F60, data!D$2:D1000=$G60, data!E$2:E1000=1))
, """")
"),"")</f>
        <v/>
      </c>
      <c r="N60" s="64" t="str">
        <f t="shared" ref="N60:P60" si="119">IF(H60="",,ABS(H60))
</f>
        <v/>
      </c>
      <c r="O60" s="64" t="str">
        <f t="shared" si="119"/>
        <v/>
      </c>
      <c r="P60" s="64" t="str">
        <f t="shared" si="119"/>
        <v/>
      </c>
      <c r="Q60" s="64" t="str">
        <f t="shared" si="4"/>
        <v/>
      </c>
      <c r="R60" s="64" t="str">
        <f t="shared" ref="R60:S60" si="120">IF(L60="",,ABS(L60))
</f>
        <v/>
      </c>
      <c r="S60" s="64" t="str">
        <f t="shared" si="120"/>
        <v/>
      </c>
      <c r="T60" s="55"/>
      <c r="U60" s="55"/>
      <c r="V60" s="55"/>
      <c r="W60" s="64"/>
      <c r="X60" s="64"/>
      <c r="Y60" s="55"/>
      <c r="Z60" s="55"/>
      <c r="AA60" s="55"/>
      <c r="AB60" s="64" t="str">
        <f>IFERROR(__xludf.DUMMYFUNCTION("IF(AA60="""",,COUNTUNIQUE(FILTER(data!D$2:D1000, data!E$2:E1000=3, data!A$2:A1000=AA60)))
"),"")</f>
        <v/>
      </c>
      <c r="AC60" s="64" t="str">
        <f>IFERROR(__xludf.DUMMYFUNCTION("IF(AA60="""",,ROUND(AVERAGE(FILTER(data!B$2:B1000, data!E$2:E1000=3, data!A$2:A1000=AA60)),2))
"),"")</f>
        <v/>
      </c>
      <c r="AD60" s="64" t="str">
        <f>IFERROR(__xludf.DUMMYFUNCTION("IF(AA60="""",,ROUND(AVERAGE(FILTER(data!C$2:C1000, data!E$2:E1000=3, data!A$2:A1000=AA60)),2))
"),"")</f>
        <v/>
      </c>
      <c r="AE60" s="64" t="str">
        <f>IFERROR(__xludf.DUMMYFUNCTION("IF(AA60="""",,MAX(FILTER(data!B$2:B1000, data!E$2:E1000=3, data!A$2:A1000=AA60))
            -MIN(FILTER(data!B$2:B1000, data!E$2:E1000=3, data!A$2:A1000=AA60)))
"),"")</f>
        <v/>
      </c>
      <c r="AF60" s="64" t="str">
        <f>IFERROR(__xludf.DUMMYFUNCTION("IF(AA60="""",,MAX(FILTER(data!C$2:C1000, data!E$2:E1000=3, data!A$2:A1000=AA60))
            -MIN(FILTER(data!C$2:C1000, data!E$2:E1000=3, data!A$2:A1000=AA60)))
"),"")</f>
        <v/>
      </c>
      <c r="AG60" s="55" t="str">
        <f t="shared" si="100"/>
        <v/>
      </c>
      <c r="AH60" s="55"/>
      <c r="AI60" s="64"/>
      <c r="AJ60" s="64"/>
      <c r="AK60" s="64"/>
      <c r="AL60" s="64"/>
      <c r="AM60" s="64"/>
      <c r="AN60" s="64"/>
      <c r="AO60" s="55"/>
      <c r="AP60" s="55"/>
      <c r="AQ60" s="64"/>
      <c r="AR60" s="64"/>
      <c r="AS60" s="64"/>
      <c r="AT60" s="64"/>
      <c r="AU60" s="64"/>
      <c r="AV60" s="55"/>
      <c r="AW60" s="55"/>
      <c r="AX60" s="64"/>
      <c r="AY60" s="64"/>
      <c r="AZ60" s="64"/>
      <c r="BA60" s="64"/>
      <c r="BB60" s="64"/>
      <c r="BC60" s="55"/>
      <c r="BD60" s="55"/>
      <c r="BE60" s="64"/>
      <c r="BF60" s="55"/>
      <c r="BG60" s="64"/>
      <c r="BH60" s="64"/>
      <c r="BI60" s="64"/>
      <c r="BJ60" s="64"/>
      <c r="BK60" s="55"/>
      <c r="BL60" s="65">
        <f>IFERROR(__xludf.DUMMYFUNCTION("""COMPUTED_VALUE"""),79.0)</f>
        <v>79</v>
      </c>
      <c r="BM60" s="65" t="str">
        <f>IFERROR(__xludf.DUMMYFUNCTION("""COMPUTED_VALUE"""),"E")</f>
        <v>E</v>
      </c>
      <c r="BN60" s="63">
        <f>IFERROR(__xludf.DUMMYFUNCTION("""COMPUTED_VALUE"""),3.5)</f>
        <v>3.5</v>
      </c>
      <c r="BO60" s="63">
        <f>IFERROR(__xludf.DUMMYFUNCTION("""COMPUTED_VALUE"""),3.5)</f>
        <v>3.5</v>
      </c>
      <c r="BP60" s="63">
        <f>IFERROR(__xludf.DUMMYFUNCTION("""COMPUTED_VALUE"""),3.5)</f>
        <v>3.5</v>
      </c>
      <c r="BQ60" s="63">
        <f>IFERROR(__xludf.DUMMYFUNCTION("""COMPUTED_VALUE"""),2.0)</f>
        <v>2</v>
      </c>
      <c r="BR60" s="63">
        <f>IFERROR(__xludf.DUMMYFUNCTION("""COMPUTED_VALUE"""),2.0)</f>
        <v>2</v>
      </c>
      <c r="BS60" s="63">
        <f>IFERROR(__xludf.DUMMYFUNCTION("""COMPUTED_VALUE"""),2.0)</f>
        <v>2</v>
      </c>
      <c r="BT60" s="63">
        <v>0.0</v>
      </c>
      <c r="BU60" s="63">
        <v>0.0</v>
      </c>
      <c r="BV60" s="67">
        <v>0.0</v>
      </c>
      <c r="BW60" s="65" t="b">
        <v>0</v>
      </c>
      <c r="BX60" s="55"/>
      <c r="BY60" s="55"/>
      <c r="BZ60" s="55"/>
      <c r="CA60" s="55"/>
      <c r="CB60" s="55"/>
      <c r="CC60" s="55"/>
      <c r="CD60" s="55"/>
      <c r="CE60" s="55"/>
      <c r="CF60" s="55"/>
      <c r="CG60" s="55"/>
      <c r="CH60" s="55"/>
    </row>
    <row r="61" ht="16.5" customHeight="1">
      <c r="A61" s="55"/>
      <c r="B61" s="55"/>
      <c r="C61" s="55"/>
      <c r="D61" s="55"/>
      <c r="E61" s="55"/>
      <c r="F61" s="55"/>
      <c r="G61" s="55"/>
      <c r="H61" s="64" t="str">
        <f>IFERROR(__xludf.DUMMYFUNCTION("IFERROR(
  AVERAGE(FILTER(data!B$2:B1000, data!A$2:A1000=$F61, data!D$2:D1000=$G61, data!E$2:E1000=2))
  -
  AVERAGE(FILTER(data!B$2:B1000, data!A$2:A1000=$F61, data!D$2:D1000=$G61, data!E$2:E1000=1))
, """")
"),"")</f>
        <v/>
      </c>
      <c r="I61" s="64" t="str">
        <f>IFERROR(__xludf.DUMMYFUNCTION("IFERROR(
  AVERAGE(FILTER(data!B$2:B1000, data!A$2:A1000=$F61, data!D$2:D1000=$G61, data!E$2:E1000=3))
  -
  AVERAGE(FILTER(data!B$2:B1000, data!A$2:A1000=$F61, data!D$2:D1000=$G61, data!E$2:E1000=2))
, """")
"),"")</f>
        <v/>
      </c>
      <c r="J61" s="64" t="str">
        <f>IFERROR(__xludf.DUMMYFUNCTION("IFERROR(
  AVERAGE(FILTER(data!B$2:B1000, data!A$2:A1000=$F61, data!D$2:D1000=$G61, data!E$2:E1000=3))
  -
  AVERAGE(FILTER(data!B$2:B1000, data!A$2:A1000=$F61, data!D$2:D1000=$G61, data!E$2:E1000=1))
, """")
"),"")</f>
        <v/>
      </c>
      <c r="K61" s="64" t="str">
        <f>IFERROR(__xludf.DUMMYFUNCTION("IFERROR(
  AVERAGE(FILTER(data!C$2:C1000, data!A$2:A1000=$F61, data!D$2:D1000=$G61, data!E$2:E1000=2))
  -
  AVERAGE(FILTER(data!C$2:C1000, data!A$2:A1000=$F61, data!D$2:D1000=$G61, data!E$2:E1000=1))
, """")
"),"")</f>
        <v/>
      </c>
      <c r="L61" s="64" t="str">
        <f>IFERROR(__xludf.DUMMYFUNCTION("IFERROR(
  AVERAGE(FILTER(data!C$2:C1000, data!A$2:A1000=$F61, data!D$2:D1000=$G61, data!E$2:E1000=3))
  -
  AVERAGE(FILTER(data!C$2:C1000, data!A$2:A1000=$F61, data!D$2:D1000=$G61, data!E$2:E1000=2))
, """")
"),"")</f>
        <v/>
      </c>
      <c r="M61" s="64" t="str">
        <f>IFERROR(__xludf.DUMMYFUNCTION("IFERROR(
  AVERAGE(FILTER(data!C$2:C1000, data!A$2:A1000=$F61, data!D$2:D1000=$G61, data!E$2:E1000=3))
  -
  AVERAGE(FILTER(data!C$2:C1000, data!A$2:A1000=$F61, data!D$2:D1000=$G61, data!E$2:E1000=1))
, """")
"),"")</f>
        <v/>
      </c>
      <c r="N61" s="64" t="str">
        <f t="shared" ref="N61:P61" si="121">IF(H61="",,ABS(H61))
</f>
        <v/>
      </c>
      <c r="O61" s="64" t="str">
        <f t="shared" si="121"/>
        <v/>
      </c>
      <c r="P61" s="64" t="str">
        <f t="shared" si="121"/>
        <v/>
      </c>
      <c r="Q61" s="64" t="str">
        <f t="shared" si="4"/>
        <v/>
      </c>
      <c r="R61" s="64" t="str">
        <f t="shared" ref="R61:S61" si="122">IF(L61="",,ABS(L61))
</f>
        <v/>
      </c>
      <c r="S61" s="64" t="str">
        <f t="shared" si="122"/>
        <v/>
      </c>
      <c r="T61" s="55"/>
      <c r="U61" s="55"/>
      <c r="V61" s="55"/>
      <c r="W61" s="64"/>
      <c r="X61" s="64"/>
      <c r="Y61" s="55"/>
      <c r="Z61" s="55"/>
      <c r="AA61" s="55"/>
      <c r="AB61" s="64" t="str">
        <f>IFERROR(__xludf.DUMMYFUNCTION("IF(AA61="""",,COUNTUNIQUE(FILTER(data!D$2:D1000, data!E$2:E1000=3, data!A$2:A1000=AA61)))
"),"")</f>
        <v/>
      </c>
      <c r="AC61" s="64" t="str">
        <f>IFERROR(__xludf.DUMMYFUNCTION("IF(AA61="""",,ROUND(AVERAGE(FILTER(data!B$2:B1000, data!E$2:E1000=3, data!A$2:A1000=AA61)),2))
"),"")</f>
        <v/>
      </c>
      <c r="AD61" s="64" t="str">
        <f>IFERROR(__xludf.DUMMYFUNCTION("IF(AA61="""",,ROUND(AVERAGE(FILTER(data!C$2:C1000, data!E$2:E1000=3, data!A$2:A1000=AA61)),2))
"),"")</f>
        <v/>
      </c>
      <c r="AE61" s="64" t="str">
        <f>IFERROR(__xludf.DUMMYFUNCTION("IF(AA61="""",,MAX(FILTER(data!B$2:B1000, data!E$2:E1000=3, data!A$2:A1000=AA61))
            -MIN(FILTER(data!B$2:B1000, data!E$2:E1000=3, data!A$2:A1000=AA61)))
"),"")</f>
        <v/>
      </c>
      <c r="AF61" s="64" t="str">
        <f>IFERROR(__xludf.DUMMYFUNCTION("IF(AA61="""",,MAX(FILTER(data!C$2:C1000, data!E$2:E1000=3, data!A$2:A1000=AA61))
            -MIN(FILTER(data!C$2:C1000, data!E$2:E1000=3, data!A$2:A1000=AA61)))
"),"")</f>
        <v/>
      </c>
      <c r="AG61" s="55" t="str">
        <f t="shared" si="100"/>
        <v/>
      </c>
      <c r="AH61" s="55"/>
      <c r="AI61" s="64"/>
      <c r="AJ61" s="64"/>
      <c r="AK61" s="64"/>
      <c r="AL61" s="64"/>
      <c r="AM61" s="64"/>
      <c r="AN61" s="64"/>
      <c r="AO61" s="55"/>
      <c r="AP61" s="55"/>
      <c r="AQ61" s="64"/>
      <c r="AR61" s="64"/>
      <c r="AS61" s="64"/>
      <c r="AT61" s="64"/>
      <c r="AU61" s="64"/>
      <c r="AV61" s="55"/>
      <c r="AW61" s="55"/>
      <c r="AX61" s="64"/>
      <c r="AY61" s="64"/>
      <c r="AZ61" s="64"/>
      <c r="BA61" s="64"/>
      <c r="BB61" s="64"/>
      <c r="BC61" s="55"/>
      <c r="BD61" s="55"/>
      <c r="BE61" s="64"/>
      <c r="BF61" s="55"/>
      <c r="BG61" s="64"/>
      <c r="BH61" s="64"/>
      <c r="BI61" s="64"/>
      <c r="BJ61" s="64"/>
      <c r="BK61" s="55"/>
      <c r="BL61" s="65">
        <f>IFERROR(__xludf.DUMMYFUNCTION("""COMPUTED_VALUE"""),81.0)</f>
        <v>81</v>
      </c>
      <c r="BM61" s="65" t="str">
        <f>IFERROR(__xludf.DUMMYFUNCTION("""COMPUTED_VALUE"""),"A")</f>
        <v>A</v>
      </c>
      <c r="BN61" s="63">
        <f>IFERROR(__xludf.DUMMYFUNCTION("""COMPUTED_VALUE"""),5.5)</f>
        <v>5.5</v>
      </c>
      <c r="BO61" s="63">
        <f>IFERROR(__xludf.DUMMYFUNCTION("""COMPUTED_VALUE"""),5.5)</f>
        <v>5.5</v>
      </c>
      <c r="BP61" s="63">
        <f>IFERROR(__xludf.DUMMYFUNCTION("""COMPUTED_VALUE"""),5.5)</f>
        <v>5.5</v>
      </c>
      <c r="BQ61" s="63">
        <f>IFERROR(__xludf.DUMMYFUNCTION("""COMPUTED_VALUE"""),10.0)</f>
        <v>10</v>
      </c>
      <c r="BR61" s="63">
        <f>IFERROR(__xludf.DUMMYFUNCTION("""COMPUTED_VALUE"""),10.0)</f>
        <v>10</v>
      </c>
      <c r="BS61" s="63">
        <f>IFERROR(__xludf.DUMMYFUNCTION("""COMPUTED_VALUE"""),10.0)</f>
        <v>10</v>
      </c>
      <c r="BT61" s="63">
        <v>0.0</v>
      </c>
      <c r="BU61" s="63">
        <v>0.0</v>
      </c>
      <c r="BV61" s="67">
        <v>0.0</v>
      </c>
      <c r="BW61" s="65" t="b">
        <v>0</v>
      </c>
      <c r="BX61" s="55"/>
      <c r="BY61" s="55"/>
      <c r="BZ61" s="55"/>
      <c r="CA61" s="55"/>
      <c r="CB61" s="55"/>
      <c r="CC61" s="55"/>
      <c r="CD61" s="55"/>
      <c r="CE61" s="55"/>
      <c r="CF61" s="55"/>
      <c r="CG61" s="55"/>
      <c r="CH61" s="55"/>
    </row>
    <row r="62" ht="16.5" customHeight="1">
      <c r="A62" s="55"/>
      <c r="B62" s="55"/>
      <c r="C62" s="55"/>
      <c r="D62" s="55"/>
      <c r="E62" s="55"/>
      <c r="F62" s="55"/>
      <c r="G62" s="55"/>
      <c r="H62" s="64" t="str">
        <f>IFERROR(__xludf.DUMMYFUNCTION("IFERROR(
  AVERAGE(FILTER(data!B$2:B1000, data!A$2:A1000=$F62, data!D$2:D1000=$G62, data!E$2:E1000=2))
  -
  AVERAGE(FILTER(data!B$2:B1000, data!A$2:A1000=$F62, data!D$2:D1000=$G62, data!E$2:E1000=1))
, """")
"),"")</f>
        <v/>
      </c>
      <c r="I62" s="64" t="str">
        <f>IFERROR(__xludf.DUMMYFUNCTION("IFERROR(
  AVERAGE(FILTER(data!B$2:B1000, data!A$2:A1000=$F62, data!D$2:D1000=$G62, data!E$2:E1000=3))
  -
  AVERAGE(FILTER(data!B$2:B1000, data!A$2:A1000=$F62, data!D$2:D1000=$G62, data!E$2:E1000=2))
, """")
"),"")</f>
        <v/>
      </c>
      <c r="J62" s="64" t="str">
        <f>IFERROR(__xludf.DUMMYFUNCTION("IFERROR(
  AVERAGE(FILTER(data!B$2:B1000, data!A$2:A1000=$F62, data!D$2:D1000=$G62, data!E$2:E1000=3))
  -
  AVERAGE(FILTER(data!B$2:B1000, data!A$2:A1000=$F62, data!D$2:D1000=$G62, data!E$2:E1000=1))
, """")
"),"")</f>
        <v/>
      </c>
      <c r="K62" s="64" t="str">
        <f>IFERROR(__xludf.DUMMYFUNCTION("IFERROR(
  AVERAGE(FILTER(data!C$2:C1000, data!A$2:A1000=$F62, data!D$2:D1000=$G62, data!E$2:E1000=2))
  -
  AVERAGE(FILTER(data!C$2:C1000, data!A$2:A1000=$F62, data!D$2:D1000=$G62, data!E$2:E1000=1))
, """")
"),"")</f>
        <v/>
      </c>
      <c r="L62" s="64" t="str">
        <f>IFERROR(__xludf.DUMMYFUNCTION("IFERROR(
  AVERAGE(FILTER(data!C$2:C1000, data!A$2:A1000=$F62, data!D$2:D1000=$G62, data!E$2:E1000=3))
  -
  AVERAGE(FILTER(data!C$2:C1000, data!A$2:A1000=$F62, data!D$2:D1000=$G62, data!E$2:E1000=2))
, """")
"),"")</f>
        <v/>
      </c>
      <c r="M62" s="64" t="str">
        <f>IFERROR(__xludf.DUMMYFUNCTION("IFERROR(
  AVERAGE(FILTER(data!C$2:C1000, data!A$2:A1000=$F62, data!D$2:D1000=$G62, data!E$2:E1000=3))
  -
  AVERAGE(FILTER(data!C$2:C1000, data!A$2:A1000=$F62, data!D$2:D1000=$G62, data!E$2:E1000=1))
, """")
"),"")</f>
        <v/>
      </c>
      <c r="N62" s="64" t="str">
        <f t="shared" ref="N62:P62" si="123">IF(H62="",,ABS(H62))
</f>
        <v/>
      </c>
      <c r="O62" s="64" t="str">
        <f t="shared" si="123"/>
        <v/>
      </c>
      <c r="P62" s="64" t="str">
        <f t="shared" si="123"/>
        <v/>
      </c>
      <c r="Q62" s="64" t="str">
        <f t="shared" si="4"/>
        <v/>
      </c>
      <c r="R62" s="64" t="str">
        <f t="shared" ref="R62:S62" si="124">IF(L62="",,ABS(L62))
</f>
        <v/>
      </c>
      <c r="S62" s="64" t="str">
        <f t="shared" si="124"/>
        <v/>
      </c>
      <c r="T62" s="55"/>
      <c r="U62" s="55"/>
      <c r="V62" s="55"/>
      <c r="W62" s="64"/>
      <c r="X62" s="64"/>
      <c r="Y62" s="55"/>
      <c r="Z62" s="55"/>
      <c r="AA62" s="55"/>
      <c r="AB62" s="64" t="str">
        <f>IFERROR(__xludf.DUMMYFUNCTION("IF(AA62="""",,COUNTUNIQUE(FILTER(data!D$2:D1000, data!E$2:E1000=3, data!A$2:A1000=AA62)))
"),"")</f>
        <v/>
      </c>
      <c r="AC62" s="64" t="str">
        <f>IFERROR(__xludf.DUMMYFUNCTION("IF(AA62="""",,ROUND(AVERAGE(FILTER(data!B$2:B1000, data!E$2:E1000=3, data!A$2:A1000=AA62)),2))
"),"")</f>
        <v/>
      </c>
      <c r="AD62" s="64" t="str">
        <f>IFERROR(__xludf.DUMMYFUNCTION("IF(AA62="""",,ROUND(AVERAGE(FILTER(data!C$2:C1000, data!E$2:E1000=3, data!A$2:A1000=AA62)),2))
"),"")</f>
        <v/>
      </c>
      <c r="AE62" s="64" t="str">
        <f>IFERROR(__xludf.DUMMYFUNCTION("IF(AA62="""",,MAX(FILTER(data!B$2:B1000, data!E$2:E1000=3, data!A$2:A1000=AA62))
            -MIN(FILTER(data!B$2:B1000, data!E$2:E1000=3, data!A$2:A1000=AA62)))
"),"")</f>
        <v/>
      </c>
      <c r="AF62" s="64" t="str">
        <f>IFERROR(__xludf.DUMMYFUNCTION("IF(AA62="""",,MAX(FILTER(data!C$2:C1000, data!E$2:E1000=3, data!A$2:A1000=AA62))
            -MIN(FILTER(data!C$2:C1000, data!E$2:E1000=3, data!A$2:A1000=AA62)))
"),"")</f>
        <v/>
      </c>
      <c r="AG62" s="55" t="str">
        <f t="shared" si="100"/>
        <v/>
      </c>
      <c r="AH62" s="55"/>
      <c r="AI62" s="64"/>
      <c r="AJ62" s="64"/>
      <c r="AK62" s="64"/>
      <c r="AL62" s="64"/>
      <c r="AM62" s="64"/>
      <c r="AN62" s="64"/>
      <c r="AO62" s="55"/>
      <c r="AP62" s="55"/>
      <c r="AQ62" s="64"/>
      <c r="AR62" s="64"/>
      <c r="AS62" s="64"/>
      <c r="AT62" s="64"/>
      <c r="AU62" s="64"/>
      <c r="AV62" s="55"/>
      <c r="AW62" s="55"/>
      <c r="AX62" s="64"/>
      <c r="AY62" s="64"/>
      <c r="AZ62" s="64"/>
      <c r="BA62" s="64"/>
      <c r="BB62" s="64"/>
      <c r="BC62" s="55"/>
      <c r="BD62" s="55"/>
      <c r="BE62" s="64"/>
      <c r="BF62" s="55"/>
      <c r="BG62" s="64"/>
      <c r="BH62" s="64"/>
      <c r="BI62" s="64"/>
      <c r="BJ62" s="64"/>
      <c r="BK62" s="55"/>
      <c r="BL62" s="65">
        <f>IFERROR(__xludf.DUMMYFUNCTION("""COMPUTED_VALUE"""),81.0)</f>
        <v>81</v>
      </c>
      <c r="BM62" s="65" t="str">
        <f>IFERROR(__xludf.DUMMYFUNCTION("""COMPUTED_VALUE"""),"B")</f>
        <v>B</v>
      </c>
      <c r="BN62" s="63">
        <f>IFERROR(__xludf.DUMMYFUNCTION("""COMPUTED_VALUE"""),1.0)</f>
        <v>1</v>
      </c>
      <c r="BO62" s="63">
        <f>IFERROR(__xludf.DUMMYFUNCTION("""COMPUTED_VALUE"""),1.0)</f>
        <v>1</v>
      </c>
      <c r="BP62" s="63">
        <f>IFERROR(__xludf.DUMMYFUNCTION("""COMPUTED_VALUE"""),1.0)</f>
        <v>1</v>
      </c>
      <c r="BQ62" s="63">
        <f>IFERROR(__xludf.DUMMYFUNCTION("""COMPUTED_VALUE"""),10.0)</f>
        <v>10</v>
      </c>
      <c r="BR62" s="63">
        <f>IFERROR(__xludf.DUMMYFUNCTION("""COMPUTED_VALUE"""),10.0)</f>
        <v>10</v>
      </c>
      <c r="BS62" s="63">
        <f>IFERROR(__xludf.DUMMYFUNCTION("""COMPUTED_VALUE"""),8.0)</f>
        <v>8</v>
      </c>
      <c r="BT62" s="63">
        <v>0.0</v>
      </c>
      <c r="BU62" s="63">
        <v>2.0</v>
      </c>
      <c r="BV62" s="67">
        <v>2.0</v>
      </c>
      <c r="BW62" s="65" t="b">
        <v>0</v>
      </c>
      <c r="BX62" s="55"/>
      <c r="BY62" s="55"/>
      <c r="BZ62" s="55"/>
      <c r="CA62" s="55"/>
      <c r="CB62" s="55"/>
      <c r="CC62" s="55"/>
      <c r="CD62" s="55"/>
      <c r="CE62" s="55"/>
      <c r="CF62" s="55"/>
      <c r="CG62" s="55"/>
      <c r="CH62" s="55"/>
    </row>
    <row r="63" ht="16.5" customHeight="1">
      <c r="A63" s="55"/>
      <c r="B63" s="55"/>
      <c r="C63" s="55"/>
      <c r="D63" s="55"/>
      <c r="E63" s="55"/>
      <c r="F63" s="55"/>
      <c r="G63" s="55"/>
      <c r="H63" s="64" t="str">
        <f>IFERROR(__xludf.DUMMYFUNCTION("IFERROR(
  AVERAGE(FILTER(data!B$2:B1000, data!A$2:A1000=$F63, data!D$2:D1000=$G63, data!E$2:E1000=2))
  -
  AVERAGE(FILTER(data!B$2:B1000, data!A$2:A1000=$F63, data!D$2:D1000=$G63, data!E$2:E1000=1))
, """")
"),"")</f>
        <v/>
      </c>
      <c r="I63" s="64" t="str">
        <f>IFERROR(__xludf.DUMMYFUNCTION("IFERROR(
  AVERAGE(FILTER(data!B$2:B1000, data!A$2:A1000=$F63, data!D$2:D1000=$G63, data!E$2:E1000=3))
  -
  AVERAGE(FILTER(data!B$2:B1000, data!A$2:A1000=$F63, data!D$2:D1000=$G63, data!E$2:E1000=2))
, """")
"),"")</f>
        <v/>
      </c>
      <c r="J63" s="64" t="str">
        <f>IFERROR(__xludf.DUMMYFUNCTION("IFERROR(
  AVERAGE(FILTER(data!B$2:B1000, data!A$2:A1000=$F63, data!D$2:D1000=$G63, data!E$2:E1000=3))
  -
  AVERAGE(FILTER(data!B$2:B1000, data!A$2:A1000=$F63, data!D$2:D1000=$G63, data!E$2:E1000=1))
, """")
"),"")</f>
        <v/>
      </c>
      <c r="K63" s="64" t="str">
        <f>IFERROR(__xludf.DUMMYFUNCTION("IFERROR(
  AVERAGE(FILTER(data!C$2:C1000, data!A$2:A1000=$F63, data!D$2:D1000=$G63, data!E$2:E1000=2))
  -
  AVERAGE(FILTER(data!C$2:C1000, data!A$2:A1000=$F63, data!D$2:D1000=$G63, data!E$2:E1000=1))
, """")
"),"")</f>
        <v/>
      </c>
      <c r="L63" s="64" t="str">
        <f>IFERROR(__xludf.DUMMYFUNCTION("IFERROR(
  AVERAGE(FILTER(data!C$2:C1000, data!A$2:A1000=$F63, data!D$2:D1000=$G63, data!E$2:E1000=3))
  -
  AVERAGE(FILTER(data!C$2:C1000, data!A$2:A1000=$F63, data!D$2:D1000=$G63, data!E$2:E1000=2))
, """")
"),"")</f>
        <v/>
      </c>
      <c r="M63" s="64" t="str">
        <f>IFERROR(__xludf.DUMMYFUNCTION("IFERROR(
  AVERAGE(FILTER(data!C$2:C1000, data!A$2:A1000=$F63, data!D$2:D1000=$G63, data!E$2:E1000=3))
  -
  AVERAGE(FILTER(data!C$2:C1000, data!A$2:A1000=$F63, data!D$2:D1000=$G63, data!E$2:E1000=1))
, """")
"),"")</f>
        <v/>
      </c>
      <c r="N63" s="64" t="str">
        <f t="shared" ref="N63:P63" si="125">IF(H63="",,ABS(H63))
</f>
        <v/>
      </c>
      <c r="O63" s="64" t="str">
        <f t="shared" si="125"/>
        <v/>
      </c>
      <c r="P63" s="64" t="str">
        <f t="shared" si="125"/>
        <v/>
      </c>
      <c r="Q63" s="64" t="str">
        <f t="shared" si="4"/>
        <v/>
      </c>
      <c r="R63" s="64" t="str">
        <f t="shared" ref="R63:S63" si="126">IF(L63="",,ABS(L63))
</f>
        <v/>
      </c>
      <c r="S63" s="64" t="str">
        <f t="shared" si="126"/>
        <v/>
      </c>
      <c r="T63" s="55"/>
      <c r="U63" s="55"/>
      <c r="V63" s="55"/>
      <c r="W63" s="64"/>
      <c r="X63" s="64"/>
      <c r="Y63" s="55"/>
      <c r="Z63" s="55"/>
      <c r="AA63" s="55"/>
      <c r="AB63" s="64" t="str">
        <f>IFERROR(__xludf.DUMMYFUNCTION("IF(AA63="""",,COUNTUNIQUE(FILTER(data!D$2:D1000, data!E$2:E1000=3, data!A$2:A1000=AA63)))
"),"")</f>
        <v/>
      </c>
      <c r="AC63" s="64" t="str">
        <f>IFERROR(__xludf.DUMMYFUNCTION("IF(AA63="""",,ROUND(AVERAGE(FILTER(data!B$2:B1000, data!E$2:E1000=3, data!A$2:A1000=AA63)),2))
"),"")</f>
        <v/>
      </c>
      <c r="AD63" s="64" t="str">
        <f>IFERROR(__xludf.DUMMYFUNCTION("IF(AA63="""",,ROUND(AVERAGE(FILTER(data!C$2:C1000, data!E$2:E1000=3, data!A$2:A1000=AA63)),2))
"),"")</f>
        <v/>
      </c>
      <c r="AE63" s="64" t="str">
        <f>IFERROR(__xludf.DUMMYFUNCTION("IF(AA63="""",,MAX(FILTER(data!B$2:B1000, data!E$2:E1000=3, data!A$2:A1000=AA63))
            -MIN(FILTER(data!B$2:B1000, data!E$2:E1000=3, data!A$2:A1000=AA63)))
"),"")</f>
        <v/>
      </c>
      <c r="AF63" s="64" t="str">
        <f>IFERROR(__xludf.DUMMYFUNCTION("IF(AA63="""",,MAX(FILTER(data!C$2:C1000, data!E$2:E1000=3, data!A$2:A1000=AA63))
            -MIN(FILTER(data!C$2:C1000, data!E$2:E1000=3, data!A$2:A1000=AA63)))
"),"")</f>
        <v/>
      </c>
      <c r="AG63" s="55" t="str">
        <f t="shared" si="100"/>
        <v/>
      </c>
      <c r="AH63" s="55"/>
      <c r="AI63" s="64"/>
      <c r="AJ63" s="64"/>
      <c r="AK63" s="64"/>
      <c r="AL63" s="64"/>
      <c r="AM63" s="64"/>
      <c r="AN63" s="64"/>
      <c r="AO63" s="55"/>
      <c r="AP63" s="55"/>
      <c r="AQ63" s="64"/>
      <c r="AR63" s="64"/>
      <c r="AS63" s="64"/>
      <c r="AT63" s="64"/>
      <c r="AU63" s="64"/>
      <c r="AV63" s="55"/>
      <c r="AW63" s="55"/>
      <c r="AX63" s="64"/>
      <c r="AY63" s="64"/>
      <c r="AZ63" s="64"/>
      <c r="BA63" s="64"/>
      <c r="BB63" s="64"/>
      <c r="BC63" s="55"/>
      <c r="BD63" s="55"/>
      <c r="BE63" s="64"/>
      <c r="BF63" s="55"/>
      <c r="BG63" s="64"/>
      <c r="BH63" s="64"/>
      <c r="BI63" s="64"/>
      <c r="BJ63" s="64"/>
      <c r="BK63" s="55"/>
      <c r="BL63" s="65">
        <f>IFERROR(__xludf.DUMMYFUNCTION("""COMPUTED_VALUE"""),81.0)</f>
        <v>81</v>
      </c>
      <c r="BM63" s="65" t="str">
        <f>IFERROR(__xludf.DUMMYFUNCTION("""COMPUTED_VALUE"""),"C")</f>
        <v>C</v>
      </c>
      <c r="BN63" s="63">
        <f>IFERROR(__xludf.DUMMYFUNCTION("""COMPUTED_VALUE"""),4.5)</f>
        <v>4.5</v>
      </c>
      <c r="BO63" s="63">
        <f>IFERROR(__xludf.DUMMYFUNCTION("""COMPUTED_VALUE"""),4.5)</f>
        <v>4.5</v>
      </c>
      <c r="BP63" s="64"/>
      <c r="BQ63" s="63">
        <f>IFERROR(__xludf.DUMMYFUNCTION("""COMPUTED_VALUE"""),6.5)</f>
        <v>6.5</v>
      </c>
      <c r="BR63" s="63">
        <f>IFERROR(__xludf.DUMMYFUNCTION("""COMPUTED_VALUE"""),6.5)</f>
        <v>6.5</v>
      </c>
      <c r="BS63" s="64"/>
      <c r="BT63" s="63">
        <v>0.0</v>
      </c>
      <c r="BU63" s="64"/>
      <c r="BV63" s="67">
        <v>0.0</v>
      </c>
      <c r="BW63" s="65" t="b">
        <v>0</v>
      </c>
      <c r="BX63" s="55"/>
      <c r="BY63" s="55"/>
      <c r="BZ63" s="55"/>
      <c r="CA63" s="55"/>
      <c r="CB63" s="55"/>
      <c r="CC63" s="55"/>
      <c r="CD63" s="55"/>
      <c r="CE63" s="55"/>
      <c r="CF63" s="55"/>
      <c r="CG63" s="55"/>
      <c r="CH63" s="55"/>
    </row>
    <row r="64" ht="16.5" customHeight="1">
      <c r="A64" s="55"/>
      <c r="B64" s="55"/>
      <c r="C64" s="55"/>
      <c r="D64" s="55"/>
      <c r="E64" s="55"/>
      <c r="F64" s="55"/>
      <c r="G64" s="55"/>
      <c r="H64" s="64" t="str">
        <f>IFERROR(__xludf.DUMMYFUNCTION("IFERROR(
  AVERAGE(FILTER(data!B$2:B1000, data!A$2:A1000=$F64, data!D$2:D1000=$G64, data!E$2:E1000=2))
  -
  AVERAGE(FILTER(data!B$2:B1000, data!A$2:A1000=$F64, data!D$2:D1000=$G64, data!E$2:E1000=1))
, """")
"),"")</f>
        <v/>
      </c>
      <c r="I64" s="64" t="str">
        <f>IFERROR(__xludf.DUMMYFUNCTION("IFERROR(
  AVERAGE(FILTER(data!B$2:B1000, data!A$2:A1000=$F64, data!D$2:D1000=$G64, data!E$2:E1000=3))
  -
  AVERAGE(FILTER(data!B$2:B1000, data!A$2:A1000=$F64, data!D$2:D1000=$G64, data!E$2:E1000=2))
, """")
"),"")</f>
        <v/>
      </c>
      <c r="J64" s="64" t="str">
        <f>IFERROR(__xludf.DUMMYFUNCTION("IFERROR(
  AVERAGE(FILTER(data!B$2:B1000, data!A$2:A1000=$F64, data!D$2:D1000=$G64, data!E$2:E1000=3))
  -
  AVERAGE(FILTER(data!B$2:B1000, data!A$2:A1000=$F64, data!D$2:D1000=$G64, data!E$2:E1000=1))
, """")
"),"")</f>
        <v/>
      </c>
      <c r="K64" s="64" t="str">
        <f>IFERROR(__xludf.DUMMYFUNCTION("IFERROR(
  AVERAGE(FILTER(data!C$2:C1000, data!A$2:A1000=$F64, data!D$2:D1000=$G64, data!E$2:E1000=2))
  -
  AVERAGE(FILTER(data!C$2:C1000, data!A$2:A1000=$F64, data!D$2:D1000=$G64, data!E$2:E1000=1))
, """")
"),"")</f>
        <v/>
      </c>
      <c r="L64" s="64" t="str">
        <f>IFERROR(__xludf.DUMMYFUNCTION("IFERROR(
  AVERAGE(FILTER(data!C$2:C1000, data!A$2:A1000=$F64, data!D$2:D1000=$G64, data!E$2:E1000=3))
  -
  AVERAGE(FILTER(data!C$2:C1000, data!A$2:A1000=$F64, data!D$2:D1000=$G64, data!E$2:E1000=2))
, """")
"),"")</f>
        <v/>
      </c>
      <c r="M64" s="64" t="str">
        <f>IFERROR(__xludf.DUMMYFUNCTION("IFERROR(
  AVERAGE(FILTER(data!C$2:C1000, data!A$2:A1000=$F64, data!D$2:D1000=$G64, data!E$2:E1000=3))
  -
  AVERAGE(FILTER(data!C$2:C1000, data!A$2:A1000=$F64, data!D$2:D1000=$G64, data!E$2:E1000=1))
, """")
"),"")</f>
        <v/>
      </c>
      <c r="N64" s="64" t="str">
        <f t="shared" ref="N64:P64" si="127">IF(H64="",,ABS(H64))
</f>
        <v/>
      </c>
      <c r="O64" s="64" t="str">
        <f t="shared" si="127"/>
        <v/>
      </c>
      <c r="P64" s="64" t="str">
        <f t="shared" si="127"/>
        <v/>
      </c>
      <c r="Q64" s="64" t="str">
        <f t="shared" si="4"/>
        <v/>
      </c>
      <c r="R64" s="64" t="str">
        <f t="shared" ref="R64:S64" si="128">IF(L64="",,ABS(L64))
</f>
        <v/>
      </c>
      <c r="S64" s="64" t="str">
        <f t="shared" si="128"/>
        <v/>
      </c>
      <c r="T64" s="55"/>
      <c r="U64" s="55"/>
      <c r="V64" s="55"/>
      <c r="W64" s="64"/>
      <c r="X64" s="64"/>
      <c r="Y64" s="55"/>
      <c r="Z64" s="55"/>
      <c r="AA64" s="55"/>
      <c r="AB64" s="64" t="str">
        <f>IFERROR(__xludf.DUMMYFUNCTION("IF(AA64="""",,COUNTUNIQUE(FILTER(data!D$2:D1000, data!E$2:E1000=3, data!A$2:A1000=AA64)))
"),"")</f>
        <v/>
      </c>
      <c r="AC64" s="64" t="str">
        <f>IFERROR(__xludf.DUMMYFUNCTION("IF(AA64="""",,ROUND(AVERAGE(FILTER(data!B$2:B1000, data!E$2:E1000=3, data!A$2:A1000=AA64)),2))
"),"")</f>
        <v/>
      </c>
      <c r="AD64" s="64" t="str">
        <f>IFERROR(__xludf.DUMMYFUNCTION("IF(AA64="""",,ROUND(AVERAGE(FILTER(data!C$2:C1000, data!E$2:E1000=3, data!A$2:A1000=AA64)),2))
"),"")</f>
        <v/>
      </c>
      <c r="AE64" s="64" t="str">
        <f>IFERROR(__xludf.DUMMYFUNCTION("IF(AA64="""",,MAX(FILTER(data!B$2:B1000, data!E$2:E1000=3, data!A$2:A1000=AA64))
            -MIN(FILTER(data!B$2:B1000, data!E$2:E1000=3, data!A$2:A1000=AA64)))
"),"")</f>
        <v/>
      </c>
      <c r="AF64" s="64" t="str">
        <f>IFERROR(__xludf.DUMMYFUNCTION("IF(AA64="""",,MAX(FILTER(data!C$2:C1000, data!E$2:E1000=3, data!A$2:A1000=AA64))
            -MIN(FILTER(data!C$2:C1000, data!E$2:E1000=3, data!A$2:A1000=AA64)))
"),"")</f>
        <v/>
      </c>
      <c r="AG64" s="55" t="str">
        <f t="shared" si="100"/>
        <v/>
      </c>
      <c r="AH64" s="55"/>
      <c r="AI64" s="64"/>
      <c r="AJ64" s="64"/>
      <c r="AK64" s="64"/>
      <c r="AL64" s="64"/>
      <c r="AM64" s="64"/>
      <c r="AN64" s="64"/>
      <c r="AO64" s="55"/>
      <c r="AP64" s="55"/>
      <c r="AQ64" s="64"/>
      <c r="AR64" s="64"/>
      <c r="AS64" s="64"/>
      <c r="AT64" s="64"/>
      <c r="AU64" s="64"/>
      <c r="AV64" s="55"/>
      <c r="AW64" s="55"/>
      <c r="AX64" s="64"/>
      <c r="AY64" s="64"/>
      <c r="AZ64" s="64"/>
      <c r="BA64" s="64"/>
      <c r="BB64" s="64"/>
      <c r="BC64" s="55"/>
      <c r="BD64" s="55"/>
      <c r="BE64" s="64"/>
      <c r="BF64" s="55"/>
      <c r="BG64" s="64"/>
      <c r="BH64" s="64"/>
      <c r="BI64" s="64"/>
      <c r="BJ64" s="64"/>
      <c r="BK64" s="55"/>
      <c r="BL64" s="65">
        <f>IFERROR(__xludf.DUMMYFUNCTION("""COMPUTED_VALUE"""),83.0)</f>
        <v>83</v>
      </c>
      <c r="BM64" s="65" t="str">
        <f>IFERROR(__xludf.DUMMYFUNCTION("""COMPUTED_VALUE"""),"B")</f>
        <v>B</v>
      </c>
      <c r="BN64" s="63">
        <f>IFERROR(__xludf.DUMMYFUNCTION("""COMPUTED_VALUE"""),1.0)</f>
        <v>1</v>
      </c>
      <c r="BO64" s="63">
        <f>IFERROR(__xludf.DUMMYFUNCTION("""COMPUTED_VALUE"""),1.0)</f>
        <v>1</v>
      </c>
      <c r="BP64" s="63">
        <f>IFERROR(__xludf.DUMMYFUNCTION("""COMPUTED_VALUE"""),1.0)</f>
        <v>1</v>
      </c>
      <c r="BQ64" s="63">
        <f>IFERROR(__xludf.DUMMYFUNCTION("""COMPUTED_VALUE"""),8.0)</f>
        <v>8</v>
      </c>
      <c r="BR64" s="63">
        <f>IFERROR(__xludf.DUMMYFUNCTION("""COMPUTED_VALUE"""),8.0)</f>
        <v>8</v>
      </c>
      <c r="BS64" s="63">
        <f>IFERROR(__xludf.DUMMYFUNCTION("""COMPUTED_VALUE"""),9.5)</f>
        <v>9.5</v>
      </c>
      <c r="BT64" s="63">
        <v>0.0</v>
      </c>
      <c r="BU64" s="63">
        <v>1.5</v>
      </c>
      <c r="BV64" s="67">
        <v>1.5</v>
      </c>
      <c r="BW64" s="65" t="b">
        <v>0</v>
      </c>
      <c r="BX64" s="55"/>
      <c r="BY64" s="55"/>
      <c r="BZ64" s="55"/>
      <c r="CA64" s="55"/>
      <c r="CB64" s="55"/>
      <c r="CC64" s="55"/>
      <c r="CD64" s="55"/>
      <c r="CE64" s="55"/>
      <c r="CF64" s="55"/>
      <c r="CG64" s="55"/>
      <c r="CH64" s="55"/>
    </row>
    <row r="65" ht="16.5" customHeight="1">
      <c r="A65" s="55"/>
      <c r="B65" s="55"/>
      <c r="C65" s="55"/>
      <c r="D65" s="55"/>
      <c r="E65" s="55"/>
      <c r="F65" s="55"/>
      <c r="G65" s="55"/>
      <c r="H65" s="64" t="str">
        <f>IFERROR(__xludf.DUMMYFUNCTION("IFERROR(
  AVERAGE(FILTER(data!B$2:B1000, data!A$2:A1000=$F65, data!D$2:D1000=$G65, data!E$2:E1000=2))
  -
  AVERAGE(FILTER(data!B$2:B1000, data!A$2:A1000=$F65, data!D$2:D1000=$G65, data!E$2:E1000=1))
, """")
"),"")</f>
        <v/>
      </c>
      <c r="I65" s="64" t="str">
        <f>IFERROR(__xludf.DUMMYFUNCTION("IFERROR(
  AVERAGE(FILTER(data!B$2:B1000, data!A$2:A1000=$F65, data!D$2:D1000=$G65, data!E$2:E1000=3))
  -
  AVERAGE(FILTER(data!B$2:B1000, data!A$2:A1000=$F65, data!D$2:D1000=$G65, data!E$2:E1000=2))
, """")
"),"")</f>
        <v/>
      </c>
      <c r="J65" s="64" t="str">
        <f>IFERROR(__xludf.DUMMYFUNCTION("IFERROR(
  AVERAGE(FILTER(data!B$2:B1000, data!A$2:A1000=$F65, data!D$2:D1000=$G65, data!E$2:E1000=3))
  -
  AVERAGE(FILTER(data!B$2:B1000, data!A$2:A1000=$F65, data!D$2:D1000=$G65, data!E$2:E1000=1))
, """")
"),"")</f>
        <v/>
      </c>
      <c r="K65" s="64" t="str">
        <f>IFERROR(__xludf.DUMMYFUNCTION("IFERROR(
  AVERAGE(FILTER(data!C$2:C1000, data!A$2:A1000=$F65, data!D$2:D1000=$G65, data!E$2:E1000=2))
  -
  AVERAGE(FILTER(data!C$2:C1000, data!A$2:A1000=$F65, data!D$2:D1000=$G65, data!E$2:E1000=1))
, """")
"),"")</f>
        <v/>
      </c>
      <c r="L65" s="64" t="str">
        <f>IFERROR(__xludf.DUMMYFUNCTION("IFERROR(
  AVERAGE(FILTER(data!C$2:C1000, data!A$2:A1000=$F65, data!D$2:D1000=$G65, data!E$2:E1000=3))
  -
  AVERAGE(FILTER(data!C$2:C1000, data!A$2:A1000=$F65, data!D$2:D1000=$G65, data!E$2:E1000=2))
, """")
"),"")</f>
        <v/>
      </c>
      <c r="M65" s="64" t="str">
        <f>IFERROR(__xludf.DUMMYFUNCTION("IFERROR(
  AVERAGE(FILTER(data!C$2:C1000, data!A$2:A1000=$F65, data!D$2:D1000=$G65, data!E$2:E1000=3))
  -
  AVERAGE(FILTER(data!C$2:C1000, data!A$2:A1000=$F65, data!D$2:D1000=$G65, data!E$2:E1000=1))
, """")
"),"")</f>
        <v/>
      </c>
      <c r="N65" s="64" t="str">
        <f t="shared" ref="N65:P65" si="129">IF(H65="",,ABS(H65))
</f>
        <v/>
      </c>
      <c r="O65" s="64" t="str">
        <f t="shared" si="129"/>
        <v/>
      </c>
      <c r="P65" s="64" t="str">
        <f t="shared" si="129"/>
        <v/>
      </c>
      <c r="Q65" s="64" t="str">
        <f t="shared" si="4"/>
        <v/>
      </c>
      <c r="R65" s="64" t="str">
        <f t="shared" ref="R65:S65" si="130">IF(L65="",,ABS(L65))
</f>
        <v/>
      </c>
      <c r="S65" s="64" t="str">
        <f t="shared" si="130"/>
        <v/>
      </c>
      <c r="T65" s="55"/>
      <c r="U65" s="55"/>
      <c r="V65" s="55"/>
      <c r="W65" s="64"/>
      <c r="X65" s="64"/>
      <c r="Y65" s="55"/>
      <c r="Z65" s="55"/>
      <c r="AA65" s="55"/>
      <c r="AB65" s="64" t="str">
        <f>IFERROR(__xludf.DUMMYFUNCTION("IF(AA65="""",,COUNTUNIQUE(FILTER(data!D$2:D1000, data!E$2:E1000=3, data!A$2:A1000=AA65)))
"),"")</f>
        <v/>
      </c>
      <c r="AC65" s="64" t="str">
        <f>IFERROR(__xludf.DUMMYFUNCTION("IF(AA65="""",,ROUND(AVERAGE(FILTER(data!B$2:B1000, data!E$2:E1000=3, data!A$2:A1000=AA65)),2))
"),"")</f>
        <v/>
      </c>
      <c r="AD65" s="64" t="str">
        <f>IFERROR(__xludf.DUMMYFUNCTION("IF(AA65="""",,ROUND(AVERAGE(FILTER(data!C$2:C1000, data!E$2:E1000=3, data!A$2:A1000=AA65)),2))
"),"")</f>
        <v/>
      </c>
      <c r="AE65" s="64" t="str">
        <f>IFERROR(__xludf.DUMMYFUNCTION("IF(AA65="""",,MAX(FILTER(data!B$2:B1000, data!E$2:E1000=3, data!A$2:A1000=AA65))
            -MIN(FILTER(data!B$2:B1000, data!E$2:E1000=3, data!A$2:A1000=AA65)))
"),"")</f>
        <v/>
      </c>
      <c r="AF65" s="64" t="str">
        <f>IFERROR(__xludf.DUMMYFUNCTION("IF(AA65="""",,MAX(FILTER(data!C$2:C1000, data!E$2:E1000=3, data!A$2:A1000=AA65))
            -MIN(FILTER(data!C$2:C1000, data!E$2:E1000=3, data!A$2:A1000=AA65)))
"),"")</f>
        <v/>
      </c>
      <c r="AG65" s="55" t="str">
        <f t="shared" si="100"/>
        <v/>
      </c>
      <c r="AH65" s="55"/>
      <c r="AI65" s="64"/>
      <c r="AJ65" s="64"/>
      <c r="AK65" s="64"/>
      <c r="AL65" s="64"/>
      <c r="AM65" s="64"/>
      <c r="AN65" s="64"/>
      <c r="AO65" s="55"/>
      <c r="AP65" s="55"/>
      <c r="AQ65" s="64"/>
      <c r="AR65" s="64"/>
      <c r="AS65" s="64"/>
      <c r="AT65" s="64"/>
      <c r="AU65" s="64"/>
      <c r="AV65" s="55"/>
      <c r="AW65" s="55"/>
      <c r="AX65" s="64"/>
      <c r="AY65" s="64"/>
      <c r="AZ65" s="64"/>
      <c r="BA65" s="64"/>
      <c r="BB65" s="64"/>
      <c r="BC65" s="55"/>
      <c r="BD65" s="55"/>
      <c r="BE65" s="64"/>
      <c r="BF65" s="55"/>
      <c r="BG65" s="64"/>
      <c r="BH65" s="64"/>
      <c r="BI65" s="64"/>
      <c r="BJ65" s="64"/>
      <c r="BK65" s="55"/>
      <c r="BL65" s="65">
        <f>IFERROR(__xludf.DUMMYFUNCTION("""COMPUTED_VALUE"""),84.0)</f>
        <v>84</v>
      </c>
      <c r="BM65" s="65" t="str">
        <f>IFERROR(__xludf.DUMMYFUNCTION("""COMPUTED_VALUE"""),"A")</f>
        <v>A</v>
      </c>
      <c r="BN65" s="63">
        <f>IFERROR(__xludf.DUMMYFUNCTION("""COMPUTED_VALUE"""),9.0)</f>
        <v>9</v>
      </c>
      <c r="BO65" s="63">
        <f>IFERROR(__xludf.DUMMYFUNCTION("""COMPUTED_VALUE"""),9.0)</f>
        <v>9</v>
      </c>
      <c r="BP65" s="63">
        <f>IFERROR(__xludf.DUMMYFUNCTION("""COMPUTED_VALUE"""),9.0)</f>
        <v>9</v>
      </c>
      <c r="BQ65" s="63">
        <f>IFERROR(__xludf.DUMMYFUNCTION("""COMPUTED_VALUE"""),10.0)</f>
        <v>10</v>
      </c>
      <c r="BR65" s="63">
        <f>IFERROR(__xludf.DUMMYFUNCTION("""COMPUTED_VALUE"""),10.0)</f>
        <v>10</v>
      </c>
      <c r="BS65" s="63">
        <f>IFERROR(__xludf.DUMMYFUNCTION("""COMPUTED_VALUE"""),10.0)</f>
        <v>10</v>
      </c>
      <c r="BT65" s="63">
        <v>0.0</v>
      </c>
      <c r="BU65" s="63">
        <v>0.0</v>
      </c>
      <c r="BV65" s="67">
        <v>0.0</v>
      </c>
      <c r="BW65" s="65" t="b">
        <v>0</v>
      </c>
      <c r="BX65" s="55"/>
      <c r="BY65" s="55"/>
      <c r="BZ65" s="55"/>
      <c r="CA65" s="55"/>
      <c r="CB65" s="55"/>
      <c r="CC65" s="55"/>
      <c r="CD65" s="55"/>
      <c r="CE65" s="55"/>
      <c r="CF65" s="55"/>
      <c r="CG65" s="55"/>
      <c r="CH65" s="55"/>
    </row>
    <row r="66" ht="16.5" customHeight="1">
      <c r="A66" s="55"/>
      <c r="B66" s="55"/>
      <c r="C66" s="55"/>
      <c r="D66" s="55"/>
      <c r="E66" s="55"/>
      <c r="F66" s="55"/>
      <c r="G66" s="55"/>
      <c r="H66" s="64" t="str">
        <f>IFERROR(__xludf.DUMMYFUNCTION("IFERROR(
  AVERAGE(FILTER(data!B$2:B1000, data!A$2:A1000=$F66, data!D$2:D1000=$G66, data!E$2:E1000=2))
  -
  AVERAGE(FILTER(data!B$2:B1000, data!A$2:A1000=$F66, data!D$2:D1000=$G66, data!E$2:E1000=1))
, """")
"),"")</f>
        <v/>
      </c>
      <c r="I66" s="64" t="str">
        <f>IFERROR(__xludf.DUMMYFUNCTION("IFERROR(
  AVERAGE(FILTER(data!B$2:B1000, data!A$2:A1000=$F66, data!D$2:D1000=$G66, data!E$2:E1000=3))
  -
  AVERAGE(FILTER(data!B$2:B1000, data!A$2:A1000=$F66, data!D$2:D1000=$G66, data!E$2:E1000=2))
, """")
"),"")</f>
        <v/>
      </c>
      <c r="J66" s="64" t="str">
        <f>IFERROR(__xludf.DUMMYFUNCTION("IFERROR(
  AVERAGE(FILTER(data!B$2:B1000, data!A$2:A1000=$F66, data!D$2:D1000=$G66, data!E$2:E1000=3))
  -
  AVERAGE(FILTER(data!B$2:B1000, data!A$2:A1000=$F66, data!D$2:D1000=$G66, data!E$2:E1000=1))
, """")
"),"")</f>
        <v/>
      </c>
      <c r="K66" s="64" t="str">
        <f>IFERROR(__xludf.DUMMYFUNCTION("IFERROR(
  AVERAGE(FILTER(data!C$2:C1000, data!A$2:A1000=$F66, data!D$2:D1000=$G66, data!E$2:E1000=2))
  -
  AVERAGE(FILTER(data!C$2:C1000, data!A$2:A1000=$F66, data!D$2:D1000=$G66, data!E$2:E1000=1))
, """")
"),"")</f>
        <v/>
      </c>
      <c r="L66" s="64" t="str">
        <f>IFERROR(__xludf.DUMMYFUNCTION("IFERROR(
  AVERAGE(FILTER(data!C$2:C1000, data!A$2:A1000=$F66, data!D$2:D1000=$G66, data!E$2:E1000=3))
  -
  AVERAGE(FILTER(data!C$2:C1000, data!A$2:A1000=$F66, data!D$2:D1000=$G66, data!E$2:E1000=2))
, """")
"),"")</f>
        <v/>
      </c>
      <c r="M66" s="64" t="str">
        <f>IFERROR(__xludf.DUMMYFUNCTION("IFERROR(
  AVERAGE(FILTER(data!C$2:C1000, data!A$2:A1000=$F66, data!D$2:D1000=$G66, data!E$2:E1000=3))
  -
  AVERAGE(FILTER(data!C$2:C1000, data!A$2:A1000=$F66, data!D$2:D1000=$G66, data!E$2:E1000=1))
, """")
"),"")</f>
        <v/>
      </c>
      <c r="N66" s="64" t="str">
        <f t="shared" ref="N66:P66" si="131">IF(H66="",,ABS(H66))
</f>
        <v/>
      </c>
      <c r="O66" s="64" t="str">
        <f t="shared" si="131"/>
        <v/>
      </c>
      <c r="P66" s="64" t="str">
        <f t="shared" si="131"/>
        <v/>
      </c>
      <c r="Q66" s="64" t="str">
        <f t="shared" si="4"/>
        <v/>
      </c>
      <c r="R66" s="64" t="str">
        <f t="shared" ref="R66:S66" si="132">IF(L66="",,ABS(L66))
</f>
        <v/>
      </c>
      <c r="S66" s="64" t="str">
        <f t="shared" si="132"/>
        <v/>
      </c>
      <c r="T66" s="55"/>
      <c r="U66" s="55"/>
      <c r="V66" s="55"/>
      <c r="W66" s="64"/>
      <c r="X66" s="64"/>
      <c r="Y66" s="55"/>
      <c r="Z66" s="55"/>
      <c r="AA66" s="55"/>
      <c r="AB66" s="64" t="str">
        <f>IFERROR(__xludf.DUMMYFUNCTION("IF(AA66="""",,COUNTUNIQUE(FILTER(data!D$2:D1000, data!E$2:E1000=3, data!A$2:A1000=AA66)))
"),"")</f>
        <v/>
      </c>
      <c r="AC66" s="64" t="str">
        <f>IFERROR(__xludf.DUMMYFUNCTION("IF(AA66="""",,ROUND(AVERAGE(FILTER(data!B$2:B1000, data!E$2:E1000=3, data!A$2:A1000=AA66)),2))
"),"")</f>
        <v/>
      </c>
      <c r="AD66" s="64" t="str">
        <f>IFERROR(__xludf.DUMMYFUNCTION("IF(AA66="""",,ROUND(AVERAGE(FILTER(data!C$2:C1000, data!E$2:E1000=3, data!A$2:A1000=AA66)),2))
"),"")</f>
        <v/>
      </c>
      <c r="AE66" s="64" t="str">
        <f>IFERROR(__xludf.DUMMYFUNCTION("IF(AA66="""",,MAX(FILTER(data!B$2:B1000, data!E$2:E1000=3, data!A$2:A1000=AA66))
            -MIN(FILTER(data!B$2:B1000, data!E$2:E1000=3, data!A$2:A1000=AA66)))
"),"")</f>
        <v/>
      </c>
      <c r="AF66" s="64" t="str">
        <f>IFERROR(__xludf.DUMMYFUNCTION("IF(AA66="""",,MAX(FILTER(data!C$2:C1000, data!E$2:E1000=3, data!A$2:A1000=AA66))
            -MIN(FILTER(data!C$2:C1000, data!E$2:E1000=3, data!A$2:A1000=AA66)))
"),"")</f>
        <v/>
      </c>
      <c r="AG66" s="55" t="str">
        <f t="shared" si="100"/>
        <v/>
      </c>
      <c r="AH66" s="55"/>
      <c r="AI66" s="64"/>
      <c r="AJ66" s="64"/>
      <c r="AK66" s="64"/>
      <c r="AL66" s="64"/>
      <c r="AM66" s="64"/>
      <c r="AN66" s="64"/>
      <c r="AO66" s="55"/>
      <c r="AP66" s="55"/>
      <c r="AQ66" s="64"/>
      <c r="AR66" s="64"/>
      <c r="AS66" s="64"/>
      <c r="AT66" s="64"/>
      <c r="AU66" s="64"/>
      <c r="AV66" s="55"/>
      <c r="AW66" s="55"/>
      <c r="AX66" s="64"/>
      <c r="AY66" s="64"/>
      <c r="AZ66" s="64"/>
      <c r="BA66" s="64"/>
      <c r="BB66" s="64"/>
      <c r="BC66" s="55"/>
      <c r="BD66" s="55"/>
      <c r="BE66" s="64"/>
      <c r="BF66" s="55"/>
      <c r="BG66" s="64"/>
      <c r="BH66" s="64"/>
      <c r="BI66" s="64"/>
      <c r="BJ66" s="64"/>
      <c r="BK66" s="55"/>
      <c r="BL66" s="65">
        <f>IFERROR(__xludf.DUMMYFUNCTION("""COMPUTED_VALUE"""),84.0)</f>
        <v>84</v>
      </c>
      <c r="BM66" s="65" t="str">
        <f>IFERROR(__xludf.DUMMYFUNCTION("""COMPUTED_VALUE"""),"C")</f>
        <v>C</v>
      </c>
      <c r="BN66" s="63">
        <f>IFERROR(__xludf.DUMMYFUNCTION("""COMPUTED_VALUE"""),4.0)</f>
        <v>4</v>
      </c>
      <c r="BO66" s="63">
        <f>IFERROR(__xludf.DUMMYFUNCTION("""COMPUTED_VALUE"""),4.0)</f>
        <v>4</v>
      </c>
      <c r="BP66" s="64"/>
      <c r="BQ66" s="63">
        <f>IFERROR(__xludf.DUMMYFUNCTION("""COMPUTED_VALUE"""),6.5)</f>
        <v>6.5</v>
      </c>
      <c r="BR66" s="63">
        <f>IFERROR(__xludf.DUMMYFUNCTION("""COMPUTED_VALUE"""),6.5)</f>
        <v>6.5</v>
      </c>
      <c r="BS66" s="64"/>
      <c r="BT66" s="63">
        <v>0.0</v>
      </c>
      <c r="BU66" s="64"/>
      <c r="BV66" s="67">
        <v>0.0</v>
      </c>
      <c r="BW66" s="65" t="b">
        <v>0</v>
      </c>
      <c r="BX66" s="55"/>
      <c r="BY66" s="55"/>
      <c r="BZ66" s="55"/>
      <c r="CA66" s="55"/>
      <c r="CB66" s="55"/>
      <c r="CC66" s="55"/>
      <c r="CD66" s="55"/>
      <c r="CE66" s="55"/>
      <c r="CF66" s="55"/>
      <c r="CG66" s="55"/>
      <c r="CH66" s="55"/>
    </row>
    <row r="67" ht="16.5" customHeight="1">
      <c r="A67" s="55"/>
      <c r="B67" s="55"/>
      <c r="C67" s="55"/>
      <c r="D67" s="55"/>
      <c r="E67" s="55"/>
      <c r="F67" s="55"/>
      <c r="G67" s="55"/>
      <c r="H67" s="64" t="str">
        <f>IFERROR(__xludf.DUMMYFUNCTION("IFERROR(
  AVERAGE(FILTER(data!B$2:B1000, data!A$2:A1000=$F67, data!D$2:D1000=$G67, data!E$2:E1000=2))
  -
  AVERAGE(FILTER(data!B$2:B1000, data!A$2:A1000=$F67, data!D$2:D1000=$G67, data!E$2:E1000=1))
, """")
"),"")</f>
        <v/>
      </c>
      <c r="I67" s="64" t="str">
        <f>IFERROR(__xludf.DUMMYFUNCTION("IFERROR(
  AVERAGE(FILTER(data!B$2:B1000, data!A$2:A1000=$F67, data!D$2:D1000=$G67, data!E$2:E1000=3))
  -
  AVERAGE(FILTER(data!B$2:B1000, data!A$2:A1000=$F67, data!D$2:D1000=$G67, data!E$2:E1000=2))
, """")
"),"")</f>
        <v/>
      </c>
      <c r="J67" s="64" t="str">
        <f>IFERROR(__xludf.DUMMYFUNCTION("IFERROR(
  AVERAGE(FILTER(data!B$2:B1000, data!A$2:A1000=$F67, data!D$2:D1000=$G67, data!E$2:E1000=3))
  -
  AVERAGE(FILTER(data!B$2:B1000, data!A$2:A1000=$F67, data!D$2:D1000=$G67, data!E$2:E1000=1))
, """")
"),"")</f>
        <v/>
      </c>
      <c r="K67" s="64" t="str">
        <f>IFERROR(__xludf.DUMMYFUNCTION("IFERROR(
  AVERAGE(FILTER(data!C$2:C1000, data!A$2:A1000=$F67, data!D$2:D1000=$G67, data!E$2:E1000=2))
  -
  AVERAGE(FILTER(data!C$2:C1000, data!A$2:A1000=$F67, data!D$2:D1000=$G67, data!E$2:E1000=1))
, """")
"),"")</f>
        <v/>
      </c>
      <c r="L67" s="64" t="str">
        <f>IFERROR(__xludf.DUMMYFUNCTION("IFERROR(
  AVERAGE(FILTER(data!C$2:C1000, data!A$2:A1000=$F67, data!D$2:D1000=$G67, data!E$2:E1000=3))
  -
  AVERAGE(FILTER(data!C$2:C1000, data!A$2:A1000=$F67, data!D$2:D1000=$G67, data!E$2:E1000=2))
, """")
"),"")</f>
        <v/>
      </c>
      <c r="M67" s="64" t="str">
        <f>IFERROR(__xludf.DUMMYFUNCTION("IFERROR(
  AVERAGE(FILTER(data!C$2:C1000, data!A$2:A1000=$F67, data!D$2:D1000=$G67, data!E$2:E1000=3))
  -
  AVERAGE(FILTER(data!C$2:C1000, data!A$2:A1000=$F67, data!D$2:D1000=$G67, data!E$2:E1000=1))
, """")
"),"")</f>
        <v/>
      </c>
      <c r="N67" s="64" t="str">
        <f t="shared" ref="N67:P67" si="133">IF(H67="",,ABS(H67))
</f>
        <v/>
      </c>
      <c r="O67" s="64" t="str">
        <f t="shared" si="133"/>
        <v/>
      </c>
      <c r="P67" s="64" t="str">
        <f t="shared" si="133"/>
        <v/>
      </c>
      <c r="Q67" s="64" t="str">
        <f t="shared" si="4"/>
        <v/>
      </c>
      <c r="R67" s="64" t="str">
        <f t="shared" ref="R67:S67" si="134">IF(L67="",,ABS(L67))
</f>
        <v/>
      </c>
      <c r="S67" s="64" t="str">
        <f t="shared" si="134"/>
        <v/>
      </c>
      <c r="T67" s="55"/>
      <c r="U67" s="55"/>
      <c r="V67" s="55"/>
      <c r="W67" s="64"/>
      <c r="X67" s="64"/>
      <c r="Y67" s="55"/>
      <c r="Z67" s="55"/>
      <c r="AA67" s="55"/>
      <c r="AB67" s="64" t="str">
        <f>IFERROR(__xludf.DUMMYFUNCTION("IF(AA67="""",,COUNTUNIQUE(FILTER(data!D$2:D1000, data!E$2:E1000=3, data!A$2:A1000=AA67)))
"),"")</f>
        <v/>
      </c>
      <c r="AC67" s="64" t="str">
        <f>IFERROR(__xludf.DUMMYFUNCTION("IF(AA67="""",,ROUND(AVERAGE(FILTER(data!B$2:B1000, data!E$2:E1000=3, data!A$2:A1000=AA67)),2))
"),"")</f>
        <v/>
      </c>
      <c r="AD67" s="64" t="str">
        <f>IFERROR(__xludf.DUMMYFUNCTION("IF(AA67="""",,ROUND(AVERAGE(FILTER(data!C$2:C1000, data!E$2:E1000=3, data!A$2:A1000=AA67)),2))
"),"")</f>
        <v/>
      </c>
      <c r="AE67" s="64" t="str">
        <f>IFERROR(__xludf.DUMMYFUNCTION("IF(AA67="""",,MAX(FILTER(data!B$2:B1000, data!E$2:E1000=3, data!A$2:A1000=AA67))
            -MIN(FILTER(data!B$2:B1000, data!E$2:E1000=3, data!A$2:A1000=AA67)))
"),"")</f>
        <v/>
      </c>
      <c r="AF67" s="64" t="str">
        <f>IFERROR(__xludf.DUMMYFUNCTION("IF(AA67="""",,MAX(FILTER(data!C$2:C1000, data!E$2:E1000=3, data!A$2:A1000=AA67))
            -MIN(FILTER(data!C$2:C1000, data!E$2:E1000=3, data!A$2:A1000=AA67)))
"),"")</f>
        <v/>
      </c>
      <c r="AG67" s="55" t="str">
        <f t="shared" si="100"/>
        <v/>
      </c>
      <c r="AH67" s="55"/>
      <c r="AI67" s="64"/>
      <c r="AJ67" s="64"/>
      <c r="AK67" s="64"/>
      <c r="AL67" s="64"/>
      <c r="AM67" s="64"/>
      <c r="AN67" s="64"/>
      <c r="AO67" s="55"/>
      <c r="AP67" s="55"/>
      <c r="AQ67" s="64"/>
      <c r="AR67" s="64"/>
      <c r="AS67" s="64"/>
      <c r="AT67" s="64"/>
      <c r="AU67" s="64"/>
      <c r="AV67" s="55"/>
      <c r="AW67" s="55"/>
      <c r="AX67" s="64"/>
      <c r="AY67" s="64"/>
      <c r="AZ67" s="64"/>
      <c r="BA67" s="64"/>
      <c r="BB67" s="64"/>
      <c r="BC67" s="55"/>
      <c r="BD67" s="55"/>
      <c r="BE67" s="64"/>
      <c r="BF67" s="55"/>
      <c r="BG67" s="64"/>
      <c r="BH67" s="64"/>
      <c r="BI67" s="64"/>
      <c r="BJ67" s="64"/>
      <c r="BK67" s="55"/>
      <c r="BL67" s="65">
        <f>IFERROR(__xludf.DUMMYFUNCTION("""COMPUTED_VALUE"""),84.0)</f>
        <v>84</v>
      </c>
      <c r="BM67" s="65" t="str">
        <f>IFERROR(__xludf.DUMMYFUNCTION("""COMPUTED_VALUE"""),"E")</f>
        <v>E</v>
      </c>
      <c r="BN67" s="63">
        <f>IFERROR(__xludf.DUMMYFUNCTION("""COMPUTED_VALUE"""),6.5)</f>
        <v>6.5</v>
      </c>
      <c r="BO67" s="63">
        <f>IFERROR(__xludf.DUMMYFUNCTION("""COMPUTED_VALUE"""),7.0)</f>
        <v>7</v>
      </c>
      <c r="BP67" s="63">
        <f>IFERROR(__xludf.DUMMYFUNCTION("""COMPUTED_VALUE"""),6.5)</f>
        <v>6.5</v>
      </c>
      <c r="BQ67" s="63">
        <f>IFERROR(__xludf.DUMMYFUNCTION("""COMPUTED_VALUE"""),5.0)</f>
        <v>5</v>
      </c>
      <c r="BR67" s="63">
        <f>IFERROR(__xludf.DUMMYFUNCTION("""COMPUTED_VALUE"""),5.0)</f>
        <v>5</v>
      </c>
      <c r="BS67" s="63">
        <f>IFERROR(__xludf.DUMMYFUNCTION("""COMPUTED_VALUE"""),5.0)</f>
        <v>5</v>
      </c>
      <c r="BT67" s="63">
        <v>0.5</v>
      </c>
      <c r="BU67" s="63">
        <v>0.5</v>
      </c>
      <c r="BV67" s="67">
        <v>1.0</v>
      </c>
      <c r="BW67" s="65" t="b">
        <v>0</v>
      </c>
      <c r="BX67" s="55"/>
      <c r="BY67" s="55"/>
      <c r="BZ67" s="55"/>
      <c r="CA67" s="55"/>
      <c r="CB67" s="55"/>
      <c r="CC67" s="55"/>
      <c r="CD67" s="55"/>
      <c r="CE67" s="55"/>
      <c r="CF67" s="55"/>
      <c r="CG67" s="55"/>
      <c r="CH67" s="55"/>
    </row>
    <row r="68" ht="16.5" customHeight="1">
      <c r="A68" s="55"/>
      <c r="B68" s="55"/>
      <c r="C68" s="55"/>
      <c r="D68" s="55"/>
      <c r="E68" s="55"/>
      <c r="F68" s="55"/>
      <c r="G68" s="55"/>
      <c r="H68" s="64" t="str">
        <f>IFERROR(__xludf.DUMMYFUNCTION("IFERROR(
  AVERAGE(FILTER(data!B$2:B1000, data!A$2:A1000=$F68, data!D$2:D1000=$G68, data!E$2:E1000=2))
  -
  AVERAGE(FILTER(data!B$2:B1000, data!A$2:A1000=$F68, data!D$2:D1000=$G68, data!E$2:E1000=1))
, """")
"),"")</f>
        <v/>
      </c>
      <c r="I68" s="64" t="str">
        <f>IFERROR(__xludf.DUMMYFUNCTION("IFERROR(
  AVERAGE(FILTER(data!B$2:B1000, data!A$2:A1000=$F68, data!D$2:D1000=$G68, data!E$2:E1000=3))
  -
  AVERAGE(FILTER(data!B$2:B1000, data!A$2:A1000=$F68, data!D$2:D1000=$G68, data!E$2:E1000=2))
, """")
"),"")</f>
        <v/>
      </c>
      <c r="J68" s="64" t="str">
        <f>IFERROR(__xludf.DUMMYFUNCTION("IFERROR(
  AVERAGE(FILTER(data!B$2:B1000, data!A$2:A1000=$F68, data!D$2:D1000=$G68, data!E$2:E1000=3))
  -
  AVERAGE(FILTER(data!B$2:B1000, data!A$2:A1000=$F68, data!D$2:D1000=$G68, data!E$2:E1000=1))
, """")
"),"")</f>
        <v/>
      </c>
      <c r="K68" s="64" t="str">
        <f>IFERROR(__xludf.DUMMYFUNCTION("IFERROR(
  AVERAGE(FILTER(data!C$2:C1000, data!A$2:A1000=$F68, data!D$2:D1000=$G68, data!E$2:E1000=2))
  -
  AVERAGE(FILTER(data!C$2:C1000, data!A$2:A1000=$F68, data!D$2:D1000=$G68, data!E$2:E1000=1))
, """")
"),"")</f>
        <v/>
      </c>
      <c r="L68" s="64" t="str">
        <f>IFERROR(__xludf.DUMMYFUNCTION("IFERROR(
  AVERAGE(FILTER(data!C$2:C1000, data!A$2:A1000=$F68, data!D$2:D1000=$G68, data!E$2:E1000=3))
  -
  AVERAGE(FILTER(data!C$2:C1000, data!A$2:A1000=$F68, data!D$2:D1000=$G68, data!E$2:E1000=2))
, """")
"),"")</f>
        <v/>
      </c>
      <c r="M68" s="64" t="str">
        <f>IFERROR(__xludf.DUMMYFUNCTION("IFERROR(
  AVERAGE(FILTER(data!C$2:C1000, data!A$2:A1000=$F68, data!D$2:D1000=$G68, data!E$2:E1000=3))
  -
  AVERAGE(FILTER(data!C$2:C1000, data!A$2:A1000=$F68, data!D$2:D1000=$G68, data!E$2:E1000=1))
, """")
"),"")</f>
        <v/>
      </c>
      <c r="N68" s="64" t="str">
        <f t="shared" ref="N68:P68" si="135">IF(H68="",,ABS(H68))
</f>
        <v/>
      </c>
      <c r="O68" s="64" t="str">
        <f t="shared" si="135"/>
        <v/>
      </c>
      <c r="P68" s="64" t="str">
        <f t="shared" si="135"/>
        <v/>
      </c>
      <c r="Q68" s="64" t="str">
        <f t="shared" si="4"/>
        <v/>
      </c>
      <c r="R68" s="64" t="str">
        <f t="shared" ref="R68:S68" si="136">IF(L68="",,ABS(L68))
</f>
        <v/>
      </c>
      <c r="S68" s="64" t="str">
        <f t="shared" si="136"/>
        <v/>
      </c>
      <c r="T68" s="55"/>
      <c r="U68" s="55"/>
      <c r="V68" s="55"/>
      <c r="W68" s="64"/>
      <c r="X68" s="64"/>
      <c r="Y68" s="55"/>
      <c r="Z68" s="55"/>
      <c r="AA68" s="55"/>
      <c r="AB68" s="64" t="str">
        <f>IFERROR(__xludf.DUMMYFUNCTION("IF(AA68="""",,COUNTUNIQUE(FILTER(data!D$2:D1000, data!E$2:E1000=3, data!A$2:A1000=AA68)))
"),"")</f>
        <v/>
      </c>
      <c r="AC68" s="64"/>
      <c r="AD68" s="64"/>
      <c r="AE68" s="64"/>
      <c r="AF68" s="64"/>
      <c r="AG68" s="55"/>
      <c r="AH68" s="55"/>
      <c r="AI68" s="64"/>
      <c r="AJ68" s="64"/>
      <c r="AK68" s="64"/>
      <c r="AL68" s="64"/>
      <c r="AM68" s="64"/>
      <c r="AN68" s="64"/>
      <c r="AO68" s="55"/>
      <c r="AP68" s="55"/>
      <c r="AQ68" s="64"/>
      <c r="AR68" s="64"/>
      <c r="AS68" s="64"/>
      <c r="AT68" s="64"/>
      <c r="AU68" s="64"/>
      <c r="AV68" s="55"/>
      <c r="AW68" s="55"/>
      <c r="AX68" s="64"/>
      <c r="AY68" s="64"/>
      <c r="AZ68" s="64"/>
      <c r="BA68" s="64"/>
      <c r="BB68" s="64"/>
      <c r="BC68" s="55"/>
      <c r="BD68" s="55"/>
      <c r="BE68" s="64"/>
      <c r="BF68" s="55"/>
      <c r="BG68" s="64"/>
      <c r="BH68" s="64"/>
      <c r="BI68" s="64"/>
      <c r="BJ68" s="64"/>
      <c r="BK68" s="55"/>
      <c r="BL68" s="65">
        <f>IFERROR(__xludf.DUMMYFUNCTION("""COMPUTED_VALUE"""),85.0)</f>
        <v>85</v>
      </c>
      <c r="BM68" s="65" t="str">
        <f>IFERROR(__xludf.DUMMYFUNCTION("""COMPUTED_VALUE"""),"A")</f>
        <v>A</v>
      </c>
      <c r="BN68" s="63">
        <f>IFERROR(__xludf.DUMMYFUNCTION("""COMPUTED_VALUE"""),9.5)</f>
        <v>9.5</v>
      </c>
      <c r="BO68" s="63">
        <f>IFERROR(__xludf.DUMMYFUNCTION("""COMPUTED_VALUE"""),7.0)</f>
        <v>7</v>
      </c>
      <c r="BP68" s="63">
        <f>IFERROR(__xludf.DUMMYFUNCTION("""COMPUTED_VALUE"""),7.0)</f>
        <v>7</v>
      </c>
      <c r="BQ68" s="63">
        <f>IFERROR(__xludf.DUMMYFUNCTION("""COMPUTED_VALUE"""),7.5)</f>
        <v>7.5</v>
      </c>
      <c r="BR68" s="63">
        <f>IFERROR(__xludf.DUMMYFUNCTION("""COMPUTED_VALUE"""),6.0)</f>
        <v>6</v>
      </c>
      <c r="BS68" s="63">
        <f>IFERROR(__xludf.DUMMYFUNCTION("""COMPUTED_VALUE"""),6.0)</f>
        <v>6</v>
      </c>
      <c r="BT68" s="63">
        <v>4.0</v>
      </c>
      <c r="BU68" s="63">
        <v>0.0</v>
      </c>
      <c r="BV68" s="67">
        <v>4.0</v>
      </c>
      <c r="BW68" s="65" t="b">
        <v>1</v>
      </c>
      <c r="BX68" s="55"/>
      <c r="BY68" s="55"/>
      <c r="BZ68" s="55"/>
      <c r="CA68" s="55"/>
      <c r="CB68" s="55"/>
      <c r="CC68" s="55"/>
      <c r="CD68" s="55"/>
      <c r="CE68" s="55"/>
      <c r="CF68" s="55"/>
      <c r="CG68" s="55"/>
      <c r="CH68" s="55"/>
    </row>
    <row r="69" ht="16.5" customHeight="1">
      <c r="A69" s="55"/>
      <c r="B69" s="55"/>
      <c r="C69" s="55"/>
      <c r="D69" s="55"/>
      <c r="E69" s="55"/>
      <c r="F69" s="55"/>
      <c r="G69" s="55"/>
      <c r="H69" s="64" t="str">
        <f>IFERROR(__xludf.DUMMYFUNCTION("IFERROR(
  AVERAGE(FILTER(data!B$2:B1000, data!A$2:A1000=$F69, data!D$2:D1000=$G69, data!E$2:E1000=2))
  -
  AVERAGE(FILTER(data!B$2:B1000, data!A$2:A1000=$F69, data!D$2:D1000=$G69, data!E$2:E1000=1))
, """")
"),"")</f>
        <v/>
      </c>
      <c r="I69" s="64" t="str">
        <f>IFERROR(__xludf.DUMMYFUNCTION("IFERROR(
  AVERAGE(FILTER(data!B$2:B1000, data!A$2:A1000=$F69, data!D$2:D1000=$G69, data!E$2:E1000=3))
  -
  AVERAGE(FILTER(data!B$2:B1000, data!A$2:A1000=$F69, data!D$2:D1000=$G69, data!E$2:E1000=2))
, """")
"),"")</f>
        <v/>
      </c>
      <c r="J69" s="64" t="str">
        <f>IFERROR(__xludf.DUMMYFUNCTION("IFERROR(
  AVERAGE(FILTER(data!B$2:B1000, data!A$2:A1000=$F69, data!D$2:D1000=$G69, data!E$2:E1000=3))
  -
  AVERAGE(FILTER(data!B$2:B1000, data!A$2:A1000=$F69, data!D$2:D1000=$G69, data!E$2:E1000=1))
, """")
"),"")</f>
        <v/>
      </c>
      <c r="K69" s="64" t="str">
        <f>IFERROR(__xludf.DUMMYFUNCTION("IFERROR(
  AVERAGE(FILTER(data!C$2:C1000, data!A$2:A1000=$F69, data!D$2:D1000=$G69, data!E$2:E1000=2))
  -
  AVERAGE(FILTER(data!C$2:C1000, data!A$2:A1000=$F69, data!D$2:D1000=$G69, data!E$2:E1000=1))
, """")
"),"")</f>
        <v/>
      </c>
      <c r="L69" s="64" t="str">
        <f>IFERROR(__xludf.DUMMYFUNCTION("IFERROR(
  AVERAGE(FILTER(data!C$2:C1000, data!A$2:A1000=$F69, data!D$2:D1000=$G69, data!E$2:E1000=3))
  -
  AVERAGE(FILTER(data!C$2:C1000, data!A$2:A1000=$F69, data!D$2:D1000=$G69, data!E$2:E1000=2))
, """")
"),"")</f>
        <v/>
      </c>
      <c r="M69" s="64" t="str">
        <f>IFERROR(__xludf.DUMMYFUNCTION("IFERROR(
  AVERAGE(FILTER(data!C$2:C1000, data!A$2:A1000=$F69, data!D$2:D1000=$G69, data!E$2:E1000=3))
  -
  AVERAGE(FILTER(data!C$2:C1000, data!A$2:A1000=$F69, data!D$2:D1000=$G69, data!E$2:E1000=1))
, """")
"),"")</f>
        <v/>
      </c>
      <c r="N69" s="64" t="str">
        <f t="shared" ref="N69:P69" si="137">IF(H69="",,ABS(H69))
</f>
        <v/>
      </c>
      <c r="O69" s="64" t="str">
        <f t="shared" si="137"/>
        <v/>
      </c>
      <c r="P69" s="64" t="str">
        <f t="shared" si="137"/>
        <v/>
      </c>
      <c r="Q69" s="64" t="str">
        <f t="shared" si="4"/>
        <v/>
      </c>
      <c r="R69" s="64" t="str">
        <f t="shared" ref="R69:S69" si="138">IF(L69="",,ABS(L69))
</f>
        <v/>
      </c>
      <c r="S69" s="64" t="str">
        <f t="shared" si="138"/>
        <v/>
      </c>
      <c r="T69" s="55"/>
      <c r="U69" s="55"/>
      <c r="V69" s="55"/>
      <c r="W69" s="64"/>
      <c r="X69" s="64"/>
      <c r="Y69" s="55"/>
      <c r="Z69" s="55"/>
      <c r="AA69" s="55"/>
      <c r="AB69" s="64"/>
      <c r="AC69" s="64"/>
      <c r="AD69" s="64"/>
      <c r="AE69" s="64"/>
      <c r="AF69" s="64"/>
      <c r="AG69" s="55"/>
      <c r="AH69" s="55"/>
      <c r="AI69" s="64"/>
      <c r="AJ69" s="64"/>
      <c r="AK69" s="64"/>
      <c r="AL69" s="64"/>
      <c r="AM69" s="64"/>
      <c r="AN69" s="64"/>
      <c r="AO69" s="55"/>
      <c r="AP69" s="55"/>
      <c r="AQ69" s="64"/>
      <c r="AR69" s="64"/>
      <c r="AS69" s="64"/>
      <c r="AT69" s="64"/>
      <c r="AU69" s="64"/>
      <c r="AV69" s="55"/>
      <c r="AW69" s="55"/>
      <c r="AX69" s="64"/>
      <c r="AY69" s="64"/>
      <c r="AZ69" s="64"/>
      <c r="BA69" s="64"/>
      <c r="BB69" s="64"/>
      <c r="BC69" s="55"/>
      <c r="BD69" s="55"/>
      <c r="BE69" s="64"/>
      <c r="BF69" s="55"/>
      <c r="BG69" s="64"/>
      <c r="BH69" s="64"/>
      <c r="BI69" s="64"/>
      <c r="BJ69" s="64"/>
      <c r="BK69" s="55"/>
      <c r="BL69" s="65">
        <f>IFERROR(__xludf.DUMMYFUNCTION("""COMPUTED_VALUE"""),85.0)</f>
        <v>85</v>
      </c>
      <c r="BM69" s="65" t="str">
        <f>IFERROR(__xludf.DUMMYFUNCTION("""COMPUTED_VALUE"""),"C")</f>
        <v>C</v>
      </c>
      <c r="BN69" s="63">
        <f>IFERROR(__xludf.DUMMYFUNCTION("""COMPUTED_VALUE"""),7.0)</f>
        <v>7</v>
      </c>
      <c r="BO69" s="63">
        <f>IFERROR(__xludf.DUMMYFUNCTION("""COMPUTED_VALUE"""),7.0)</f>
        <v>7</v>
      </c>
      <c r="BP69" s="64"/>
      <c r="BQ69" s="63">
        <f>IFERROR(__xludf.DUMMYFUNCTION("""COMPUTED_VALUE"""),5.0)</f>
        <v>5</v>
      </c>
      <c r="BR69" s="63">
        <f>IFERROR(__xludf.DUMMYFUNCTION("""COMPUTED_VALUE"""),5.0)</f>
        <v>5</v>
      </c>
      <c r="BS69" s="64"/>
      <c r="BT69" s="63">
        <v>0.0</v>
      </c>
      <c r="BU69" s="64"/>
      <c r="BV69" s="67">
        <v>0.0</v>
      </c>
      <c r="BW69" s="65" t="b">
        <v>0</v>
      </c>
      <c r="BX69" s="55"/>
      <c r="BY69" s="55"/>
      <c r="BZ69" s="55"/>
      <c r="CA69" s="55"/>
      <c r="CB69" s="55"/>
      <c r="CC69" s="55"/>
      <c r="CD69" s="55"/>
      <c r="CE69" s="55"/>
      <c r="CF69" s="55"/>
      <c r="CG69" s="55"/>
      <c r="CH69" s="55"/>
    </row>
    <row r="70" ht="16.5" customHeight="1">
      <c r="A70" s="55"/>
      <c r="B70" s="55"/>
      <c r="C70" s="55"/>
      <c r="D70" s="55"/>
      <c r="E70" s="55"/>
      <c r="F70" s="55"/>
      <c r="G70" s="55"/>
      <c r="H70" s="64" t="str">
        <f>IFERROR(__xludf.DUMMYFUNCTION("IFERROR(
  AVERAGE(FILTER(data!B$2:B1000, data!A$2:A1000=$F70, data!D$2:D1000=$G70, data!E$2:E1000=2))
  -
  AVERAGE(FILTER(data!B$2:B1000, data!A$2:A1000=$F70, data!D$2:D1000=$G70, data!E$2:E1000=1))
, """")
"),"")</f>
        <v/>
      </c>
      <c r="I70" s="64" t="str">
        <f>IFERROR(__xludf.DUMMYFUNCTION("IFERROR(
  AVERAGE(FILTER(data!B$2:B1000, data!A$2:A1000=$F70, data!D$2:D1000=$G70, data!E$2:E1000=3))
  -
  AVERAGE(FILTER(data!B$2:B1000, data!A$2:A1000=$F70, data!D$2:D1000=$G70, data!E$2:E1000=2))
, """")
"),"")</f>
        <v/>
      </c>
      <c r="J70" s="64" t="str">
        <f>IFERROR(__xludf.DUMMYFUNCTION("IFERROR(
  AVERAGE(FILTER(data!B$2:B1000, data!A$2:A1000=$F70, data!D$2:D1000=$G70, data!E$2:E1000=3))
  -
  AVERAGE(FILTER(data!B$2:B1000, data!A$2:A1000=$F70, data!D$2:D1000=$G70, data!E$2:E1000=1))
, """")
"),"")</f>
        <v/>
      </c>
      <c r="K70" s="64" t="str">
        <f>IFERROR(__xludf.DUMMYFUNCTION("IFERROR(
  AVERAGE(FILTER(data!C$2:C1000, data!A$2:A1000=$F70, data!D$2:D1000=$G70, data!E$2:E1000=2))
  -
  AVERAGE(FILTER(data!C$2:C1000, data!A$2:A1000=$F70, data!D$2:D1000=$G70, data!E$2:E1000=1))
, """")
"),"")</f>
        <v/>
      </c>
      <c r="L70" s="64" t="str">
        <f>IFERROR(__xludf.DUMMYFUNCTION("IFERROR(
  AVERAGE(FILTER(data!C$2:C1000, data!A$2:A1000=$F70, data!D$2:D1000=$G70, data!E$2:E1000=3))
  -
  AVERAGE(FILTER(data!C$2:C1000, data!A$2:A1000=$F70, data!D$2:D1000=$G70, data!E$2:E1000=2))
, """")
"),"")</f>
        <v/>
      </c>
      <c r="M70" s="64" t="str">
        <f>IFERROR(__xludf.DUMMYFUNCTION("IFERROR(
  AVERAGE(FILTER(data!C$2:C1000, data!A$2:A1000=$F70, data!D$2:D1000=$G70, data!E$2:E1000=3))
  -
  AVERAGE(FILTER(data!C$2:C1000, data!A$2:A1000=$F70, data!D$2:D1000=$G70, data!E$2:E1000=1))
, """")
"),"")</f>
        <v/>
      </c>
      <c r="N70" s="64" t="str">
        <f t="shared" ref="N70:P70" si="139">IF(H70="",,ABS(H70))
</f>
        <v/>
      </c>
      <c r="O70" s="64" t="str">
        <f t="shared" si="139"/>
        <v/>
      </c>
      <c r="P70" s="64" t="str">
        <f t="shared" si="139"/>
        <v/>
      </c>
      <c r="Q70" s="64" t="str">
        <f t="shared" si="4"/>
        <v/>
      </c>
      <c r="R70" s="64" t="str">
        <f t="shared" ref="R70:S70" si="140">IF(L70="",,ABS(L70))
</f>
        <v/>
      </c>
      <c r="S70" s="64" t="str">
        <f t="shared" si="140"/>
        <v/>
      </c>
      <c r="T70" s="55"/>
      <c r="U70" s="55"/>
      <c r="V70" s="55"/>
      <c r="W70" s="64"/>
      <c r="X70" s="64"/>
      <c r="Y70" s="55"/>
      <c r="Z70" s="55"/>
      <c r="AA70" s="55"/>
      <c r="AB70" s="64"/>
      <c r="AC70" s="64"/>
      <c r="AD70" s="64"/>
      <c r="AE70" s="64"/>
      <c r="AF70" s="64"/>
      <c r="AG70" s="55"/>
      <c r="AH70" s="55"/>
      <c r="AI70" s="64"/>
      <c r="AJ70" s="64"/>
      <c r="AK70" s="64"/>
      <c r="AL70" s="64"/>
      <c r="AM70" s="64"/>
      <c r="AN70" s="64"/>
      <c r="AO70" s="55"/>
      <c r="AP70" s="55"/>
      <c r="AQ70" s="64"/>
      <c r="AR70" s="64"/>
      <c r="AS70" s="64"/>
      <c r="AT70" s="64"/>
      <c r="AU70" s="64"/>
      <c r="AV70" s="55"/>
      <c r="AW70" s="55"/>
      <c r="AX70" s="64"/>
      <c r="AY70" s="64"/>
      <c r="AZ70" s="64"/>
      <c r="BA70" s="64"/>
      <c r="BB70" s="64"/>
      <c r="BC70" s="55"/>
      <c r="BD70" s="55"/>
      <c r="BE70" s="64"/>
      <c r="BF70" s="55"/>
      <c r="BG70" s="64"/>
      <c r="BH70" s="64"/>
      <c r="BI70" s="64"/>
      <c r="BJ70" s="64"/>
      <c r="BK70" s="55"/>
      <c r="BL70" s="65">
        <f>IFERROR(__xludf.DUMMYFUNCTION("""COMPUTED_VALUE"""),86.0)</f>
        <v>86</v>
      </c>
      <c r="BM70" s="65" t="str">
        <f>IFERROR(__xludf.DUMMYFUNCTION("""COMPUTED_VALUE"""),"A")</f>
        <v>A</v>
      </c>
      <c r="BN70" s="63">
        <f>IFERROR(__xludf.DUMMYFUNCTION("""COMPUTED_VALUE"""),8.0)</f>
        <v>8</v>
      </c>
      <c r="BO70" s="63">
        <f>IFERROR(__xludf.DUMMYFUNCTION("""COMPUTED_VALUE"""),7.0)</f>
        <v>7</v>
      </c>
      <c r="BP70" s="63">
        <f>IFERROR(__xludf.DUMMYFUNCTION("""COMPUTED_VALUE"""),7.0)</f>
        <v>7</v>
      </c>
      <c r="BQ70" s="63">
        <f>IFERROR(__xludf.DUMMYFUNCTION("""COMPUTED_VALUE"""),5.0)</f>
        <v>5</v>
      </c>
      <c r="BR70" s="63">
        <f>IFERROR(__xludf.DUMMYFUNCTION("""COMPUTED_VALUE"""),5.0)</f>
        <v>5</v>
      </c>
      <c r="BS70" s="63">
        <f>IFERROR(__xludf.DUMMYFUNCTION("""COMPUTED_VALUE"""),5.0)</f>
        <v>5</v>
      </c>
      <c r="BT70" s="63">
        <v>1.0</v>
      </c>
      <c r="BU70" s="63">
        <v>0.0</v>
      </c>
      <c r="BV70" s="67">
        <v>1.0</v>
      </c>
      <c r="BW70" s="65" t="b">
        <v>0</v>
      </c>
      <c r="BX70" s="55"/>
      <c r="BY70" s="55"/>
      <c r="BZ70" s="55"/>
      <c r="CA70" s="55"/>
      <c r="CB70" s="55"/>
      <c r="CC70" s="55"/>
      <c r="CD70" s="55"/>
      <c r="CE70" s="55"/>
      <c r="CF70" s="55"/>
      <c r="CG70" s="55"/>
      <c r="CH70" s="55"/>
    </row>
    <row r="71" ht="16.5" customHeight="1">
      <c r="A71" s="55"/>
      <c r="B71" s="55"/>
      <c r="C71" s="55"/>
      <c r="D71" s="55"/>
      <c r="E71" s="55"/>
      <c r="F71" s="55"/>
      <c r="G71" s="55"/>
      <c r="H71" s="64" t="str">
        <f>IFERROR(__xludf.DUMMYFUNCTION("IFERROR(
  AVERAGE(FILTER(data!B$2:B1000, data!A$2:A1000=$F71, data!D$2:D1000=$G71, data!E$2:E1000=2))
  -
  AVERAGE(FILTER(data!B$2:B1000, data!A$2:A1000=$F71, data!D$2:D1000=$G71, data!E$2:E1000=1))
, """")
"),"")</f>
        <v/>
      </c>
      <c r="I71" s="64" t="str">
        <f>IFERROR(__xludf.DUMMYFUNCTION("IFERROR(
  AVERAGE(FILTER(data!B$2:B1000, data!A$2:A1000=$F71, data!D$2:D1000=$G71, data!E$2:E1000=3))
  -
  AVERAGE(FILTER(data!B$2:B1000, data!A$2:A1000=$F71, data!D$2:D1000=$G71, data!E$2:E1000=2))
, """")
"),"")</f>
        <v/>
      </c>
      <c r="J71" s="64" t="str">
        <f>IFERROR(__xludf.DUMMYFUNCTION("IFERROR(
  AVERAGE(FILTER(data!B$2:B1000, data!A$2:A1000=$F71, data!D$2:D1000=$G71, data!E$2:E1000=3))
  -
  AVERAGE(FILTER(data!B$2:B1000, data!A$2:A1000=$F71, data!D$2:D1000=$G71, data!E$2:E1000=1))
, """")
"),"")</f>
        <v/>
      </c>
      <c r="K71" s="64" t="str">
        <f>IFERROR(__xludf.DUMMYFUNCTION("IFERROR(
  AVERAGE(FILTER(data!C$2:C1000, data!A$2:A1000=$F71, data!D$2:D1000=$G71, data!E$2:E1000=2))
  -
  AVERAGE(FILTER(data!C$2:C1000, data!A$2:A1000=$F71, data!D$2:D1000=$G71, data!E$2:E1000=1))
, """")
"),"")</f>
        <v/>
      </c>
      <c r="L71" s="64" t="str">
        <f>IFERROR(__xludf.DUMMYFUNCTION("IFERROR(
  AVERAGE(FILTER(data!C$2:C1000, data!A$2:A1000=$F71, data!D$2:D1000=$G71, data!E$2:E1000=3))
  -
  AVERAGE(FILTER(data!C$2:C1000, data!A$2:A1000=$F71, data!D$2:D1000=$G71, data!E$2:E1000=2))
, """")
"),"")</f>
        <v/>
      </c>
      <c r="M71" s="64" t="str">
        <f>IFERROR(__xludf.DUMMYFUNCTION("IFERROR(
  AVERAGE(FILTER(data!C$2:C1000, data!A$2:A1000=$F71, data!D$2:D1000=$G71, data!E$2:E1000=3))
  -
  AVERAGE(FILTER(data!C$2:C1000, data!A$2:A1000=$F71, data!D$2:D1000=$G71, data!E$2:E1000=1))
, """")
"),"")</f>
        <v/>
      </c>
      <c r="N71" s="64" t="str">
        <f t="shared" ref="N71:P71" si="141">IF(H71="",,ABS(H71))
</f>
        <v/>
      </c>
      <c r="O71" s="64" t="str">
        <f t="shared" si="141"/>
        <v/>
      </c>
      <c r="P71" s="64" t="str">
        <f t="shared" si="141"/>
        <v/>
      </c>
      <c r="Q71" s="64" t="str">
        <f t="shared" si="4"/>
        <v/>
      </c>
      <c r="R71" s="64" t="str">
        <f t="shared" ref="R71:S71" si="142">IF(L71="",,ABS(L71))
</f>
        <v/>
      </c>
      <c r="S71" s="64" t="str">
        <f t="shared" si="142"/>
        <v/>
      </c>
      <c r="T71" s="55"/>
      <c r="U71" s="55"/>
      <c r="V71" s="55"/>
      <c r="W71" s="64"/>
      <c r="X71" s="64"/>
      <c r="Y71" s="55"/>
      <c r="Z71" s="55"/>
      <c r="AA71" s="55"/>
      <c r="AB71" s="64"/>
      <c r="AC71" s="64"/>
      <c r="AD71" s="64"/>
      <c r="AE71" s="64"/>
      <c r="AF71" s="64"/>
      <c r="AG71" s="55"/>
      <c r="AH71" s="55"/>
      <c r="AI71" s="64"/>
      <c r="AJ71" s="64"/>
      <c r="AK71" s="64"/>
      <c r="AL71" s="64"/>
      <c r="AM71" s="64"/>
      <c r="AN71" s="64"/>
      <c r="AO71" s="55"/>
      <c r="AP71" s="55"/>
      <c r="AQ71" s="64"/>
      <c r="AR71" s="64"/>
      <c r="AS71" s="64"/>
      <c r="AT71" s="64"/>
      <c r="AU71" s="64"/>
      <c r="AV71" s="55"/>
      <c r="AW71" s="55"/>
      <c r="AX71" s="64"/>
      <c r="AY71" s="64"/>
      <c r="AZ71" s="64"/>
      <c r="BA71" s="64"/>
      <c r="BB71" s="64"/>
      <c r="BC71" s="55"/>
      <c r="BD71" s="55"/>
      <c r="BE71" s="64"/>
      <c r="BF71" s="55"/>
      <c r="BG71" s="64"/>
      <c r="BH71" s="64"/>
      <c r="BI71" s="64"/>
      <c r="BJ71" s="64"/>
      <c r="BK71" s="55"/>
      <c r="BL71" s="65">
        <f>IFERROR(__xludf.DUMMYFUNCTION("""COMPUTED_VALUE"""),87.0)</f>
        <v>87</v>
      </c>
      <c r="BM71" s="65" t="str">
        <f>IFERROR(__xludf.DUMMYFUNCTION("""COMPUTED_VALUE"""),"B")</f>
        <v>B</v>
      </c>
      <c r="BN71" s="63">
        <f>IFERROR(__xludf.DUMMYFUNCTION("""COMPUTED_VALUE"""),4.0)</f>
        <v>4</v>
      </c>
      <c r="BO71" s="63">
        <f>IFERROR(__xludf.DUMMYFUNCTION("""COMPUTED_VALUE"""),4.0)</f>
        <v>4</v>
      </c>
      <c r="BP71" s="63">
        <f>IFERROR(__xludf.DUMMYFUNCTION("""COMPUTED_VALUE"""),3.5)</f>
        <v>3.5</v>
      </c>
      <c r="BQ71" s="63">
        <f>IFERROR(__xludf.DUMMYFUNCTION("""COMPUTED_VALUE"""),8.0)</f>
        <v>8</v>
      </c>
      <c r="BR71" s="63">
        <f>IFERROR(__xludf.DUMMYFUNCTION("""COMPUTED_VALUE"""),8.0)</f>
        <v>8</v>
      </c>
      <c r="BS71" s="63">
        <f>IFERROR(__xludf.DUMMYFUNCTION("""COMPUTED_VALUE"""),8.0)</f>
        <v>8</v>
      </c>
      <c r="BT71" s="63">
        <v>0.0</v>
      </c>
      <c r="BU71" s="63">
        <v>0.5</v>
      </c>
      <c r="BV71" s="67">
        <v>0.5</v>
      </c>
      <c r="BW71" s="65" t="b">
        <v>0</v>
      </c>
      <c r="BX71" s="55"/>
      <c r="BY71" s="55"/>
      <c r="BZ71" s="55"/>
      <c r="CA71" s="55"/>
      <c r="CB71" s="55"/>
      <c r="CC71" s="55"/>
      <c r="CD71" s="55"/>
      <c r="CE71" s="55"/>
      <c r="CF71" s="55"/>
      <c r="CG71" s="55"/>
      <c r="CH71" s="55"/>
    </row>
    <row r="72" ht="16.5" customHeight="1">
      <c r="A72" s="55"/>
      <c r="B72" s="55"/>
      <c r="C72" s="55"/>
      <c r="D72" s="55"/>
      <c r="E72" s="55"/>
      <c r="F72" s="55"/>
      <c r="G72" s="55"/>
      <c r="H72" s="64" t="str">
        <f>IFERROR(__xludf.DUMMYFUNCTION("IFERROR(
  AVERAGE(FILTER(data!B$2:B1000, data!A$2:A1000=$F72, data!D$2:D1000=$G72, data!E$2:E1000=2))
  -
  AVERAGE(FILTER(data!B$2:B1000, data!A$2:A1000=$F72, data!D$2:D1000=$G72, data!E$2:E1000=1))
, """")
"),"")</f>
        <v/>
      </c>
      <c r="I72" s="64" t="str">
        <f>IFERROR(__xludf.DUMMYFUNCTION("IFERROR(
  AVERAGE(FILTER(data!B$2:B1000, data!A$2:A1000=$F72, data!D$2:D1000=$G72, data!E$2:E1000=3))
  -
  AVERAGE(FILTER(data!B$2:B1000, data!A$2:A1000=$F72, data!D$2:D1000=$G72, data!E$2:E1000=2))
, """")
"),"")</f>
        <v/>
      </c>
      <c r="J72" s="64" t="str">
        <f>IFERROR(__xludf.DUMMYFUNCTION("IFERROR(
  AVERAGE(FILTER(data!B$2:B1000, data!A$2:A1000=$F72, data!D$2:D1000=$G72, data!E$2:E1000=3))
  -
  AVERAGE(FILTER(data!B$2:B1000, data!A$2:A1000=$F72, data!D$2:D1000=$G72, data!E$2:E1000=1))
, """")
"),"")</f>
        <v/>
      </c>
      <c r="K72" s="64" t="str">
        <f>IFERROR(__xludf.DUMMYFUNCTION("IFERROR(
  AVERAGE(FILTER(data!C$2:C1000, data!A$2:A1000=$F72, data!D$2:D1000=$G72, data!E$2:E1000=2))
  -
  AVERAGE(FILTER(data!C$2:C1000, data!A$2:A1000=$F72, data!D$2:D1000=$G72, data!E$2:E1000=1))
, """")
"),"")</f>
        <v/>
      </c>
      <c r="L72" s="64" t="str">
        <f>IFERROR(__xludf.DUMMYFUNCTION("IFERROR(
  AVERAGE(FILTER(data!C$2:C1000, data!A$2:A1000=$F72, data!D$2:D1000=$G72, data!E$2:E1000=3))
  -
  AVERAGE(FILTER(data!C$2:C1000, data!A$2:A1000=$F72, data!D$2:D1000=$G72, data!E$2:E1000=2))
, """")
"),"")</f>
        <v/>
      </c>
      <c r="M72" s="64" t="str">
        <f>IFERROR(__xludf.DUMMYFUNCTION("IFERROR(
  AVERAGE(FILTER(data!C$2:C1000, data!A$2:A1000=$F72, data!D$2:D1000=$G72, data!E$2:E1000=3))
  -
  AVERAGE(FILTER(data!C$2:C1000, data!A$2:A1000=$F72, data!D$2:D1000=$G72, data!E$2:E1000=1))
, """")
"),"")</f>
        <v/>
      </c>
      <c r="N72" s="64" t="str">
        <f t="shared" ref="N72:P72" si="143">IF(H72="",,ABS(H72))
</f>
        <v/>
      </c>
      <c r="O72" s="64" t="str">
        <f t="shared" si="143"/>
        <v/>
      </c>
      <c r="P72" s="64" t="str">
        <f t="shared" si="143"/>
        <v/>
      </c>
      <c r="Q72" s="64" t="str">
        <f t="shared" si="4"/>
        <v/>
      </c>
      <c r="R72" s="64" t="str">
        <f t="shared" ref="R72:S72" si="144">IF(L72="",,ABS(L72))
</f>
        <v/>
      </c>
      <c r="S72" s="64" t="str">
        <f t="shared" si="144"/>
        <v/>
      </c>
      <c r="T72" s="55"/>
      <c r="U72" s="55"/>
      <c r="V72" s="55"/>
      <c r="W72" s="64"/>
      <c r="X72" s="64"/>
      <c r="Y72" s="55"/>
      <c r="Z72" s="55"/>
      <c r="AA72" s="55"/>
      <c r="AB72" s="64"/>
      <c r="AC72" s="64"/>
      <c r="AD72" s="64"/>
      <c r="AE72" s="64"/>
      <c r="AF72" s="64"/>
      <c r="AG72" s="55"/>
      <c r="AH72" s="55"/>
      <c r="AI72" s="64"/>
      <c r="AJ72" s="64"/>
      <c r="AK72" s="64"/>
      <c r="AL72" s="64"/>
      <c r="AM72" s="64"/>
      <c r="AN72" s="64"/>
      <c r="AO72" s="55"/>
      <c r="AP72" s="55"/>
      <c r="AQ72" s="64"/>
      <c r="AR72" s="64"/>
      <c r="AS72" s="64"/>
      <c r="AT72" s="64"/>
      <c r="AU72" s="64"/>
      <c r="AV72" s="55"/>
      <c r="AW72" s="55"/>
      <c r="AX72" s="64"/>
      <c r="AY72" s="64"/>
      <c r="AZ72" s="64"/>
      <c r="BA72" s="64"/>
      <c r="BB72" s="64"/>
      <c r="BC72" s="55"/>
      <c r="BD72" s="55"/>
      <c r="BE72" s="64"/>
      <c r="BF72" s="55"/>
      <c r="BG72" s="64"/>
      <c r="BH72" s="64"/>
      <c r="BI72" s="64"/>
      <c r="BJ72" s="64"/>
      <c r="BK72" s="55"/>
      <c r="BL72" s="65">
        <f>IFERROR(__xludf.DUMMYFUNCTION("""COMPUTED_VALUE"""),87.0)</f>
        <v>87</v>
      </c>
      <c r="BM72" s="65" t="str">
        <f>IFERROR(__xludf.DUMMYFUNCTION("""COMPUTED_VALUE"""),"C")</f>
        <v>C</v>
      </c>
      <c r="BN72" s="63">
        <f>IFERROR(__xludf.DUMMYFUNCTION("""COMPUTED_VALUE"""),6.0)</f>
        <v>6</v>
      </c>
      <c r="BO72" s="63">
        <f>IFERROR(__xludf.DUMMYFUNCTION("""COMPUTED_VALUE"""),6.0)</f>
        <v>6</v>
      </c>
      <c r="BP72" s="64"/>
      <c r="BQ72" s="63">
        <f>IFERROR(__xludf.DUMMYFUNCTION("""COMPUTED_VALUE"""),5.0)</f>
        <v>5</v>
      </c>
      <c r="BR72" s="63">
        <f>IFERROR(__xludf.DUMMYFUNCTION("""COMPUTED_VALUE"""),5.0)</f>
        <v>5</v>
      </c>
      <c r="BS72" s="64"/>
      <c r="BT72" s="63">
        <v>0.0</v>
      </c>
      <c r="BU72" s="64"/>
      <c r="BV72" s="67">
        <v>0.0</v>
      </c>
      <c r="BW72" s="65" t="b">
        <v>0</v>
      </c>
      <c r="BX72" s="55"/>
      <c r="BY72" s="55"/>
      <c r="BZ72" s="55"/>
      <c r="CA72" s="55"/>
      <c r="CB72" s="55"/>
      <c r="CC72" s="55"/>
      <c r="CD72" s="55"/>
      <c r="CE72" s="55"/>
      <c r="CF72" s="55"/>
      <c r="CG72" s="55"/>
      <c r="CH72" s="55"/>
    </row>
    <row r="73" ht="16.5" customHeight="1">
      <c r="A73" s="55"/>
      <c r="B73" s="55"/>
      <c r="C73" s="55"/>
      <c r="D73" s="55"/>
      <c r="E73" s="55"/>
      <c r="F73" s="55"/>
      <c r="G73" s="55"/>
      <c r="H73" s="64" t="str">
        <f>IFERROR(__xludf.DUMMYFUNCTION("IFERROR(
  AVERAGE(FILTER(data!B$2:B1000, data!A$2:A1000=$F73, data!D$2:D1000=$G73, data!E$2:E1000=2))
  -
  AVERAGE(FILTER(data!B$2:B1000, data!A$2:A1000=$F73, data!D$2:D1000=$G73, data!E$2:E1000=1))
, """")
"),"")</f>
        <v/>
      </c>
      <c r="I73" s="64" t="str">
        <f>IFERROR(__xludf.DUMMYFUNCTION("IFERROR(
  AVERAGE(FILTER(data!B$2:B1000, data!A$2:A1000=$F73, data!D$2:D1000=$G73, data!E$2:E1000=3))
  -
  AVERAGE(FILTER(data!B$2:B1000, data!A$2:A1000=$F73, data!D$2:D1000=$G73, data!E$2:E1000=2))
, """")
"),"")</f>
        <v/>
      </c>
      <c r="J73" s="64" t="str">
        <f>IFERROR(__xludf.DUMMYFUNCTION("IFERROR(
  AVERAGE(FILTER(data!B$2:B1000, data!A$2:A1000=$F73, data!D$2:D1000=$G73, data!E$2:E1000=3))
  -
  AVERAGE(FILTER(data!B$2:B1000, data!A$2:A1000=$F73, data!D$2:D1000=$G73, data!E$2:E1000=1))
, """")
"),"")</f>
        <v/>
      </c>
      <c r="K73" s="64" t="str">
        <f>IFERROR(__xludf.DUMMYFUNCTION("IFERROR(
  AVERAGE(FILTER(data!C$2:C1000, data!A$2:A1000=$F73, data!D$2:D1000=$G73, data!E$2:E1000=2))
  -
  AVERAGE(FILTER(data!C$2:C1000, data!A$2:A1000=$F73, data!D$2:D1000=$G73, data!E$2:E1000=1))
, """")
"),"")</f>
        <v/>
      </c>
      <c r="L73" s="64" t="str">
        <f>IFERROR(__xludf.DUMMYFUNCTION("IFERROR(
  AVERAGE(FILTER(data!C$2:C1000, data!A$2:A1000=$F73, data!D$2:D1000=$G73, data!E$2:E1000=3))
  -
  AVERAGE(FILTER(data!C$2:C1000, data!A$2:A1000=$F73, data!D$2:D1000=$G73, data!E$2:E1000=2))
, """")
"),"")</f>
        <v/>
      </c>
      <c r="M73" s="64" t="str">
        <f>IFERROR(__xludf.DUMMYFUNCTION("IFERROR(
  AVERAGE(FILTER(data!C$2:C1000, data!A$2:A1000=$F73, data!D$2:D1000=$G73, data!E$2:E1000=3))
  -
  AVERAGE(FILTER(data!C$2:C1000, data!A$2:A1000=$F73, data!D$2:D1000=$G73, data!E$2:E1000=1))
, """")
"),"")</f>
        <v/>
      </c>
      <c r="N73" s="64" t="str">
        <f t="shared" ref="N73:P73" si="145">IF(H73="",,ABS(H73))
</f>
        <v/>
      </c>
      <c r="O73" s="64" t="str">
        <f t="shared" si="145"/>
        <v/>
      </c>
      <c r="P73" s="64" t="str">
        <f t="shared" si="145"/>
        <v/>
      </c>
      <c r="Q73" s="64" t="str">
        <f t="shared" si="4"/>
        <v/>
      </c>
      <c r="R73" s="64" t="str">
        <f t="shared" ref="R73:S73" si="146">IF(L73="",,ABS(L73))
</f>
        <v/>
      </c>
      <c r="S73" s="64" t="str">
        <f t="shared" si="146"/>
        <v/>
      </c>
      <c r="T73" s="55"/>
      <c r="U73" s="55"/>
      <c r="V73" s="55"/>
      <c r="W73" s="64"/>
      <c r="X73" s="64"/>
      <c r="Y73" s="55"/>
      <c r="Z73" s="55"/>
      <c r="AA73" s="55"/>
      <c r="AB73" s="64"/>
      <c r="AC73" s="64"/>
      <c r="AD73" s="64"/>
      <c r="AE73" s="64"/>
      <c r="AF73" s="64"/>
      <c r="AG73" s="55"/>
      <c r="AH73" s="55"/>
      <c r="AI73" s="64"/>
      <c r="AJ73" s="64"/>
      <c r="AK73" s="64"/>
      <c r="AL73" s="64"/>
      <c r="AM73" s="64"/>
      <c r="AN73" s="64"/>
      <c r="AO73" s="55"/>
      <c r="AP73" s="55"/>
      <c r="AQ73" s="64"/>
      <c r="AR73" s="64"/>
      <c r="AS73" s="64"/>
      <c r="AT73" s="64"/>
      <c r="AU73" s="64"/>
      <c r="AV73" s="55"/>
      <c r="AW73" s="55"/>
      <c r="AX73" s="64"/>
      <c r="AY73" s="64"/>
      <c r="AZ73" s="64"/>
      <c r="BA73" s="64"/>
      <c r="BB73" s="64"/>
      <c r="BC73" s="55"/>
      <c r="BD73" s="55"/>
      <c r="BE73" s="64"/>
      <c r="BF73" s="55"/>
      <c r="BG73" s="64"/>
      <c r="BH73" s="64"/>
      <c r="BI73" s="64"/>
      <c r="BJ73" s="64"/>
      <c r="BK73" s="55"/>
      <c r="BL73" s="65">
        <f>IFERROR(__xludf.DUMMYFUNCTION("""COMPUTED_VALUE"""),87.0)</f>
        <v>87</v>
      </c>
      <c r="BM73" s="65" t="str">
        <f>IFERROR(__xludf.DUMMYFUNCTION("""COMPUTED_VALUE"""),"E")</f>
        <v>E</v>
      </c>
      <c r="BN73" s="64"/>
      <c r="BO73" s="63">
        <f>IFERROR(__xludf.DUMMYFUNCTION("""COMPUTED_VALUE"""),3.5)</f>
        <v>3.5</v>
      </c>
      <c r="BP73" s="63">
        <f>IFERROR(__xludf.DUMMYFUNCTION("""COMPUTED_VALUE"""),3.0)</f>
        <v>3</v>
      </c>
      <c r="BQ73" s="64"/>
      <c r="BR73" s="63">
        <f>IFERROR(__xludf.DUMMYFUNCTION("""COMPUTED_VALUE"""),8.0)</f>
        <v>8</v>
      </c>
      <c r="BS73" s="63">
        <f>IFERROR(__xludf.DUMMYFUNCTION("""COMPUTED_VALUE"""),8.0)</f>
        <v>8</v>
      </c>
      <c r="BT73" s="64"/>
      <c r="BU73" s="63">
        <v>0.5</v>
      </c>
      <c r="BV73" s="67">
        <v>0.5</v>
      </c>
      <c r="BW73" s="65" t="b">
        <v>0</v>
      </c>
      <c r="BX73" s="55"/>
      <c r="BY73" s="55"/>
      <c r="BZ73" s="55"/>
      <c r="CA73" s="55"/>
      <c r="CB73" s="55"/>
      <c r="CC73" s="55"/>
      <c r="CD73" s="55"/>
      <c r="CE73" s="55"/>
      <c r="CF73" s="55"/>
      <c r="CG73" s="55"/>
      <c r="CH73" s="55"/>
    </row>
    <row r="74" ht="16.5" customHeight="1">
      <c r="A74" s="55"/>
      <c r="B74" s="55"/>
      <c r="C74" s="55"/>
      <c r="D74" s="55"/>
      <c r="E74" s="55"/>
      <c r="F74" s="55"/>
      <c r="G74" s="55"/>
      <c r="H74" s="64" t="str">
        <f>IFERROR(__xludf.DUMMYFUNCTION("IFERROR(
  AVERAGE(FILTER(data!B$2:B1000, data!A$2:A1000=$F74, data!D$2:D1000=$G74, data!E$2:E1000=2))
  -
  AVERAGE(FILTER(data!B$2:B1000, data!A$2:A1000=$F74, data!D$2:D1000=$G74, data!E$2:E1000=1))
, """")
"),"")</f>
        <v/>
      </c>
      <c r="I74" s="64" t="str">
        <f>IFERROR(__xludf.DUMMYFUNCTION("IFERROR(
  AVERAGE(FILTER(data!B$2:B1000, data!A$2:A1000=$F74, data!D$2:D1000=$G74, data!E$2:E1000=3))
  -
  AVERAGE(FILTER(data!B$2:B1000, data!A$2:A1000=$F74, data!D$2:D1000=$G74, data!E$2:E1000=2))
, """")
"),"")</f>
        <v/>
      </c>
      <c r="J74" s="64" t="str">
        <f>IFERROR(__xludf.DUMMYFUNCTION("IFERROR(
  AVERAGE(FILTER(data!B$2:B1000, data!A$2:A1000=$F74, data!D$2:D1000=$G74, data!E$2:E1000=3))
  -
  AVERAGE(FILTER(data!B$2:B1000, data!A$2:A1000=$F74, data!D$2:D1000=$G74, data!E$2:E1000=1))
, """")
"),"")</f>
        <v/>
      </c>
      <c r="K74" s="64" t="str">
        <f>IFERROR(__xludf.DUMMYFUNCTION("IFERROR(
  AVERAGE(FILTER(data!C$2:C1000, data!A$2:A1000=$F74, data!D$2:D1000=$G74, data!E$2:E1000=2))
  -
  AVERAGE(FILTER(data!C$2:C1000, data!A$2:A1000=$F74, data!D$2:D1000=$G74, data!E$2:E1000=1))
, """")
"),"")</f>
        <v/>
      </c>
      <c r="L74" s="64" t="str">
        <f>IFERROR(__xludf.DUMMYFUNCTION("IFERROR(
  AVERAGE(FILTER(data!C$2:C1000, data!A$2:A1000=$F74, data!D$2:D1000=$G74, data!E$2:E1000=3))
  -
  AVERAGE(FILTER(data!C$2:C1000, data!A$2:A1000=$F74, data!D$2:D1000=$G74, data!E$2:E1000=2))
, """")
"),"")</f>
        <v/>
      </c>
      <c r="M74" s="64" t="str">
        <f>IFERROR(__xludf.DUMMYFUNCTION("IFERROR(
  AVERAGE(FILTER(data!C$2:C1000, data!A$2:A1000=$F74, data!D$2:D1000=$G74, data!E$2:E1000=3))
  -
  AVERAGE(FILTER(data!C$2:C1000, data!A$2:A1000=$F74, data!D$2:D1000=$G74, data!E$2:E1000=1))
, """")
"),"")</f>
        <v/>
      </c>
      <c r="N74" s="64" t="str">
        <f t="shared" ref="N74:P74" si="147">IF(H74="",,ABS(H74))
</f>
        <v/>
      </c>
      <c r="O74" s="64" t="str">
        <f t="shared" si="147"/>
        <v/>
      </c>
      <c r="P74" s="64" t="str">
        <f t="shared" si="147"/>
        <v/>
      </c>
      <c r="Q74" s="64" t="str">
        <f t="shared" si="4"/>
        <v/>
      </c>
      <c r="R74" s="64" t="str">
        <f t="shared" ref="R74:S74" si="148">IF(L74="",,ABS(L74))
</f>
        <v/>
      </c>
      <c r="S74" s="64" t="str">
        <f t="shared" si="148"/>
        <v/>
      </c>
      <c r="T74" s="55"/>
      <c r="U74" s="55"/>
      <c r="V74" s="55"/>
      <c r="W74" s="64"/>
      <c r="X74" s="64"/>
      <c r="Y74" s="55"/>
      <c r="Z74" s="55"/>
      <c r="AA74" s="55"/>
      <c r="AB74" s="64"/>
      <c r="AC74" s="64"/>
      <c r="AD74" s="64"/>
      <c r="AE74" s="64"/>
      <c r="AF74" s="64"/>
      <c r="AG74" s="55"/>
      <c r="AH74" s="55"/>
      <c r="AI74" s="64"/>
      <c r="AJ74" s="64"/>
      <c r="AK74" s="64"/>
      <c r="AL74" s="64"/>
      <c r="AM74" s="64"/>
      <c r="AN74" s="64"/>
      <c r="AO74" s="55"/>
      <c r="AP74" s="55"/>
      <c r="AQ74" s="64"/>
      <c r="AR74" s="64"/>
      <c r="AS74" s="64"/>
      <c r="AT74" s="64"/>
      <c r="AU74" s="64"/>
      <c r="AV74" s="55"/>
      <c r="AW74" s="55"/>
      <c r="AX74" s="64"/>
      <c r="AY74" s="64"/>
      <c r="AZ74" s="64"/>
      <c r="BA74" s="64"/>
      <c r="BB74" s="64"/>
      <c r="BC74" s="55"/>
      <c r="BD74" s="55"/>
      <c r="BE74" s="64"/>
      <c r="BF74" s="55"/>
      <c r="BG74" s="64"/>
      <c r="BH74" s="64"/>
      <c r="BI74" s="64"/>
      <c r="BJ74" s="64"/>
      <c r="BK74" s="55"/>
      <c r="BL74" s="65">
        <f>IFERROR(__xludf.DUMMYFUNCTION("""COMPUTED_VALUE"""),88.0)</f>
        <v>88</v>
      </c>
      <c r="BM74" s="65" t="str">
        <f>IFERROR(__xludf.DUMMYFUNCTION("""COMPUTED_VALUE"""),"B")</f>
        <v>B</v>
      </c>
      <c r="BN74" s="63">
        <f>IFERROR(__xludf.DUMMYFUNCTION("""COMPUTED_VALUE"""),3.5)</f>
        <v>3.5</v>
      </c>
      <c r="BO74" s="63">
        <f>IFERROR(__xludf.DUMMYFUNCTION("""COMPUTED_VALUE"""),3.5)</f>
        <v>3.5</v>
      </c>
      <c r="BP74" s="63">
        <f>IFERROR(__xludf.DUMMYFUNCTION("""COMPUTED_VALUE"""),3.5)</f>
        <v>3.5</v>
      </c>
      <c r="BQ74" s="63">
        <f>IFERROR(__xludf.DUMMYFUNCTION("""COMPUTED_VALUE"""),9.5)</f>
        <v>9.5</v>
      </c>
      <c r="BR74" s="63">
        <f>IFERROR(__xludf.DUMMYFUNCTION("""COMPUTED_VALUE"""),9.5)</f>
        <v>9.5</v>
      </c>
      <c r="BS74" s="63">
        <f>IFERROR(__xludf.DUMMYFUNCTION("""COMPUTED_VALUE"""),9.5)</f>
        <v>9.5</v>
      </c>
      <c r="BT74" s="63">
        <v>0.0</v>
      </c>
      <c r="BU74" s="63">
        <v>0.0</v>
      </c>
      <c r="BV74" s="67">
        <v>0.0</v>
      </c>
      <c r="BW74" s="65" t="b">
        <v>0</v>
      </c>
      <c r="BX74" s="55"/>
      <c r="BY74" s="55"/>
      <c r="BZ74" s="55"/>
      <c r="CA74" s="55"/>
      <c r="CB74" s="55"/>
      <c r="CC74" s="55"/>
      <c r="CD74" s="55"/>
      <c r="CE74" s="55"/>
      <c r="CF74" s="55"/>
      <c r="CG74" s="55"/>
      <c r="CH74" s="55"/>
    </row>
    <row r="75" ht="16.5" customHeight="1">
      <c r="A75" s="55"/>
      <c r="B75" s="55"/>
      <c r="C75" s="55"/>
      <c r="D75" s="55"/>
      <c r="E75" s="55"/>
      <c r="F75" s="55"/>
      <c r="G75" s="55"/>
      <c r="H75" s="64" t="str">
        <f>IFERROR(__xludf.DUMMYFUNCTION("IFERROR(
  AVERAGE(FILTER(data!B$2:B1000, data!A$2:A1000=$F75, data!D$2:D1000=$G75, data!E$2:E1000=2))
  -
  AVERAGE(FILTER(data!B$2:B1000, data!A$2:A1000=$F75, data!D$2:D1000=$G75, data!E$2:E1000=1))
, """")
"),"")</f>
        <v/>
      </c>
      <c r="I75" s="64" t="str">
        <f>IFERROR(__xludf.DUMMYFUNCTION("IFERROR(
  AVERAGE(FILTER(data!B$2:B1000, data!A$2:A1000=$F75, data!D$2:D1000=$G75, data!E$2:E1000=3))
  -
  AVERAGE(FILTER(data!B$2:B1000, data!A$2:A1000=$F75, data!D$2:D1000=$G75, data!E$2:E1000=2))
, """")
"),"")</f>
        <v/>
      </c>
      <c r="J75" s="64" t="str">
        <f>IFERROR(__xludf.DUMMYFUNCTION("IFERROR(
  AVERAGE(FILTER(data!B$2:B1000, data!A$2:A1000=$F75, data!D$2:D1000=$G75, data!E$2:E1000=3))
  -
  AVERAGE(FILTER(data!B$2:B1000, data!A$2:A1000=$F75, data!D$2:D1000=$G75, data!E$2:E1000=1))
, """")
"),"")</f>
        <v/>
      </c>
      <c r="K75" s="64" t="str">
        <f>IFERROR(__xludf.DUMMYFUNCTION("IFERROR(
  AVERAGE(FILTER(data!C$2:C1000, data!A$2:A1000=$F75, data!D$2:D1000=$G75, data!E$2:E1000=2))
  -
  AVERAGE(FILTER(data!C$2:C1000, data!A$2:A1000=$F75, data!D$2:D1000=$G75, data!E$2:E1000=1))
, """")
"),"")</f>
        <v/>
      </c>
      <c r="L75" s="64" t="str">
        <f>IFERROR(__xludf.DUMMYFUNCTION("IFERROR(
  AVERAGE(FILTER(data!C$2:C1000, data!A$2:A1000=$F75, data!D$2:D1000=$G75, data!E$2:E1000=3))
  -
  AVERAGE(FILTER(data!C$2:C1000, data!A$2:A1000=$F75, data!D$2:D1000=$G75, data!E$2:E1000=2))
, """")
"),"")</f>
        <v/>
      </c>
      <c r="M75" s="64" t="str">
        <f>IFERROR(__xludf.DUMMYFUNCTION("IFERROR(
  AVERAGE(FILTER(data!C$2:C1000, data!A$2:A1000=$F75, data!D$2:D1000=$G75, data!E$2:E1000=3))
  -
  AVERAGE(FILTER(data!C$2:C1000, data!A$2:A1000=$F75, data!D$2:D1000=$G75, data!E$2:E1000=1))
, """")
"),"")</f>
        <v/>
      </c>
      <c r="N75" s="64" t="str">
        <f t="shared" ref="N75:P75" si="149">IF(H75="",,ABS(H75))
</f>
        <v/>
      </c>
      <c r="O75" s="64" t="str">
        <f t="shared" si="149"/>
        <v/>
      </c>
      <c r="P75" s="64" t="str">
        <f t="shared" si="149"/>
        <v/>
      </c>
      <c r="Q75" s="64" t="str">
        <f t="shared" si="4"/>
        <v/>
      </c>
      <c r="R75" s="64" t="str">
        <f t="shared" ref="R75:S75" si="150">IF(L75="",,ABS(L75))
</f>
        <v/>
      </c>
      <c r="S75" s="64" t="str">
        <f t="shared" si="150"/>
        <v/>
      </c>
      <c r="T75" s="55"/>
      <c r="U75" s="55"/>
      <c r="V75" s="55"/>
      <c r="W75" s="64"/>
      <c r="X75" s="64"/>
      <c r="Y75" s="55"/>
      <c r="Z75" s="55"/>
      <c r="AA75" s="55"/>
      <c r="AB75" s="64"/>
      <c r="AC75" s="64"/>
      <c r="AD75" s="64"/>
      <c r="AE75" s="64"/>
      <c r="AF75" s="64"/>
      <c r="AG75" s="55"/>
      <c r="AH75" s="55"/>
      <c r="AI75" s="64"/>
      <c r="AJ75" s="64"/>
      <c r="AK75" s="64"/>
      <c r="AL75" s="64"/>
      <c r="AM75" s="64"/>
      <c r="AN75" s="64"/>
      <c r="AO75" s="55"/>
      <c r="AP75" s="55"/>
      <c r="AQ75" s="64"/>
      <c r="AR75" s="64"/>
      <c r="AS75" s="64"/>
      <c r="AT75" s="64"/>
      <c r="AU75" s="64"/>
      <c r="AV75" s="55"/>
      <c r="AW75" s="55"/>
      <c r="AX75" s="64"/>
      <c r="AY75" s="64"/>
      <c r="AZ75" s="64"/>
      <c r="BA75" s="64"/>
      <c r="BB75" s="64"/>
      <c r="BC75" s="55"/>
      <c r="BD75" s="55"/>
      <c r="BE75" s="64"/>
      <c r="BF75" s="55"/>
      <c r="BG75" s="64"/>
      <c r="BH75" s="64"/>
      <c r="BI75" s="64"/>
      <c r="BJ75" s="64"/>
      <c r="BK75" s="55"/>
      <c r="BL75" s="55"/>
      <c r="BM75" s="55"/>
      <c r="BN75" s="64"/>
      <c r="BO75" s="64"/>
      <c r="BP75" s="64"/>
      <c r="BQ75" s="64"/>
      <c r="BR75" s="64"/>
      <c r="BS75" s="64"/>
      <c r="BT75" s="64"/>
      <c r="BU75" s="64"/>
      <c r="BV75" s="64"/>
      <c r="BW75" s="55"/>
      <c r="BX75" s="55"/>
      <c r="BY75" s="55"/>
      <c r="BZ75" s="55"/>
      <c r="CA75" s="55"/>
      <c r="CB75" s="55"/>
      <c r="CC75" s="55"/>
      <c r="CD75" s="55"/>
      <c r="CE75" s="55"/>
      <c r="CF75" s="55"/>
      <c r="CG75" s="55"/>
      <c r="CH75" s="55"/>
    </row>
    <row r="76" ht="16.5" customHeight="1">
      <c r="A76" s="55"/>
      <c r="B76" s="55"/>
      <c r="C76" s="55"/>
      <c r="D76" s="55"/>
      <c r="E76" s="55"/>
      <c r="F76" s="55"/>
      <c r="G76" s="55"/>
      <c r="H76" s="64" t="str">
        <f>IFERROR(__xludf.DUMMYFUNCTION("IFERROR(
  AVERAGE(FILTER(data!B$2:B1000, data!A$2:A1000=$F76, data!D$2:D1000=$G76, data!E$2:E1000=2))
  -
  AVERAGE(FILTER(data!B$2:B1000, data!A$2:A1000=$F76, data!D$2:D1000=$G76, data!E$2:E1000=1))
, """")
"),"")</f>
        <v/>
      </c>
      <c r="I76" s="64" t="str">
        <f>IFERROR(__xludf.DUMMYFUNCTION("IFERROR(
  AVERAGE(FILTER(data!B$2:B1000, data!A$2:A1000=$F76, data!D$2:D1000=$G76, data!E$2:E1000=3))
  -
  AVERAGE(FILTER(data!B$2:B1000, data!A$2:A1000=$F76, data!D$2:D1000=$G76, data!E$2:E1000=2))
, """")
"),"")</f>
        <v/>
      </c>
      <c r="J76" s="64" t="str">
        <f>IFERROR(__xludf.DUMMYFUNCTION("IFERROR(
  AVERAGE(FILTER(data!B$2:B1000, data!A$2:A1000=$F76, data!D$2:D1000=$G76, data!E$2:E1000=3))
  -
  AVERAGE(FILTER(data!B$2:B1000, data!A$2:A1000=$F76, data!D$2:D1000=$G76, data!E$2:E1000=1))
, """")
"),"")</f>
        <v/>
      </c>
      <c r="K76" s="64" t="str">
        <f>IFERROR(__xludf.DUMMYFUNCTION("IFERROR(
  AVERAGE(FILTER(data!C$2:C1000, data!A$2:A1000=$F76, data!D$2:D1000=$G76, data!E$2:E1000=2))
  -
  AVERAGE(FILTER(data!C$2:C1000, data!A$2:A1000=$F76, data!D$2:D1000=$G76, data!E$2:E1000=1))
, """")
"),"")</f>
        <v/>
      </c>
      <c r="L76" s="64" t="str">
        <f>IFERROR(__xludf.DUMMYFUNCTION("IFERROR(
  AVERAGE(FILTER(data!C$2:C1000, data!A$2:A1000=$F76, data!D$2:D1000=$G76, data!E$2:E1000=3))
  -
  AVERAGE(FILTER(data!C$2:C1000, data!A$2:A1000=$F76, data!D$2:D1000=$G76, data!E$2:E1000=2))
, """")
"),"")</f>
        <v/>
      </c>
      <c r="M76" s="64" t="str">
        <f>IFERROR(__xludf.DUMMYFUNCTION("IFERROR(
  AVERAGE(FILTER(data!C$2:C1000, data!A$2:A1000=$F76, data!D$2:D1000=$G76, data!E$2:E1000=3))
  -
  AVERAGE(FILTER(data!C$2:C1000, data!A$2:A1000=$F76, data!D$2:D1000=$G76, data!E$2:E1000=1))
, """")
"),"")</f>
        <v/>
      </c>
      <c r="N76" s="64" t="str">
        <f t="shared" ref="N76:P76" si="151">IF(H76="",,ABS(H76))
</f>
        <v/>
      </c>
      <c r="O76" s="64" t="str">
        <f t="shared" si="151"/>
        <v/>
      </c>
      <c r="P76" s="64" t="str">
        <f t="shared" si="151"/>
        <v/>
      </c>
      <c r="Q76" s="64" t="str">
        <f t="shared" si="4"/>
        <v/>
      </c>
      <c r="R76" s="64" t="str">
        <f t="shared" ref="R76:S76" si="152">IF(L76="",,ABS(L76))
</f>
        <v/>
      </c>
      <c r="S76" s="64" t="str">
        <f t="shared" si="152"/>
        <v/>
      </c>
      <c r="T76" s="55"/>
      <c r="U76" s="55"/>
      <c r="V76" s="55"/>
      <c r="W76" s="64"/>
      <c r="X76" s="64"/>
      <c r="Y76" s="55"/>
      <c r="Z76" s="55"/>
      <c r="AA76" s="55"/>
      <c r="AB76" s="64"/>
      <c r="AC76" s="64"/>
      <c r="AD76" s="64"/>
      <c r="AE76" s="64"/>
      <c r="AF76" s="64"/>
      <c r="AG76" s="55"/>
      <c r="AH76" s="55"/>
      <c r="AI76" s="64"/>
      <c r="AJ76" s="64"/>
      <c r="AK76" s="64"/>
      <c r="AL76" s="64"/>
      <c r="AM76" s="64"/>
      <c r="AN76" s="64"/>
      <c r="AO76" s="55"/>
      <c r="AP76" s="55"/>
      <c r="AQ76" s="64"/>
      <c r="AR76" s="64"/>
      <c r="AS76" s="64"/>
      <c r="AT76" s="64"/>
      <c r="AU76" s="64"/>
      <c r="AV76" s="55"/>
      <c r="AW76" s="55"/>
      <c r="AX76" s="64"/>
      <c r="AY76" s="64"/>
      <c r="AZ76" s="64"/>
      <c r="BA76" s="64"/>
      <c r="BB76" s="64"/>
      <c r="BC76" s="55"/>
      <c r="BD76" s="55"/>
      <c r="BE76" s="64"/>
      <c r="BF76" s="55"/>
      <c r="BG76" s="64"/>
      <c r="BH76" s="64"/>
      <c r="BI76" s="64"/>
      <c r="BJ76" s="64"/>
      <c r="BK76" s="55"/>
      <c r="BL76" s="55"/>
      <c r="BM76" s="55"/>
      <c r="BN76" s="64"/>
      <c r="BO76" s="64"/>
      <c r="BP76" s="64"/>
      <c r="BQ76" s="64"/>
      <c r="BR76" s="64"/>
      <c r="BS76" s="64"/>
      <c r="BT76" s="64"/>
      <c r="BU76" s="64"/>
      <c r="BV76" s="64"/>
      <c r="BW76" s="55"/>
      <c r="BX76" s="55"/>
      <c r="BY76" s="55"/>
      <c r="BZ76" s="55"/>
      <c r="CA76" s="55"/>
      <c r="CB76" s="55"/>
      <c r="CC76" s="55"/>
      <c r="CD76" s="55"/>
      <c r="CE76" s="55"/>
      <c r="CF76" s="55"/>
      <c r="CG76" s="55"/>
      <c r="CH76" s="55"/>
    </row>
    <row r="77" ht="16.5" customHeight="1">
      <c r="A77" s="55"/>
      <c r="B77" s="55"/>
      <c r="C77" s="55"/>
      <c r="D77" s="55"/>
      <c r="E77" s="55"/>
      <c r="F77" s="55"/>
      <c r="G77" s="55"/>
      <c r="H77" s="64" t="str">
        <f>IFERROR(__xludf.DUMMYFUNCTION("IFERROR(
  AVERAGE(FILTER(data!B$2:B1000, data!A$2:A1000=$F77, data!D$2:D1000=$G77, data!E$2:E1000=2))
  -
  AVERAGE(FILTER(data!B$2:B1000, data!A$2:A1000=$F77, data!D$2:D1000=$G77, data!E$2:E1000=1))
, """")
"),"")</f>
        <v/>
      </c>
      <c r="I77" s="64" t="str">
        <f>IFERROR(__xludf.DUMMYFUNCTION("IFERROR(
  AVERAGE(FILTER(data!B$2:B1000, data!A$2:A1000=$F77, data!D$2:D1000=$G77, data!E$2:E1000=3))
  -
  AVERAGE(FILTER(data!B$2:B1000, data!A$2:A1000=$F77, data!D$2:D1000=$G77, data!E$2:E1000=2))
, """")
"),"")</f>
        <v/>
      </c>
      <c r="J77" s="64" t="str">
        <f>IFERROR(__xludf.DUMMYFUNCTION("IFERROR(
  AVERAGE(FILTER(data!B$2:B1000, data!A$2:A1000=$F77, data!D$2:D1000=$G77, data!E$2:E1000=3))
  -
  AVERAGE(FILTER(data!B$2:B1000, data!A$2:A1000=$F77, data!D$2:D1000=$G77, data!E$2:E1000=1))
, """")
"),"")</f>
        <v/>
      </c>
      <c r="K77" s="64" t="str">
        <f>IFERROR(__xludf.DUMMYFUNCTION("IFERROR(
  AVERAGE(FILTER(data!C$2:C1000, data!A$2:A1000=$F77, data!D$2:D1000=$G77, data!E$2:E1000=2))
  -
  AVERAGE(FILTER(data!C$2:C1000, data!A$2:A1000=$F77, data!D$2:D1000=$G77, data!E$2:E1000=1))
, """")
"),"")</f>
        <v/>
      </c>
      <c r="L77" s="64" t="str">
        <f>IFERROR(__xludf.DUMMYFUNCTION("IFERROR(
  AVERAGE(FILTER(data!C$2:C1000, data!A$2:A1000=$F77, data!D$2:D1000=$G77, data!E$2:E1000=3))
  -
  AVERAGE(FILTER(data!C$2:C1000, data!A$2:A1000=$F77, data!D$2:D1000=$G77, data!E$2:E1000=2))
, """")
"),"")</f>
        <v/>
      </c>
      <c r="M77" s="64" t="str">
        <f>IFERROR(__xludf.DUMMYFUNCTION("IFERROR(
  AVERAGE(FILTER(data!C$2:C1000, data!A$2:A1000=$F77, data!D$2:D1000=$G77, data!E$2:E1000=3))
  -
  AVERAGE(FILTER(data!C$2:C1000, data!A$2:A1000=$F77, data!D$2:D1000=$G77, data!E$2:E1000=1))
, """")
"),"")</f>
        <v/>
      </c>
      <c r="N77" s="64" t="str">
        <f t="shared" ref="N77:P77" si="153">IF(H77="",,ABS(H77))
</f>
        <v/>
      </c>
      <c r="O77" s="64" t="str">
        <f t="shared" si="153"/>
        <v/>
      </c>
      <c r="P77" s="64" t="str">
        <f t="shared" si="153"/>
        <v/>
      </c>
      <c r="Q77" s="64" t="str">
        <f t="shared" si="4"/>
        <v/>
      </c>
      <c r="R77" s="64" t="str">
        <f t="shared" ref="R77:S77" si="154">IF(L77="",,ABS(L77))
</f>
        <v/>
      </c>
      <c r="S77" s="64" t="str">
        <f t="shared" si="154"/>
        <v/>
      </c>
      <c r="T77" s="55"/>
      <c r="U77" s="55"/>
      <c r="V77" s="55"/>
      <c r="W77" s="64"/>
      <c r="X77" s="64"/>
      <c r="Y77" s="55"/>
      <c r="Z77" s="55"/>
      <c r="AA77" s="55"/>
      <c r="AB77" s="64"/>
      <c r="AC77" s="64"/>
      <c r="AD77" s="64"/>
      <c r="AE77" s="64"/>
      <c r="AF77" s="64"/>
      <c r="AG77" s="55"/>
      <c r="AH77" s="55"/>
      <c r="AI77" s="64"/>
      <c r="AJ77" s="64"/>
      <c r="AK77" s="64"/>
      <c r="AL77" s="64"/>
      <c r="AM77" s="64"/>
      <c r="AN77" s="64"/>
      <c r="AO77" s="55"/>
      <c r="AP77" s="55"/>
      <c r="AQ77" s="64"/>
      <c r="AR77" s="64"/>
      <c r="AS77" s="64"/>
      <c r="AT77" s="64"/>
      <c r="AU77" s="64"/>
      <c r="AV77" s="55"/>
      <c r="AW77" s="55"/>
      <c r="AX77" s="64"/>
      <c r="AY77" s="64"/>
      <c r="AZ77" s="64"/>
      <c r="BA77" s="64"/>
      <c r="BB77" s="64"/>
      <c r="BC77" s="55"/>
      <c r="BD77" s="55"/>
      <c r="BE77" s="64"/>
      <c r="BF77" s="55"/>
      <c r="BG77" s="64"/>
      <c r="BH77" s="64"/>
      <c r="BI77" s="64"/>
      <c r="BJ77" s="64"/>
      <c r="BK77" s="55"/>
      <c r="BL77" s="55"/>
      <c r="BM77" s="55"/>
      <c r="BN77" s="64"/>
      <c r="BO77" s="64"/>
      <c r="BP77" s="64"/>
      <c r="BQ77" s="64"/>
      <c r="BR77" s="64"/>
      <c r="BS77" s="64"/>
      <c r="BT77" s="64"/>
      <c r="BU77" s="64"/>
      <c r="BV77" s="64"/>
      <c r="BW77" s="55"/>
      <c r="BX77" s="55"/>
      <c r="BY77" s="55"/>
      <c r="BZ77" s="55"/>
      <c r="CA77" s="55"/>
      <c r="CB77" s="55"/>
      <c r="CC77" s="55"/>
      <c r="CD77" s="55"/>
      <c r="CE77" s="55"/>
      <c r="CF77" s="55"/>
      <c r="CG77" s="55"/>
      <c r="CH77" s="55"/>
    </row>
    <row r="78" ht="16.5" customHeight="1">
      <c r="A78" s="55"/>
      <c r="B78" s="55"/>
      <c r="C78" s="55"/>
      <c r="D78" s="55"/>
      <c r="E78" s="55"/>
      <c r="F78" s="55"/>
      <c r="G78" s="55"/>
      <c r="H78" s="64" t="str">
        <f>IFERROR(__xludf.DUMMYFUNCTION("IFERROR(
  AVERAGE(FILTER(data!B$2:B1000, data!A$2:A1000=$F78, data!D$2:D1000=$G78, data!E$2:E1000=2))
  -
  AVERAGE(FILTER(data!B$2:B1000, data!A$2:A1000=$F78, data!D$2:D1000=$G78, data!E$2:E1000=1))
, """")
"),"")</f>
        <v/>
      </c>
      <c r="I78" s="64" t="str">
        <f>IFERROR(__xludf.DUMMYFUNCTION("IFERROR(
  AVERAGE(FILTER(data!B$2:B1000, data!A$2:A1000=$F78, data!D$2:D1000=$G78, data!E$2:E1000=3))
  -
  AVERAGE(FILTER(data!B$2:B1000, data!A$2:A1000=$F78, data!D$2:D1000=$G78, data!E$2:E1000=2))
, """")
"),"")</f>
        <v/>
      </c>
      <c r="J78" s="64" t="str">
        <f>IFERROR(__xludf.DUMMYFUNCTION("IFERROR(
  AVERAGE(FILTER(data!B$2:B1000, data!A$2:A1000=$F78, data!D$2:D1000=$G78, data!E$2:E1000=3))
  -
  AVERAGE(FILTER(data!B$2:B1000, data!A$2:A1000=$F78, data!D$2:D1000=$G78, data!E$2:E1000=1))
, """")
"),"")</f>
        <v/>
      </c>
      <c r="K78" s="64" t="str">
        <f>IFERROR(__xludf.DUMMYFUNCTION("IFERROR(
  AVERAGE(FILTER(data!C$2:C1000, data!A$2:A1000=$F78, data!D$2:D1000=$G78, data!E$2:E1000=2))
  -
  AVERAGE(FILTER(data!C$2:C1000, data!A$2:A1000=$F78, data!D$2:D1000=$G78, data!E$2:E1000=1))
, """")
"),"")</f>
        <v/>
      </c>
      <c r="L78" s="64" t="str">
        <f>IFERROR(__xludf.DUMMYFUNCTION("IFERROR(
  AVERAGE(FILTER(data!C$2:C1000, data!A$2:A1000=$F78, data!D$2:D1000=$G78, data!E$2:E1000=3))
  -
  AVERAGE(FILTER(data!C$2:C1000, data!A$2:A1000=$F78, data!D$2:D1000=$G78, data!E$2:E1000=2))
, """")
"),"")</f>
        <v/>
      </c>
      <c r="M78" s="64" t="str">
        <f>IFERROR(__xludf.DUMMYFUNCTION("IFERROR(
  AVERAGE(FILTER(data!C$2:C1000, data!A$2:A1000=$F78, data!D$2:D1000=$G78, data!E$2:E1000=3))
  -
  AVERAGE(FILTER(data!C$2:C1000, data!A$2:A1000=$F78, data!D$2:D1000=$G78, data!E$2:E1000=1))
, """")
"),"")</f>
        <v/>
      </c>
      <c r="N78" s="64" t="str">
        <f t="shared" ref="N78:P78" si="155">IF(H78="",,ABS(H78))
</f>
        <v/>
      </c>
      <c r="O78" s="64" t="str">
        <f t="shared" si="155"/>
        <v/>
      </c>
      <c r="P78" s="64" t="str">
        <f t="shared" si="155"/>
        <v/>
      </c>
      <c r="Q78" s="64" t="str">
        <f t="shared" si="4"/>
        <v/>
      </c>
      <c r="R78" s="64" t="str">
        <f t="shared" ref="R78:S78" si="156">IF(L78="",,ABS(L78))
</f>
        <v/>
      </c>
      <c r="S78" s="64" t="str">
        <f t="shared" si="156"/>
        <v/>
      </c>
      <c r="T78" s="55"/>
      <c r="U78" s="55"/>
      <c r="V78" s="55"/>
      <c r="W78" s="64"/>
      <c r="X78" s="64"/>
      <c r="Y78" s="55"/>
      <c r="Z78" s="55"/>
      <c r="AA78" s="55"/>
      <c r="AB78" s="64"/>
      <c r="AC78" s="64"/>
      <c r="AD78" s="64"/>
      <c r="AE78" s="64"/>
      <c r="AF78" s="64"/>
      <c r="AG78" s="55"/>
      <c r="AH78" s="55"/>
      <c r="AI78" s="64"/>
      <c r="AJ78" s="64"/>
      <c r="AK78" s="64"/>
      <c r="AL78" s="64"/>
      <c r="AM78" s="64"/>
      <c r="AN78" s="64"/>
      <c r="AO78" s="55"/>
      <c r="AP78" s="55"/>
      <c r="AQ78" s="64"/>
      <c r="AR78" s="64"/>
      <c r="AS78" s="64"/>
      <c r="AT78" s="64"/>
      <c r="AU78" s="64"/>
      <c r="AV78" s="55"/>
      <c r="AW78" s="55"/>
      <c r="AX78" s="64"/>
      <c r="AY78" s="64"/>
      <c r="AZ78" s="64"/>
      <c r="BA78" s="64"/>
      <c r="BB78" s="64"/>
      <c r="BC78" s="55"/>
      <c r="BD78" s="55"/>
      <c r="BE78" s="64"/>
      <c r="BF78" s="55"/>
      <c r="BG78" s="64"/>
      <c r="BH78" s="64"/>
      <c r="BI78" s="64"/>
      <c r="BJ78" s="64"/>
      <c r="BK78" s="55"/>
      <c r="BL78" s="55"/>
      <c r="BM78" s="55"/>
      <c r="BN78" s="64"/>
      <c r="BO78" s="64"/>
      <c r="BP78" s="64"/>
      <c r="BQ78" s="64"/>
      <c r="BR78" s="64"/>
      <c r="BS78" s="64"/>
      <c r="BT78" s="64"/>
      <c r="BU78" s="64"/>
      <c r="BV78" s="64"/>
      <c r="BW78" s="55"/>
      <c r="BX78" s="55"/>
      <c r="BY78" s="55"/>
      <c r="BZ78" s="55"/>
      <c r="CA78" s="55"/>
      <c r="CB78" s="55"/>
      <c r="CC78" s="55"/>
      <c r="CD78" s="55"/>
      <c r="CE78" s="55"/>
      <c r="CF78" s="55"/>
      <c r="CG78" s="55"/>
      <c r="CH78" s="55"/>
    </row>
    <row r="79" ht="16.5" customHeight="1">
      <c r="A79" s="55"/>
      <c r="B79" s="55"/>
      <c r="C79" s="55"/>
      <c r="D79" s="55"/>
      <c r="E79" s="55"/>
      <c r="F79" s="55"/>
      <c r="G79" s="55"/>
      <c r="H79" s="64" t="str">
        <f>IFERROR(__xludf.DUMMYFUNCTION("IFERROR(
  AVERAGE(FILTER(data!B$2:B1000, data!A$2:A1000=$F79, data!D$2:D1000=$G79, data!E$2:E1000=2))
  -
  AVERAGE(FILTER(data!B$2:B1000, data!A$2:A1000=$F79, data!D$2:D1000=$G79, data!E$2:E1000=1))
, """")
"),"")</f>
        <v/>
      </c>
      <c r="I79" s="64" t="str">
        <f>IFERROR(__xludf.DUMMYFUNCTION("IFERROR(
  AVERAGE(FILTER(data!B$2:B1000, data!A$2:A1000=$F79, data!D$2:D1000=$G79, data!E$2:E1000=3))
  -
  AVERAGE(FILTER(data!B$2:B1000, data!A$2:A1000=$F79, data!D$2:D1000=$G79, data!E$2:E1000=2))
, """")
"),"")</f>
        <v/>
      </c>
      <c r="J79" s="64" t="str">
        <f>IFERROR(__xludf.DUMMYFUNCTION("IFERROR(
  AVERAGE(FILTER(data!B$2:B1000, data!A$2:A1000=$F79, data!D$2:D1000=$G79, data!E$2:E1000=3))
  -
  AVERAGE(FILTER(data!B$2:B1000, data!A$2:A1000=$F79, data!D$2:D1000=$G79, data!E$2:E1000=1))
, """")
"),"")</f>
        <v/>
      </c>
      <c r="K79" s="64" t="str">
        <f>IFERROR(__xludf.DUMMYFUNCTION("IFERROR(
  AVERAGE(FILTER(data!C$2:C1000, data!A$2:A1000=$F79, data!D$2:D1000=$G79, data!E$2:E1000=2))
  -
  AVERAGE(FILTER(data!C$2:C1000, data!A$2:A1000=$F79, data!D$2:D1000=$G79, data!E$2:E1000=1))
, """")
"),"")</f>
        <v/>
      </c>
      <c r="L79" s="64" t="str">
        <f>IFERROR(__xludf.DUMMYFUNCTION("IFERROR(
  AVERAGE(FILTER(data!C$2:C1000, data!A$2:A1000=$F79, data!D$2:D1000=$G79, data!E$2:E1000=3))
  -
  AVERAGE(FILTER(data!C$2:C1000, data!A$2:A1000=$F79, data!D$2:D1000=$G79, data!E$2:E1000=2))
, """")
"),"")</f>
        <v/>
      </c>
      <c r="M79" s="64" t="str">
        <f>IFERROR(__xludf.DUMMYFUNCTION("IFERROR(
  AVERAGE(FILTER(data!C$2:C1000, data!A$2:A1000=$F79, data!D$2:D1000=$G79, data!E$2:E1000=3))
  -
  AVERAGE(FILTER(data!C$2:C1000, data!A$2:A1000=$F79, data!D$2:D1000=$G79, data!E$2:E1000=1))
, """")
"),"")</f>
        <v/>
      </c>
      <c r="N79" s="64" t="str">
        <f t="shared" ref="N79:P79" si="157">IF(H79="",,ABS(H79))
</f>
        <v/>
      </c>
      <c r="O79" s="64" t="str">
        <f t="shared" si="157"/>
        <v/>
      </c>
      <c r="P79" s="64" t="str">
        <f t="shared" si="157"/>
        <v/>
      </c>
      <c r="Q79" s="64" t="str">
        <f t="shared" si="4"/>
        <v/>
      </c>
      <c r="R79" s="64" t="str">
        <f t="shared" ref="R79:S79" si="158">IF(L79="",,ABS(L79))
</f>
        <v/>
      </c>
      <c r="S79" s="64" t="str">
        <f t="shared" si="158"/>
        <v/>
      </c>
      <c r="T79" s="55"/>
      <c r="U79" s="55"/>
      <c r="V79" s="55"/>
      <c r="W79" s="64"/>
      <c r="X79" s="64"/>
      <c r="Y79" s="55"/>
      <c r="Z79" s="55"/>
      <c r="AA79" s="55"/>
      <c r="AB79" s="64"/>
      <c r="AC79" s="64"/>
      <c r="AD79" s="64"/>
      <c r="AE79" s="64"/>
      <c r="AF79" s="64"/>
      <c r="AG79" s="55"/>
      <c r="AH79" s="55"/>
      <c r="AI79" s="64"/>
      <c r="AJ79" s="64"/>
      <c r="AK79" s="64"/>
      <c r="AL79" s="64"/>
      <c r="AM79" s="64"/>
      <c r="AN79" s="64"/>
      <c r="AO79" s="55"/>
      <c r="AP79" s="55"/>
      <c r="AQ79" s="64"/>
      <c r="AR79" s="64"/>
      <c r="AS79" s="64"/>
      <c r="AT79" s="64"/>
      <c r="AU79" s="64"/>
      <c r="AV79" s="55"/>
      <c r="AW79" s="55"/>
      <c r="AX79" s="64"/>
      <c r="AY79" s="64"/>
      <c r="AZ79" s="64"/>
      <c r="BA79" s="64"/>
      <c r="BB79" s="64"/>
      <c r="BC79" s="55"/>
      <c r="BD79" s="55"/>
      <c r="BE79" s="64"/>
      <c r="BF79" s="55"/>
      <c r="BG79" s="64"/>
      <c r="BH79" s="64"/>
      <c r="BI79" s="64"/>
      <c r="BJ79" s="64"/>
      <c r="BK79" s="55"/>
      <c r="BL79" s="55"/>
      <c r="BM79" s="55"/>
      <c r="BN79" s="64"/>
      <c r="BO79" s="64"/>
      <c r="BP79" s="64"/>
      <c r="BQ79" s="64"/>
      <c r="BR79" s="64"/>
      <c r="BS79" s="64"/>
      <c r="BT79" s="64"/>
      <c r="BU79" s="64"/>
      <c r="BV79" s="64"/>
      <c r="BW79" s="55"/>
      <c r="BX79" s="55"/>
      <c r="BY79" s="55"/>
      <c r="BZ79" s="55"/>
      <c r="CA79" s="55"/>
      <c r="CB79" s="55"/>
      <c r="CC79" s="55"/>
      <c r="CD79" s="55"/>
      <c r="CE79" s="55"/>
      <c r="CF79" s="55"/>
      <c r="CG79" s="55"/>
      <c r="CH79" s="55"/>
    </row>
    <row r="80" ht="16.5" customHeight="1">
      <c r="A80" s="55"/>
      <c r="B80" s="55"/>
      <c r="C80" s="55"/>
      <c r="D80" s="55"/>
      <c r="E80" s="55"/>
      <c r="F80" s="55"/>
      <c r="G80" s="55"/>
      <c r="H80" s="64" t="str">
        <f>IFERROR(__xludf.DUMMYFUNCTION("IFERROR(
  AVERAGE(FILTER(data!B$2:B1000, data!A$2:A1000=$F80, data!D$2:D1000=$G80, data!E$2:E1000=2))
  -
  AVERAGE(FILTER(data!B$2:B1000, data!A$2:A1000=$F80, data!D$2:D1000=$G80, data!E$2:E1000=1))
, """")
"),"")</f>
        <v/>
      </c>
      <c r="I80" s="64" t="str">
        <f>IFERROR(__xludf.DUMMYFUNCTION("IFERROR(
  AVERAGE(FILTER(data!B$2:B1000, data!A$2:A1000=$F80, data!D$2:D1000=$G80, data!E$2:E1000=3))
  -
  AVERAGE(FILTER(data!B$2:B1000, data!A$2:A1000=$F80, data!D$2:D1000=$G80, data!E$2:E1000=2))
, """")
"),"")</f>
        <v/>
      </c>
      <c r="J80" s="64" t="str">
        <f>IFERROR(__xludf.DUMMYFUNCTION("IFERROR(
  AVERAGE(FILTER(data!B$2:B1000, data!A$2:A1000=$F80, data!D$2:D1000=$G80, data!E$2:E1000=3))
  -
  AVERAGE(FILTER(data!B$2:B1000, data!A$2:A1000=$F80, data!D$2:D1000=$G80, data!E$2:E1000=1))
, """")
"),"")</f>
        <v/>
      </c>
      <c r="K80" s="64" t="str">
        <f>IFERROR(__xludf.DUMMYFUNCTION("IFERROR(
  AVERAGE(FILTER(data!C$2:C1000, data!A$2:A1000=$F80, data!D$2:D1000=$G80, data!E$2:E1000=2))
  -
  AVERAGE(FILTER(data!C$2:C1000, data!A$2:A1000=$F80, data!D$2:D1000=$G80, data!E$2:E1000=1))
, """")
"),"")</f>
        <v/>
      </c>
      <c r="L80" s="64" t="str">
        <f>IFERROR(__xludf.DUMMYFUNCTION("IFERROR(
  AVERAGE(FILTER(data!C$2:C1000, data!A$2:A1000=$F80, data!D$2:D1000=$G80, data!E$2:E1000=3))
  -
  AVERAGE(FILTER(data!C$2:C1000, data!A$2:A1000=$F80, data!D$2:D1000=$G80, data!E$2:E1000=2))
, """")
"),"")</f>
        <v/>
      </c>
      <c r="M80" s="64" t="str">
        <f>IFERROR(__xludf.DUMMYFUNCTION("IFERROR(
  AVERAGE(FILTER(data!C$2:C1000, data!A$2:A1000=$F80, data!D$2:D1000=$G80, data!E$2:E1000=3))
  -
  AVERAGE(FILTER(data!C$2:C1000, data!A$2:A1000=$F80, data!D$2:D1000=$G80, data!E$2:E1000=1))
, """")
"),"")</f>
        <v/>
      </c>
      <c r="N80" s="64" t="str">
        <f t="shared" ref="N80:P80" si="159">IF(H80="",,ABS(H80))
</f>
        <v/>
      </c>
      <c r="O80" s="64" t="str">
        <f t="shared" si="159"/>
        <v/>
      </c>
      <c r="P80" s="64" t="str">
        <f t="shared" si="159"/>
        <v/>
      </c>
      <c r="Q80" s="64" t="str">
        <f t="shared" si="4"/>
        <v/>
      </c>
      <c r="R80" s="64" t="str">
        <f t="shared" ref="R80:S80" si="160">IF(L80="",,ABS(L80))
</f>
        <v/>
      </c>
      <c r="S80" s="64" t="str">
        <f t="shared" si="160"/>
        <v/>
      </c>
      <c r="T80" s="55"/>
      <c r="U80" s="55"/>
      <c r="V80" s="55"/>
      <c r="W80" s="64"/>
      <c r="X80" s="64"/>
      <c r="Y80" s="55"/>
      <c r="Z80" s="55"/>
      <c r="AA80" s="55"/>
      <c r="AB80" s="64"/>
      <c r="AC80" s="64"/>
      <c r="AD80" s="64"/>
      <c r="AE80" s="64"/>
      <c r="AF80" s="64"/>
      <c r="AG80" s="55"/>
      <c r="AH80" s="55"/>
      <c r="AI80" s="64"/>
      <c r="AJ80" s="64"/>
      <c r="AK80" s="64"/>
      <c r="AL80" s="64"/>
      <c r="AM80" s="64"/>
      <c r="AN80" s="64"/>
      <c r="AO80" s="55"/>
      <c r="AP80" s="55"/>
      <c r="AQ80" s="64"/>
      <c r="AR80" s="64"/>
      <c r="AS80" s="64"/>
      <c r="AT80" s="64"/>
      <c r="AU80" s="64"/>
      <c r="AV80" s="55"/>
      <c r="AW80" s="55"/>
      <c r="AX80" s="64"/>
      <c r="AY80" s="64"/>
      <c r="AZ80" s="64"/>
      <c r="BA80" s="64"/>
      <c r="BB80" s="64"/>
      <c r="BC80" s="55"/>
      <c r="BD80" s="55"/>
      <c r="BE80" s="64"/>
      <c r="BF80" s="55"/>
      <c r="BG80" s="64"/>
      <c r="BH80" s="64"/>
      <c r="BI80" s="64"/>
      <c r="BJ80" s="64"/>
      <c r="BK80" s="55"/>
      <c r="BL80" s="55"/>
      <c r="BM80" s="55"/>
      <c r="BN80" s="64"/>
      <c r="BO80" s="64"/>
      <c r="BP80" s="64"/>
      <c r="BQ80" s="64"/>
      <c r="BR80" s="64"/>
      <c r="BS80" s="64"/>
      <c r="BT80" s="64"/>
      <c r="BU80" s="64"/>
      <c r="BV80" s="64"/>
      <c r="BW80" s="55"/>
      <c r="BX80" s="55"/>
      <c r="BY80" s="55"/>
      <c r="BZ80" s="55"/>
      <c r="CA80" s="55"/>
      <c r="CB80" s="55"/>
      <c r="CC80" s="55"/>
      <c r="CD80" s="55"/>
      <c r="CE80" s="55"/>
      <c r="CF80" s="55"/>
      <c r="CG80" s="55"/>
      <c r="CH80" s="55"/>
    </row>
    <row r="81" ht="16.5" customHeight="1">
      <c r="A81" s="55"/>
      <c r="B81" s="55"/>
      <c r="C81" s="55"/>
      <c r="D81" s="55"/>
      <c r="E81" s="55"/>
      <c r="F81" s="55"/>
      <c r="G81" s="55"/>
      <c r="H81" s="64" t="str">
        <f>IFERROR(__xludf.DUMMYFUNCTION("IFERROR(
  AVERAGE(FILTER(data!B$2:B1000, data!A$2:A1000=$F81, data!D$2:D1000=$G81, data!E$2:E1000=2))
  -
  AVERAGE(FILTER(data!B$2:B1000, data!A$2:A1000=$F81, data!D$2:D1000=$G81, data!E$2:E1000=1))
, """")
"),"")</f>
        <v/>
      </c>
      <c r="I81" s="64" t="str">
        <f>IFERROR(__xludf.DUMMYFUNCTION("IFERROR(
  AVERAGE(FILTER(data!B$2:B1000, data!A$2:A1000=$F81, data!D$2:D1000=$G81, data!E$2:E1000=3))
  -
  AVERAGE(FILTER(data!B$2:B1000, data!A$2:A1000=$F81, data!D$2:D1000=$G81, data!E$2:E1000=2))
, """")
"),"")</f>
        <v/>
      </c>
      <c r="J81" s="64" t="str">
        <f>IFERROR(__xludf.DUMMYFUNCTION("IFERROR(
  AVERAGE(FILTER(data!B$2:B1000, data!A$2:A1000=$F81, data!D$2:D1000=$G81, data!E$2:E1000=3))
  -
  AVERAGE(FILTER(data!B$2:B1000, data!A$2:A1000=$F81, data!D$2:D1000=$G81, data!E$2:E1000=1))
, """")
"),"")</f>
        <v/>
      </c>
      <c r="K81" s="64" t="str">
        <f>IFERROR(__xludf.DUMMYFUNCTION("IFERROR(
  AVERAGE(FILTER(data!C$2:C1000, data!A$2:A1000=$F81, data!D$2:D1000=$G81, data!E$2:E1000=2))
  -
  AVERAGE(FILTER(data!C$2:C1000, data!A$2:A1000=$F81, data!D$2:D1000=$G81, data!E$2:E1000=1))
, """")
"),"")</f>
        <v/>
      </c>
      <c r="L81" s="64" t="str">
        <f>IFERROR(__xludf.DUMMYFUNCTION("IFERROR(
  AVERAGE(FILTER(data!C$2:C1000, data!A$2:A1000=$F81, data!D$2:D1000=$G81, data!E$2:E1000=3))
  -
  AVERAGE(FILTER(data!C$2:C1000, data!A$2:A1000=$F81, data!D$2:D1000=$G81, data!E$2:E1000=2))
, """")
"),"")</f>
        <v/>
      </c>
      <c r="M81" s="64" t="str">
        <f>IFERROR(__xludf.DUMMYFUNCTION("IFERROR(
  AVERAGE(FILTER(data!C$2:C1000, data!A$2:A1000=$F81, data!D$2:D1000=$G81, data!E$2:E1000=3))
  -
  AVERAGE(FILTER(data!C$2:C1000, data!A$2:A1000=$F81, data!D$2:D1000=$G81, data!E$2:E1000=1))
, """")
"),"")</f>
        <v/>
      </c>
      <c r="N81" s="64" t="str">
        <f t="shared" ref="N81:P81" si="161">IF(H81="",,ABS(H81))
</f>
        <v/>
      </c>
      <c r="O81" s="64" t="str">
        <f t="shared" si="161"/>
        <v/>
      </c>
      <c r="P81" s="64" t="str">
        <f t="shared" si="161"/>
        <v/>
      </c>
      <c r="Q81" s="64" t="str">
        <f t="shared" si="4"/>
        <v/>
      </c>
      <c r="R81" s="64" t="str">
        <f t="shared" ref="R81:S81" si="162">IF(L81="",,ABS(L81))
</f>
        <v/>
      </c>
      <c r="S81" s="64" t="str">
        <f t="shared" si="162"/>
        <v/>
      </c>
      <c r="T81" s="55"/>
      <c r="U81" s="55"/>
      <c r="V81" s="55"/>
      <c r="W81" s="64"/>
      <c r="X81" s="64"/>
      <c r="Y81" s="55"/>
      <c r="Z81" s="55"/>
      <c r="AA81" s="55"/>
      <c r="AB81" s="64"/>
      <c r="AC81" s="64"/>
      <c r="AD81" s="64"/>
      <c r="AE81" s="64"/>
      <c r="AF81" s="64"/>
      <c r="AG81" s="55"/>
      <c r="AH81" s="55"/>
      <c r="AI81" s="64"/>
      <c r="AJ81" s="64"/>
      <c r="AK81" s="64"/>
      <c r="AL81" s="64"/>
      <c r="AM81" s="64"/>
      <c r="AN81" s="64"/>
      <c r="AO81" s="55"/>
      <c r="AP81" s="55"/>
      <c r="AQ81" s="64"/>
      <c r="AR81" s="64"/>
      <c r="AS81" s="64"/>
      <c r="AT81" s="64"/>
      <c r="AU81" s="64"/>
      <c r="AV81" s="55"/>
      <c r="AW81" s="55"/>
      <c r="AX81" s="64"/>
      <c r="AY81" s="64"/>
      <c r="AZ81" s="64"/>
      <c r="BA81" s="64"/>
      <c r="BB81" s="64"/>
      <c r="BC81" s="55"/>
      <c r="BD81" s="55"/>
      <c r="BE81" s="64"/>
      <c r="BF81" s="55"/>
      <c r="BG81" s="64"/>
      <c r="BH81" s="64"/>
      <c r="BI81" s="64"/>
      <c r="BJ81" s="64"/>
      <c r="BK81" s="55"/>
      <c r="BL81" s="55"/>
      <c r="BM81" s="55"/>
      <c r="BN81" s="64"/>
      <c r="BO81" s="64"/>
      <c r="BP81" s="64"/>
      <c r="BQ81" s="64"/>
      <c r="BR81" s="64"/>
      <c r="BS81" s="64"/>
      <c r="BT81" s="64"/>
      <c r="BU81" s="64"/>
      <c r="BV81" s="64"/>
      <c r="BW81" s="55"/>
      <c r="BX81" s="55"/>
      <c r="BY81" s="55"/>
      <c r="BZ81" s="55"/>
      <c r="CA81" s="55"/>
      <c r="CB81" s="55"/>
      <c r="CC81" s="55"/>
      <c r="CD81" s="55"/>
      <c r="CE81" s="55"/>
      <c r="CF81" s="55"/>
      <c r="CG81" s="55"/>
      <c r="CH81" s="55"/>
    </row>
    <row r="82" ht="16.5" customHeight="1">
      <c r="A82" s="55"/>
      <c r="B82" s="55"/>
      <c r="C82" s="55"/>
      <c r="D82" s="55"/>
      <c r="E82" s="55"/>
      <c r="F82" s="55"/>
      <c r="G82" s="55"/>
      <c r="H82" s="64" t="str">
        <f>IFERROR(__xludf.DUMMYFUNCTION("IFERROR(
  AVERAGE(FILTER(data!B$2:B1000, data!A$2:A1000=$F82, data!D$2:D1000=$G82, data!E$2:E1000=2))
  -
  AVERAGE(FILTER(data!B$2:B1000, data!A$2:A1000=$F82, data!D$2:D1000=$G82, data!E$2:E1000=1))
, """")
"),"")</f>
        <v/>
      </c>
      <c r="I82" s="64" t="str">
        <f>IFERROR(__xludf.DUMMYFUNCTION("IFERROR(
  AVERAGE(FILTER(data!B$2:B1000, data!A$2:A1000=$F82, data!D$2:D1000=$G82, data!E$2:E1000=3))
  -
  AVERAGE(FILTER(data!B$2:B1000, data!A$2:A1000=$F82, data!D$2:D1000=$G82, data!E$2:E1000=2))
, """")
"),"")</f>
        <v/>
      </c>
      <c r="J82" s="64" t="str">
        <f>IFERROR(__xludf.DUMMYFUNCTION("IFERROR(
  AVERAGE(FILTER(data!B$2:B1000, data!A$2:A1000=$F82, data!D$2:D1000=$G82, data!E$2:E1000=3))
  -
  AVERAGE(FILTER(data!B$2:B1000, data!A$2:A1000=$F82, data!D$2:D1000=$G82, data!E$2:E1000=1))
, """")
"),"")</f>
        <v/>
      </c>
      <c r="K82" s="64" t="str">
        <f>IFERROR(__xludf.DUMMYFUNCTION("IFERROR(
  AVERAGE(FILTER(data!C$2:C1000, data!A$2:A1000=$F82, data!D$2:D1000=$G82, data!E$2:E1000=2))
  -
  AVERAGE(FILTER(data!C$2:C1000, data!A$2:A1000=$F82, data!D$2:D1000=$G82, data!E$2:E1000=1))
, """")
"),"")</f>
        <v/>
      </c>
      <c r="L82" s="64" t="str">
        <f>IFERROR(__xludf.DUMMYFUNCTION("IFERROR(
  AVERAGE(FILTER(data!C$2:C1000, data!A$2:A1000=$F82, data!D$2:D1000=$G82, data!E$2:E1000=3))
  -
  AVERAGE(FILTER(data!C$2:C1000, data!A$2:A1000=$F82, data!D$2:D1000=$G82, data!E$2:E1000=2))
, """")
"),"")</f>
        <v/>
      </c>
      <c r="M82" s="64" t="str">
        <f>IFERROR(__xludf.DUMMYFUNCTION("IFERROR(
  AVERAGE(FILTER(data!C$2:C1000, data!A$2:A1000=$F82, data!D$2:D1000=$G82, data!E$2:E1000=3))
  -
  AVERAGE(FILTER(data!C$2:C1000, data!A$2:A1000=$F82, data!D$2:D1000=$G82, data!E$2:E1000=1))
, """")
"),"")</f>
        <v/>
      </c>
      <c r="N82" s="64" t="str">
        <f t="shared" ref="N82:P82" si="163">IF(H82="",,ABS(H82))
</f>
        <v/>
      </c>
      <c r="O82" s="64" t="str">
        <f t="shared" si="163"/>
        <v/>
      </c>
      <c r="P82" s="64" t="str">
        <f t="shared" si="163"/>
        <v/>
      </c>
      <c r="Q82" s="64" t="str">
        <f t="shared" si="4"/>
        <v/>
      </c>
      <c r="R82" s="64" t="str">
        <f t="shared" ref="R82:S82" si="164">IF(L82="",,ABS(L82))
</f>
        <v/>
      </c>
      <c r="S82" s="64" t="str">
        <f t="shared" si="164"/>
        <v/>
      </c>
      <c r="T82" s="55"/>
      <c r="U82" s="55"/>
      <c r="V82" s="55"/>
      <c r="W82" s="64"/>
      <c r="X82" s="64"/>
      <c r="Y82" s="55"/>
      <c r="Z82" s="55"/>
      <c r="AA82" s="55"/>
      <c r="AB82" s="64"/>
      <c r="AC82" s="64"/>
      <c r="AD82" s="64"/>
      <c r="AE82" s="64"/>
      <c r="AF82" s="64"/>
      <c r="AG82" s="55"/>
      <c r="AH82" s="55"/>
      <c r="AI82" s="64"/>
      <c r="AJ82" s="64"/>
      <c r="AK82" s="64"/>
      <c r="AL82" s="64"/>
      <c r="AM82" s="64"/>
      <c r="AN82" s="64"/>
      <c r="AO82" s="55"/>
      <c r="AP82" s="55"/>
      <c r="AQ82" s="64"/>
      <c r="AR82" s="64"/>
      <c r="AS82" s="64"/>
      <c r="AT82" s="64"/>
      <c r="AU82" s="64"/>
      <c r="AV82" s="55"/>
      <c r="AW82" s="55"/>
      <c r="AX82" s="64"/>
      <c r="AY82" s="64"/>
      <c r="AZ82" s="64"/>
      <c r="BA82" s="64"/>
      <c r="BB82" s="64"/>
      <c r="BC82" s="55"/>
      <c r="BD82" s="55"/>
      <c r="BE82" s="64"/>
      <c r="BF82" s="55"/>
      <c r="BG82" s="64"/>
      <c r="BH82" s="64"/>
      <c r="BI82" s="64"/>
      <c r="BJ82" s="64"/>
      <c r="BK82" s="55"/>
      <c r="BL82" s="55"/>
      <c r="BM82" s="55"/>
      <c r="BN82" s="64"/>
      <c r="BO82" s="64"/>
      <c r="BP82" s="64"/>
      <c r="BQ82" s="64"/>
      <c r="BR82" s="64"/>
      <c r="BS82" s="64"/>
      <c r="BT82" s="64"/>
      <c r="BU82" s="64"/>
      <c r="BV82" s="64"/>
      <c r="BW82" s="55"/>
      <c r="BX82" s="55"/>
      <c r="BY82" s="55"/>
      <c r="BZ82" s="55"/>
      <c r="CA82" s="55"/>
      <c r="CB82" s="55"/>
      <c r="CC82" s="55"/>
      <c r="CD82" s="55"/>
      <c r="CE82" s="55"/>
      <c r="CF82" s="55"/>
      <c r="CG82" s="55"/>
      <c r="CH82" s="55"/>
    </row>
    <row r="83" ht="16.5" customHeight="1">
      <c r="A83" s="55"/>
      <c r="B83" s="55"/>
      <c r="C83" s="55"/>
      <c r="D83" s="55"/>
      <c r="E83" s="55"/>
      <c r="F83" s="55"/>
      <c r="G83" s="55"/>
      <c r="H83" s="64" t="str">
        <f>IFERROR(__xludf.DUMMYFUNCTION("IFERROR(
  AVERAGE(FILTER(data!B$2:B1000, data!A$2:A1000=$F83, data!D$2:D1000=$G83, data!E$2:E1000=2))
  -
  AVERAGE(FILTER(data!B$2:B1000, data!A$2:A1000=$F83, data!D$2:D1000=$G83, data!E$2:E1000=1))
, """")
"),"")</f>
        <v/>
      </c>
      <c r="I83" s="64" t="str">
        <f>IFERROR(__xludf.DUMMYFUNCTION("IFERROR(
  AVERAGE(FILTER(data!B$2:B1000, data!A$2:A1000=$F83, data!D$2:D1000=$G83, data!E$2:E1000=3))
  -
  AVERAGE(FILTER(data!B$2:B1000, data!A$2:A1000=$F83, data!D$2:D1000=$G83, data!E$2:E1000=2))
, """")
"),"")</f>
        <v/>
      </c>
      <c r="J83" s="64" t="str">
        <f>IFERROR(__xludf.DUMMYFUNCTION("IFERROR(
  AVERAGE(FILTER(data!B$2:B1000, data!A$2:A1000=$F83, data!D$2:D1000=$G83, data!E$2:E1000=3))
  -
  AVERAGE(FILTER(data!B$2:B1000, data!A$2:A1000=$F83, data!D$2:D1000=$G83, data!E$2:E1000=1))
, """")
"),"")</f>
        <v/>
      </c>
      <c r="K83" s="64" t="str">
        <f>IFERROR(__xludf.DUMMYFUNCTION("IFERROR(
  AVERAGE(FILTER(data!C$2:C1000, data!A$2:A1000=$F83, data!D$2:D1000=$G83, data!E$2:E1000=2))
  -
  AVERAGE(FILTER(data!C$2:C1000, data!A$2:A1000=$F83, data!D$2:D1000=$G83, data!E$2:E1000=1))
, """")
"),"")</f>
        <v/>
      </c>
      <c r="L83" s="64" t="str">
        <f>IFERROR(__xludf.DUMMYFUNCTION("IFERROR(
  AVERAGE(FILTER(data!C$2:C1000, data!A$2:A1000=$F83, data!D$2:D1000=$G83, data!E$2:E1000=3))
  -
  AVERAGE(FILTER(data!C$2:C1000, data!A$2:A1000=$F83, data!D$2:D1000=$G83, data!E$2:E1000=2))
, """")
"),"")</f>
        <v/>
      </c>
      <c r="M83" s="64" t="str">
        <f>IFERROR(__xludf.DUMMYFUNCTION("IFERROR(
  AVERAGE(FILTER(data!C$2:C1000, data!A$2:A1000=$F83, data!D$2:D1000=$G83, data!E$2:E1000=3))
  -
  AVERAGE(FILTER(data!C$2:C1000, data!A$2:A1000=$F83, data!D$2:D1000=$G83, data!E$2:E1000=1))
, """")
"),"")</f>
        <v/>
      </c>
      <c r="N83" s="64" t="str">
        <f t="shared" ref="N83:P83" si="165">IF(H83="",,ABS(H83))
</f>
        <v/>
      </c>
      <c r="O83" s="64" t="str">
        <f t="shared" si="165"/>
        <v/>
      </c>
      <c r="P83" s="64" t="str">
        <f t="shared" si="165"/>
        <v/>
      </c>
      <c r="Q83" s="64" t="str">
        <f t="shared" si="4"/>
        <v/>
      </c>
      <c r="R83" s="64" t="str">
        <f t="shared" ref="R83:S83" si="166">IF(L83="",,ABS(L83))
</f>
        <v/>
      </c>
      <c r="S83" s="64" t="str">
        <f t="shared" si="166"/>
        <v/>
      </c>
      <c r="T83" s="55"/>
      <c r="U83" s="55"/>
      <c r="V83" s="55"/>
      <c r="W83" s="64"/>
      <c r="X83" s="64"/>
      <c r="Y83" s="55"/>
      <c r="Z83" s="55"/>
      <c r="AA83" s="55"/>
      <c r="AB83" s="64"/>
      <c r="AC83" s="64"/>
      <c r="AD83" s="64"/>
      <c r="AE83" s="64"/>
      <c r="AF83" s="64"/>
      <c r="AG83" s="55"/>
      <c r="AH83" s="55"/>
      <c r="AI83" s="64"/>
      <c r="AJ83" s="64"/>
      <c r="AK83" s="64"/>
      <c r="AL83" s="64"/>
      <c r="AM83" s="64"/>
      <c r="AN83" s="64"/>
      <c r="AO83" s="55"/>
      <c r="AP83" s="55"/>
      <c r="AQ83" s="64"/>
      <c r="AR83" s="64"/>
      <c r="AS83" s="64"/>
      <c r="AT83" s="64"/>
      <c r="AU83" s="64"/>
      <c r="AV83" s="55"/>
      <c r="AW83" s="55"/>
      <c r="AX83" s="64"/>
      <c r="AY83" s="64"/>
      <c r="AZ83" s="64"/>
      <c r="BA83" s="64"/>
      <c r="BB83" s="64"/>
      <c r="BC83" s="55"/>
      <c r="BD83" s="55"/>
      <c r="BE83" s="64"/>
      <c r="BF83" s="55"/>
      <c r="BG83" s="64"/>
      <c r="BH83" s="64"/>
      <c r="BI83" s="64"/>
      <c r="BJ83" s="64"/>
      <c r="BK83" s="55"/>
      <c r="BL83" s="55"/>
      <c r="BM83" s="55"/>
      <c r="BN83" s="64"/>
      <c r="BO83" s="64"/>
      <c r="BP83" s="64"/>
      <c r="BQ83" s="64"/>
      <c r="BR83" s="64"/>
      <c r="BS83" s="64"/>
      <c r="BT83" s="64"/>
      <c r="BU83" s="64"/>
      <c r="BV83" s="64"/>
      <c r="BW83" s="55"/>
      <c r="BX83" s="55"/>
      <c r="BY83" s="55"/>
      <c r="BZ83" s="55"/>
      <c r="CA83" s="55"/>
      <c r="CB83" s="55"/>
      <c r="CC83" s="55"/>
      <c r="CD83" s="55"/>
      <c r="CE83" s="55"/>
      <c r="CF83" s="55"/>
      <c r="CG83" s="55"/>
      <c r="CH83" s="55"/>
    </row>
    <row r="84" ht="16.5" customHeight="1">
      <c r="A84" s="55"/>
      <c r="B84" s="55"/>
      <c r="C84" s="55"/>
      <c r="D84" s="55"/>
      <c r="E84" s="55"/>
      <c r="F84" s="55"/>
      <c r="G84" s="55"/>
      <c r="H84" s="64" t="str">
        <f>IFERROR(__xludf.DUMMYFUNCTION("IFERROR(
  AVERAGE(FILTER(data!B$2:B1000, data!A$2:A1000=$F84, data!D$2:D1000=$G84, data!E$2:E1000=2))
  -
  AVERAGE(FILTER(data!B$2:B1000, data!A$2:A1000=$F84, data!D$2:D1000=$G84, data!E$2:E1000=1))
, """")
"),"")</f>
        <v/>
      </c>
      <c r="I84" s="64" t="str">
        <f>IFERROR(__xludf.DUMMYFUNCTION("IFERROR(
  AVERAGE(FILTER(data!B$2:B1000, data!A$2:A1000=$F84, data!D$2:D1000=$G84, data!E$2:E1000=3))
  -
  AVERAGE(FILTER(data!B$2:B1000, data!A$2:A1000=$F84, data!D$2:D1000=$G84, data!E$2:E1000=2))
, """")
"),"")</f>
        <v/>
      </c>
      <c r="J84" s="64" t="str">
        <f>IFERROR(__xludf.DUMMYFUNCTION("IFERROR(
  AVERAGE(FILTER(data!B$2:B1000, data!A$2:A1000=$F84, data!D$2:D1000=$G84, data!E$2:E1000=3))
  -
  AVERAGE(FILTER(data!B$2:B1000, data!A$2:A1000=$F84, data!D$2:D1000=$G84, data!E$2:E1000=1))
, """")
"),"")</f>
        <v/>
      </c>
      <c r="K84" s="64" t="str">
        <f>IFERROR(__xludf.DUMMYFUNCTION("IFERROR(
  AVERAGE(FILTER(data!C$2:C1000, data!A$2:A1000=$F84, data!D$2:D1000=$G84, data!E$2:E1000=2))
  -
  AVERAGE(FILTER(data!C$2:C1000, data!A$2:A1000=$F84, data!D$2:D1000=$G84, data!E$2:E1000=1))
, """")
"),"")</f>
        <v/>
      </c>
      <c r="L84" s="64" t="str">
        <f>IFERROR(__xludf.DUMMYFUNCTION("IFERROR(
  AVERAGE(FILTER(data!C$2:C1000, data!A$2:A1000=$F84, data!D$2:D1000=$G84, data!E$2:E1000=3))
  -
  AVERAGE(FILTER(data!C$2:C1000, data!A$2:A1000=$F84, data!D$2:D1000=$G84, data!E$2:E1000=2))
, """")
"),"")</f>
        <v/>
      </c>
      <c r="M84" s="64" t="str">
        <f>IFERROR(__xludf.DUMMYFUNCTION("IFERROR(
  AVERAGE(FILTER(data!C$2:C1000, data!A$2:A1000=$F84, data!D$2:D1000=$G84, data!E$2:E1000=3))
  -
  AVERAGE(FILTER(data!C$2:C1000, data!A$2:A1000=$F84, data!D$2:D1000=$G84, data!E$2:E1000=1))
, """")
"),"")</f>
        <v/>
      </c>
      <c r="N84" s="64" t="str">
        <f t="shared" ref="N84:P84" si="167">IF(H84="",,ABS(H84))
</f>
        <v/>
      </c>
      <c r="O84" s="64" t="str">
        <f t="shared" si="167"/>
        <v/>
      </c>
      <c r="P84" s="64" t="str">
        <f t="shared" si="167"/>
        <v/>
      </c>
      <c r="Q84" s="64" t="str">
        <f t="shared" si="4"/>
        <v/>
      </c>
      <c r="R84" s="64" t="str">
        <f t="shared" ref="R84:S84" si="168">IF(L84="",,ABS(L84))
</f>
        <v/>
      </c>
      <c r="S84" s="64" t="str">
        <f t="shared" si="168"/>
        <v/>
      </c>
      <c r="T84" s="55"/>
      <c r="U84" s="55"/>
      <c r="V84" s="55"/>
      <c r="W84" s="64"/>
      <c r="X84" s="64"/>
      <c r="Y84" s="55"/>
      <c r="Z84" s="55"/>
      <c r="AA84" s="55"/>
      <c r="AB84" s="64"/>
      <c r="AC84" s="64"/>
      <c r="AD84" s="64"/>
      <c r="AE84" s="64"/>
      <c r="AF84" s="64"/>
      <c r="AG84" s="55"/>
      <c r="AH84" s="55"/>
      <c r="AI84" s="64"/>
      <c r="AJ84" s="64"/>
      <c r="AK84" s="64"/>
      <c r="AL84" s="64"/>
      <c r="AM84" s="64"/>
      <c r="AN84" s="64"/>
      <c r="AO84" s="55"/>
      <c r="AP84" s="55"/>
      <c r="AQ84" s="64"/>
      <c r="AR84" s="64"/>
      <c r="AS84" s="64"/>
      <c r="AT84" s="64"/>
      <c r="AU84" s="64"/>
      <c r="AV84" s="55"/>
      <c r="AW84" s="55"/>
      <c r="AX84" s="64"/>
      <c r="AY84" s="64"/>
      <c r="AZ84" s="64"/>
      <c r="BA84" s="64"/>
      <c r="BB84" s="64"/>
      <c r="BC84" s="55"/>
      <c r="BD84" s="55"/>
      <c r="BE84" s="64"/>
      <c r="BF84" s="55"/>
      <c r="BG84" s="64"/>
      <c r="BH84" s="64"/>
      <c r="BI84" s="64"/>
      <c r="BJ84" s="64"/>
      <c r="BK84" s="55"/>
      <c r="BL84" s="55"/>
      <c r="BM84" s="55"/>
      <c r="BN84" s="64"/>
      <c r="BO84" s="64"/>
      <c r="BP84" s="64"/>
      <c r="BQ84" s="64"/>
      <c r="BR84" s="64"/>
      <c r="BS84" s="64"/>
      <c r="BT84" s="64"/>
      <c r="BU84" s="64"/>
      <c r="BV84" s="64"/>
      <c r="BW84" s="55"/>
      <c r="BX84" s="55"/>
      <c r="BY84" s="55"/>
      <c r="BZ84" s="55"/>
      <c r="CA84" s="55"/>
      <c r="CB84" s="55"/>
      <c r="CC84" s="55"/>
      <c r="CD84" s="55"/>
      <c r="CE84" s="55"/>
      <c r="CF84" s="55"/>
      <c r="CG84" s="55"/>
      <c r="CH84" s="55"/>
    </row>
    <row r="85" ht="16.5" customHeight="1">
      <c r="A85" s="55"/>
      <c r="B85" s="55"/>
      <c r="C85" s="55"/>
      <c r="D85" s="55"/>
      <c r="E85" s="55"/>
      <c r="F85" s="55"/>
      <c r="G85" s="55"/>
      <c r="H85" s="64" t="str">
        <f>IFERROR(__xludf.DUMMYFUNCTION("IFERROR(
  AVERAGE(FILTER(data!B$2:B1000, data!A$2:A1000=$F85, data!D$2:D1000=$G85, data!E$2:E1000=2))
  -
  AVERAGE(FILTER(data!B$2:B1000, data!A$2:A1000=$F85, data!D$2:D1000=$G85, data!E$2:E1000=1))
, """")
"),"")</f>
        <v/>
      </c>
      <c r="I85" s="64" t="str">
        <f>IFERROR(__xludf.DUMMYFUNCTION("IFERROR(
  AVERAGE(FILTER(data!B$2:B1000, data!A$2:A1000=$F85, data!D$2:D1000=$G85, data!E$2:E1000=3))
  -
  AVERAGE(FILTER(data!B$2:B1000, data!A$2:A1000=$F85, data!D$2:D1000=$G85, data!E$2:E1000=2))
, """")
"),"")</f>
        <v/>
      </c>
      <c r="J85" s="64" t="str">
        <f>IFERROR(__xludf.DUMMYFUNCTION("IFERROR(
  AVERAGE(FILTER(data!B$2:B1000, data!A$2:A1000=$F85, data!D$2:D1000=$G85, data!E$2:E1000=3))
  -
  AVERAGE(FILTER(data!B$2:B1000, data!A$2:A1000=$F85, data!D$2:D1000=$G85, data!E$2:E1000=1))
, """")
"),"")</f>
        <v/>
      </c>
      <c r="K85" s="64" t="str">
        <f>IFERROR(__xludf.DUMMYFUNCTION("IFERROR(
  AVERAGE(FILTER(data!C$2:C1000, data!A$2:A1000=$F85, data!D$2:D1000=$G85, data!E$2:E1000=2))
  -
  AVERAGE(FILTER(data!C$2:C1000, data!A$2:A1000=$F85, data!D$2:D1000=$G85, data!E$2:E1000=1))
, """")
"),"")</f>
        <v/>
      </c>
      <c r="L85" s="64" t="str">
        <f>IFERROR(__xludf.DUMMYFUNCTION("IFERROR(
  AVERAGE(FILTER(data!C$2:C1000, data!A$2:A1000=$F85, data!D$2:D1000=$G85, data!E$2:E1000=3))
  -
  AVERAGE(FILTER(data!C$2:C1000, data!A$2:A1000=$F85, data!D$2:D1000=$G85, data!E$2:E1000=2))
, """")
"),"")</f>
        <v/>
      </c>
      <c r="M85" s="64" t="str">
        <f>IFERROR(__xludf.DUMMYFUNCTION("IFERROR(
  AVERAGE(FILTER(data!C$2:C1000, data!A$2:A1000=$F85, data!D$2:D1000=$G85, data!E$2:E1000=3))
  -
  AVERAGE(FILTER(data!C$2:C1000, data!A$2:A1000=$F85, data!D$2:D1000=$G85, data!E$2:E1000=1))
, """")
"),"")</f>
        <v/>
      </c>
      <c r="N85" s="64" t="str">
        <f t="shared" ref="N85:P85" si="169">IF(H85="",,ABS(H85))
</f>
        <v/>
      </c>
      <c r="O85" s="64" t="str">
        <f t="shared" si="169"/>
        <v/>
      </c>
      <c r="P85" s="64" t="str">
        <f t="shared" si="169"/>
        <v/>
      </c>
      <c r="Q85" s="64" t="str">
        <f t="shared" si="4"/>
        <v/>
      </c>
      <c r="R85" s="64" t="str">
        <f t="shared" ref="R85:S85" si="170">IF(L85="",,ABS(L85))
</f>
        <v/>
      </c>
      <c r="S85" s="64" t="str">
        <f t="shared" si="170"/>
        <v/>
      </c>
      <c r="T85" s="55"/>
      <c r="U85" s="55"/>
      <c r="V85" s="55"/>
      <c r="W85" s="64"/>
      <c r="X85" s="64"/>
      <c r="Y85" s="55"/>
      <c r="Z85" s="55"/>
      <c r="AA85" s="55"/>
      <c r="AB85" s="64"/>
      <c r="AC85" s="64"/>
      <c r="AD85" s="64"/>
      <c r="AE85" s="64"/>
      <c r="AF85" s="64"/>
      <c r="AG85" s="55"/>
      <c r="AH85" s="55"/>
      <c r="AI85" s="64"/>
      <c r="AJ85" s="64"/>
      <c r="AK85" s="64"/>
      <c r="AL85" s="64"/>
      <c r="AM85" s="64"/>
      <c r="AN85" s="64"/>
      <c r="AO85" s="55"/>
      <c r="AP85" s="55"/>
      <c r="AQ85" s="64"/>
      <c r="AR85" s="64"/>
      <c r="AS85" s="64"/>
      <c r="AT85" s="64"/>
      <c r="AU85" s="64"/>
      <c r="AV85" s="55"/>
      <c r="AW85" s="55"/>
      <c r="AX85" s="64"/>
      <c r="AY85" s="64"/>
      <c r="AZ85" s="64"/>
      <c r="BA85" s="64"/>
      <c r="BB85" s="64"/>
      <c r="BC85" s="55"/>
      <c r="BD85" s="55"/>
      <c r="BE85" s="64"/>
      <c r="BF85" s="55"/>
      <c r="BG85" s="64"/>
      <c r="BH85" s="64"/>
      <c r="BI85" s="64"/>
      <c r="BJ85" s="64"/>
      <c r="BK85" s="55"/>
      <c r="BL85" s="55"/>
      <c r="BM85" s="55"/>
      <c r="BN85" s="64"/>
      <c r="BO85" s="64"/>
      <c r="BP85" s="64"/>
      <c r="BQ85" s="64"/>
      <c r="BR85" s="64"/>
      <c r="BS85" s="64"/>
      <c r="BT85" s="64"/>
      <c r="BU85" s="64"/>
      <c r="BV85" s="64"/>
      <c r="BW85" s="55"/>
      <c r="BX85" s="55"/>
      <c r="BY85" s="55"/>
      <c r="BZ85" s="55"/>
      <c r="CA85" s="55"/>
      <c r="CB85" s="55"/>
      <c r="CC85" s="55"/>
      <c r="CD85" s="55"/>
      <c r="CE85" s="55"/>
      <c r="CF85" s="55"/>
      <c r="CG85" s="55"/>
      <c r="CH85" s="55"/>
    </row>
    <row r="86" ht="16.5" customHeight="1">
      <c r="A86" s="55"/>
      <c r="B86" s="55"/>
      <c r="C86" s="55"/>
      <c r="D86" s="55"/>
      <c r="E86" s="55"/>
      <c r="F86" s="55"/>
      <c r="G86" s="55"/>
      <c r="H86" s="64" t="str">
        <f>IFERROR(__xludf.DUMMYFUNCTION("IFERROR(
  AVERAGE(FILTER(data!B$2:B1000, data!A$2:A1000=$F86, data!D$2:D1000=$G86, data!E$2:E1000=2))
  -
  AVERAGE(FILTER(data!B$2:B1000, data!A$2:A1000=$F86, data!D$2:D1000=$G86, data!E$2:E1000=1))
, """")
"),"")</f>
        <v/>
      </c>
      <c r="I86" s="64" t="str">
        <f>IFERROR(__xludf.DUMMYFUNCTION("IFERROR(
  AVERAGE(FILTER(data!B$2:B1000, data!A$2:A1000=$F86, data!D$2:D1000=$G86, data!E$2:E1000=3))
  -
  AVERAGE(FILTER(data!B$2:B1000, data!A$2:A1000=$F86, data!D$2:D1000=$G86, data!E$2:E1000=2))
, """")
"),"")</f>
        <v/>
      </c>
      <c r="J86" s="64" t="str">
        <f>IFERROR(__xludf.DUMMYFUNCTION("IFERROR(
  AVERAGE(FILTER(data!B$2:B1000, data!A$2:A1000=$F86, data!D$2:D1000=$G86, data!E$2:E1000=3))
  -
  AVERAGE(FILTER(data!B$2:B1000, data!A$2:A1000=$F86, data!D$2:D1000=$G86, data!E$2:E1000=1))
, """")
"),"")</f>
        <v/>
      </c>
      <c r="K86" s="64" t="str">
        <f>IFERROR(__xludf.DUMMYFUNCTION("IFERROR(
  AVERAGE(FILTER(data!C$2:C1000, data!A$2:A1000=$F86, data!D$2:D1000=$G86, data!E$2:E1000=2))
  -
  AVERAGE(FILTER(data!C$2:C1000, data!A$2:A1000=$F86, data!D$2:D1000=$G86, data!E$2:E1000=1))
, """")
"),"")</f>
        <v/>
      </c>
      <c r="L86" s="64" t="str">
        <f>IFERROR(__xludf.DUMMYFUNCTION("IFERROR(
  AVERAGE(FILTER(data!C$2:C1000, data!A$2:A1000=$F86, data!D$2:D1000=$G86, data!E$2:E1000=3))
  -
  AVERAGE(FILTER(data!C$2:C1000, data!A$2:A1000=$F86, data!D$2:D1000=$G86, data!E$2:E1000=2))
, """")
"),"")</f>
        <v/>
      </c>
      <c r="M86" s="64" t="str">
        <f>IFERROR(__xludf.DUMMYFUNCTION("IFERROR(
  AVERAGE(FILTER(data!C$2:C1000, data!A$2:A1000=$F86, data!D$2:D1000=$G86, data!E$2:E1000=3))
  -
  AVERAGE(FILTER(data!C$2:C1000, data!A$2:A1000=$F86, data!D$2:D1000=$G86, data!E$2:E1000=1))
, """")
"),"")</f>
        <v/>
      </c>
      <c r="N86" s="64" t="str">
        <f t="shared" ref="N86:P86" si="171">IF(H86="",,ABS(H86))
</f>
        <v/>
      </c>
      <c r="O86" s="64" t="str">
        <f t="shared" si="171"/>
        <v/>
      </c>
      <c r="P86" s="64" t="str">
        <f t="shared" si="171"/>
        <v/>
      </c>
      <c r="Q86" s="64" t="str">
        <f t="shared" si="4"/>
        <v/>
      </c>
      <c r="R86" s="64" t="str">
        <f t="shared" ref="R86:S86" si="172">IF(L86="",,ABS(L86))
</f>
        <v/>
      </c>
      <c r="S86" s="64" t="str">
        <f t="shared" si="172"/>
        <v/>
      </c>
      <c r="T86" s="55"/>
      <c r="U86" s="55"/>
      <c r="V86" s="55"/>
      <c r="W86" s="64"/>
      <c r="X86" s="64"/>
      <c r="Y86" s="55"/>
      <c r="Z86" s="55"/>
      <c r="AA86" s="55"/>
      <c r="AB86" s="64"/>
      <c r="AC86" s="64"/>
      <c r="AD86" s="64"/>
      <c r="AE86" s="64"/>
      <c r="AF86" s="64"/>
      <c r="AG86" s="55"/>
      <c r="AH86" s="55"/>
      <c r="AI86" s="64"/>
      <c r="AJ86" s="64"/>
      <c r="AK86" s="64"/>
      <c r="AL86" s="64"/>
      <c r="AM86" s="64"/>
      <c r="AN86" s="64"/>
      <c r="AO86" s="55"/>
      <c r="AP86" s="55"/>
      <c r="AQ86" s="64"/>
      <c r="AR86" s="64"/>
      <c r="AS86" s="64"/>
      <c r="AT86" s="64"/>
      <c r="AU86" s="64"/>
      <c r="AV86" s="55"/>
      <c r="AW86" s="55"/>
      <c r="AX86" s="64"/>
      <c r="AY86" s="64"/>
      <c r="AZ86" s="64"/>
      <c r="BA86" s="64"/>
      <c r="BB86" s="64"/>
      <c r="BC86" s="55"/>
      <c r="BD86" s="55"/>
      <c r="BE86" s="64"/>
      <c r="BF86" s="55"/>
      <c r="BG86" s="64"/>
      <c r="BH86" s="64"/>
      <c r="BI86" s="64"/>
      <c r="BJ86" s="64"/>
      <c r="BK86" s="55"/>
      <c r="BL86" s="55"/>
      <c r="BM86" s="55"/>
      <c r="BN86" s="64"/>
      <c r="BO86" s="64"/>
      <c r="BP86" s="64"/>
      <c r="BQ86" s="64"/>
      <c r="BR86" s="64"/>
      <c r="BS86" s="64"/>
      <c r="BT86" s="64"/>
      <c r="BU86" s="64"/>
      <c r="BV86" s="64"/>
      <c r="BW86" s="55"/>
      <c r="BX86" s="55"/>
      <c r="BY86" s="55"/>
      <c r="BZ86" s="55"/>
      <c r="CA86" s="55"/>
      <c r="CB86" s="55"/>
      <c r="CC86" s="55"/>
      <c r="CD86" s="55"/>
      <c r="CE86" s="55"/>
      <c r="CF86" s="55"/>
      <c r="CG86" s="55"/>
      <c r="CH86" s="55"/>
    </row>
    <row r="87" ht="16.5" customHeight="1">
      <c r="A87" s="55"/>
      <c r="B87" s="55"/>
      <c r="C87" s="55"/>
      <c r="D87" s="55"/>
      <c r="E87" s="55"/>
      <c r="F87" s="55"/>
      <c r="G87" s="55"/>
      <c r="H87" s="64" t="str">
        <f>IFERROR(__xludf.DUMMYFUNCTION("IFERROR(
  AVERAGE(FILTER(data!B$2:B1000, data!A$2:A1000=$F87, data!D$2:D1000=$G87, data!E$2:E1000=2))
  -
  AVERAGE(FILTER(data!B$2:B1000, data!A$2:A1000=$F87, data!D$2:D1000=$G87, data!E$2:E1000=1))
, """")
"),"")</f>
        <v/>
      </c>
      <c r="I87" s="64" t="str">
        <f>IFERROR(__xludf.DUMMYFUNCTION("IFERROR(
  AVERAGE(FILTER(data!B$2:B1000, data!A$2:A1000=$F87, data!D$2:D1000=$G87, data!E$2:E1000=3))
  -
  AVERAGE(FILTER(data!B$2:B1000, data!A$2:A1000=$F87, data!D$2:D1000=$G87, data!E$2:E1000=2))
, """")
"),"")</f>
        <v/>
      </c>
      <c r="J87" s="64" t="str">
        <f>IFERROR(__xludf.DUMMYFUNCTION("IFERROR(
  AVERAGE(FILTER(data!B$2:B1000, data!A$2:A1000=$F87, data!D$2:D1000=$G87, data!E$2:E1000=3))
  -
  AVERAGE(FILTER(data!B$2:B1000, data!A$2:A1000=$F87, data!D$2:D1000=$G87, data!E$2:E1000=1))
, """")
"),"")</f>
        <v/>
      </c>
      <c r="K87" s="64" t="str">
        <f>IFERROR(__xludf.DUMMYFUNCTION("IFERROR(
  AVERAGE(FILTER(data!C$2:C1000, data!A$2:A1000=$F87, data!D$2:D1000=$G87, data!E$2:E1000=2))
  -
  AVERAGE(FILTER(data!C$2:C1000, data!A$2:A1000=$F87, data!D$2:D1000=$G87, data!E$2:E1000=1))
, """")
"),"")</f>
        <v/>
      </c>
      <c r="L87" s="64" t="str">
        <f>IFERROR(__xludf.DUMMYFUNCTION("IFERROR(
  AVERAGE(FILTER(data!C$2:C1000, data!A$2:A1000=$F87, data!D$2:D1000=$G87, data!E$2:E1000=3))
  -
  AVERAGE(FILTER(data!C$2:C1000, data!A$2:A1000=$F87, data!D$2:D1000=$G87, data!E$2:E1000=2))
, """")
"),"")</f>
        <v/>
      </c>
      <c r="M87" s="64" t="str">
        <f>IFERROR(__xludf.DUMMYFUNCTION("IFERROR(
  AVERAGE(FILTER(data!C$2:C1000, data!A$2:A1000=$F87, data!D$2:D1000=$G87, data!E$2:E1000=3))
  -
  AVERAGE(FILTER(data!C$2:C1000, data!A$2:A1000=$F87, data!D$2:D1000=$G87, data!E$2:E1000=1))
, """")
"),"")</f>
        <v/>
      </c>
      <c r="N87" s="64" t="str">
        <f t="shared" ref="N87:P87" si="173">IF(H87="",,ABS(H87))
</f>
        <v/>
      </c>
      <c r="O87" s="64" t="str">
        <f t="shared" si="173"/>
        <v/>
      </c>
      <c r="P87" s="64" t="str">
        <f t="shared" si="173"/>
        <v/>
      </c>
      <c r="Q87" s="64" t="str">
        <f t="shared" si="4"/>
        <v/>
      </c>
      <c r="R87" s="64" t="str">
        <f t="shared" ref="R87:S87" si="174">IF(L87="",,ABS(L87))
</f>
        <v/>
      </c>
      <c r="S87" s="64" t="str">
        <f t="shared" si="174"/>
        <v/>
      </c>
      <c r="T87" s="55"/>
      <c r="U87" s="55"/>
      <c r="V87" s="55"/>
      <c r="W87" s="64"/>
      <c r="X87" s="64"/>
      <c r="Y87" s="55"/>
      <c r="Z87" s="55"/>
      <c r="AA87" s="55"/>
      <c r="AB87" s="64"/>
      <c r="AC87" s="64"/>
      <c r="AD87" s="64"/>
      <c r="AE87" s="64"/>
      <c r="AF87" s="64"/>
      <c r="AG87" s="55"/>
      <c r="AH87" s="55"/>
      <c r="AI87" s="64"/>
      <c r="AJ87" s="64"/>
      <c r="AK87" s="64"/>
      <c r="AL87" s="64"/>
      <c r="AM87" s="64"/>
      <c r="AN87" s="64"/>
      <c r="AO87" s="55"/>
      <c r="AP87" s="55"/>
      <c r="AQ87" s="64"/>
      <c r="AR87" s="64"/>
      <c r="AS87" s="64"/>
      <c r="AT87" s="64"/>
      <c r="AU87" s="64"/>
      <c r="AV87" s="55"/>
      <c r="AW87" s="55"/>
      <c r="AX87" s="64"/>
      <c r="AY87" s="64"/>
      <c r="AZ87" s="64"/>
      <c r="BA87" s="64"/>
      <c r="BB87" s="64"/>
      <c r="BC87" s="55"/>
      <c r="BD87" s="55"/>
      <c r="BE87" s="64"/>
      <c r="BF87" s="55"/>
      <c r="BG87" s="64"/>
      <c r="BH87" s="64"/>
      <c r="BI87" s="64"/>
      <c r="BJ87" s="64"/>
      <c r="BK87" s="55"/>
      <c r="BL87" s="55"/>
      <c r="BM87" s="55"/>
      <c r="BN87" s="64"/>
      <c r="BO87" s="64"/>
      <c r="BP87" s="64"/>
      <c r="BQ87" s="64"/>
      <c r="BR87" s="64"/>
      <c r="BS87" s="64"/>
      <c r="BT87" s="64"/>
      <c r="BU87" s="64"/>
      <c r="BV87" s="64"/>
      <c r="BW87" s="55"/>
      <c r="BX87" s="55"/>
      <c r="BY87" s="55"/>
      <c r="BZ87" s="55"/>
      <c r="CA87" s="55"/>
      <c r="CB87" s="55"/>
      <c r="CC87" s="55"/>
      <c r="CD87" s="55"/>
      <c r="CE87" s="55"/>
      <c r="CF87" s="55"/>
      <c r="CG87" s="55"/>
      <c r="CH87" s="55"/>
    </row>
    <row r="88" ht="16.5" customHeight="1">
      <c r="A88" s="55"/>
      <c r="B88" s="55"/>
      <c r="C88" s="55"/>
      <c r="D88" s="55"/>
      <c r="E88" s="55"/>
      <c r="F88" s="55"/>
      <c r="G88" s="55"/>
      <c r="H88" s="64" t="str">
        <f>IFERROR(__xludf.DUMMYFUNCTION("IFERROR(
  AVERAGE(FILTER(data!B$2:B1000, data!A$2:A1000=$F88, data!D$2:D1000=$G88, data!E$2:E1000=2))
  -
  AVERAGE(FILTER(data!B$2:B1000, data!A$2:A1000=$F88, data!D$2:D1000=$G88, data!E$2:E1000=1))
, """")
"),"")</f>
        <v/>
      </c>
      <c r="I88" s="64" t="str">
        <f>IFERROR(__xludf.DUMMYFUNCTION("IFERROR(
  AVERAGE(FILTER(data!B$2:B1000, data!A$2:A1000=$F88, data!D$2:D1000=$G88, data!E$2:E1000=3))
  -
  AVERAGE(FILTER(data!B$2:B1000, data!A$2:A1000=$F88, data!D$2:D1000=$G88, data!E$2:E1000=2))
, """")
"),"")</f>
        <v/>
      </c>
      <c r="J88" s="64" t="str">
        <f>IFERROR(__xludf.DUMMYFUNCTION("IFERROR(
  AVERAGE(FILTER(data!B$2:B1000, data!A$2:A1000=$F88, data!D$2:D1000=$G88, data!E$2:E1000=3))
  -
  AVERAGE(FILTER(data!B$2:B1000, data!A$2:A1000=$F88, data!D$2:D1000=$G88, data!E$2:E1000=1))
, """")
"),"")</f>
        <v/>
      </c>
      <c r="K88" s="64" t="str">
        <f>IFERROR(__xludf.DUMMYFUNCTION("IFERROR(
  AVERAGE(FILTER(data!C$2:C1000, data!A$2:A1000=$F88, data!D$2:D1000=$G88, data!E$2:E1000=2))
  -
  AVERAGE(FILTER(data!C$2:C1000, data!A$2:A1000=$F88, data!D$2:D1000=$G88, data!E$2:E1000=1))
, """")
"),"")</f>
        <v/>
      </c>
      <c r="L88" s="64" t="str">
        <f>IFERROR(__xludf.DUMMYFUNCTION("IFERROR(
  AVERAGE(FILTER(data!C$2:C1000, data!A$2:A1000=$F88, data!D$2:D1000=$G88, data!E$2:E1000=3))
  -
  AVERAGE(FILTER(data!C$2:C1000, data!A$2:A1000=$F88, data!D$2:D1000=$G88, data!E$2:E1000=2))
, """")
"),"")</f>
        <v/>
      </c>
      <c r="M88" s="64" t="str">
        <f>IFERROR(__xludf.DUMMYFUNCTION("IFERROR(
  AVERAGE(FILTER(data!C$2:C1000, data!A$2:A1000=$F88, data!D$2:D1000=$G88, data!E$2:E1000=3))
  -
  AVERAGE(FILTER(data!C$2:C1000, data!A$2:A1000=$F88, data!D$2:D1000=$G88, data!E$2:E1000=1))
, """")
"),"")</f>
        <v/>
      </c>
      <c r="N88" s="64" t="str">
        <f t="shared" ref="N88:P88" si="175">IF(H88="",,ABS(H88))
</f>
        <v/>
      </c>
      <c r="O88" s="64" t="str">
        <f t="shared" si="175"/>
        <v/>
      </c>
      <c r="P88" s="64" t="str">
        <f t="shared" si="175"/>
        <v/>
      </c>
      <c r="Q88" s="64" t="str">
        <f t="shared" si="4"/>
        <v/>
      </c>
      <c r="R88" s="64" t="str">
        <f t="shared" ref="R88:S88" si="176">IF(L88="",,ABS(L88))
</f>
        <v/>
      </c>
      <c r="S88" s="64" t="str">
        <f t="shared" si="176"/>
        <v/>
      </c>
      <c r="T88" s="55"/>
      <c r="U88" s="55"/>
      <c r="V88" s="55"/>
      <c r="W88" s="64"/>
      <c r="X88" s="64"/>
      <c r="Y88" s="55"/>
      <c r="Z88" s="55"/>
      <c r="AA88" s="55"/>
      <c r="AB88" s="64"/>
      <c r="AC88" s="64"/>
      <c r="AD88" s="64"/>
      <c r="AE88" s="64"/>
      <c r="AF88" s="64"/>
      <c r="AG88" s="55"/>
      <c r="AH88" s="55"/>
      <c r="AI88" s="64"/>
      <c r="AJ88" s="64"/>
      <c r="AK88" s="64"/>
      <c r="AL88" s="64"/>
      <c r="AM88" s="64"/>
      <c r="AN88" s="64"/>
      <c r="AO88" s="55"/>
      <c r="AP88" s="55"/>
      <c r="AQ88" s="64"/>
      <c r="AR88" s="64"/>
      <c r="AS88" s="64"/>
      <c r="AT88" s="64"/>
      <c r="AU88" s="64"/>
      <c r="AV88" s="55"/>
      <c r="AW88" s="55"/>
      <c r="AX88" s="64"/>
      <c r="AY88" s="64"/>
      <c r="AZ88" s="64"/>
      <c r="BA88" s="64"/>
      <c r="BB88" s="64"/>
      <c r="BC88" s="55"/>
      <c r="BD88" s="55"/>
      <c r="BE88" s="64"/>
      <c r="BF88" s="55"/>
      <c r="BG88" s="64"/>
      <c r="BH88" s="64"/>
      <c r="BI88" s="64"/>
      <c r="BJ88" s="64"/>
      <c r="BK88" s="55"/>
      <c r="BL88" s="55"/>
      <c r="BM88" s="55"/>
      <c r="BN88" s="64"/>
      <c r="BO88" s="64"/>
      <c r="BP88" s="64"/>
      <c r="BQ88" s="64"/>
      <c r="BR88" s="64"/>
      <c r="BS88" s="64"/>
      <c r="BT88" s="64"/>
      <c r="BU88" s="64"/>
      <c r="BV88" s="64"/>
      <c r="BW88" s="55"/>
      <c r="BX88" s="55"/>
      <c r="BY88" s="55"/>
      <c r="BZ88" s="55"/>
      <c r="CA88" s="55"/>
      <c r="CB88" s="55"/>
      <c r="CC88" s="55"/>
      <c r="CD88" s="55"/>
      <c r="CE88" s="55"/>
      <c r="CF88" s="55"/>
      <c r="CG88" s="55"/>
      <c r="CH88" s="55"/>
    </row>
    <row r="89" ht="16.5" customHeight="1">
      <c r="A89" s="55"/>
      <c r="B89" s="55"/>
      <c r="C89" s="55"/>
      <c r="D89" s="55"/>
      <c r="E89" s="55"/>
      <c r="F89" s="55"/>
      <c r="G89" s="55"/>
      <c r="H89" s="64" t="str">
        <f>IFERROR(__xludf.DUMMYFUNCTION("IFERROR(
  AVERAGE(FILTER(data!B$2:B1000, data!A$2:A1000=$F89, data!D$2:D1000=$G89, data!E$2:E1000=2))
  -
  AVERAGE(FILTER(data!B$2:B1000, data!A$2:A1000=$F89, data!D$2:D1000=$G89, data!E$2:E1000=1))
, """")
"),"")</f>
        <v/>
      </c>
      <c r="I89" s="64" t="str">
        <f>IFERROR(__xludf.DUMMYFUNCTION("IFERROR(
  AVERAGE(FILTER(data!B$2:B1000, data!A$2:A1000=$F89, data!D$2:D1000=$G89, data!E$2:E1000=3))
  -
  AVERAGE(FILTER(data!B$2:B1000, data!A$2:A1000=$F89, data!D$2:D1000=$G89, data!E$2:E1000=2))
, """")
"),"")</f>
        <v/>
      </c>
      <c r="J89" s="64" t="str">
        <f>IFERROR(__xludf.DUMMYFUNCTION("IFERROR(
  AVERAGE(FILTER(data!B$2:B1000, data!A$2:A1000=$F89, data!D$2:D1000=$G89, data!E$2:E1000=3))
  -
  AVERAGE(FILTER(data!B$2:B1000, data!A$2:A1000=$F89, data!D$2:D1000=$G89, data!E$2:E1000=1))
, """")
"),"")</f>
        <v/>
      </c>
      <c r="K89" s="64" t="str">
        <f>IFERROR(__xludf.DUMMYFUNCTION("IFERROR(
  AVERAGE(FILTER(data!C$2:C1000, data!A$2:A1000=$F89, data!D$2:D1000=$G89, data!E$2:E1000=2))
  -
  AVERAGE(FILTER(data!C$2:C1000, data!A$2:A1000=$F89, data!D$2:D1000=$G89, data!E$2:E1000=1))
, """")
"),"")</f>
        <v/>
      </c>
      <c r="L89" s="64" t="str">
        <f>IFERROR(__xludf.DUMMYFUNCTION("IFERROR(
  AVERAGE(FILTER(data!C$2:C1000, data!A$2:A1000=$F89, data!D$2:D1000=$G89, data!E$2:E1000=3))
  -
  AVERAGE(FILTER(data!C$2:C1000, data!A$2:A1000=$F89, data!D$2:D1000=$G89, data!E$2:E1000=2))
, """")
"),"")</f>
        <v/>
      </c>
      <c r="M89" s="64" t="str">
        <f>IFERROR(__xludf.DUMMYFUNCTION("IFERROR(
  AVERAGE(FILTER(data!C$2:C1000, data!A$2:A1000=$F89, data!D$2:D1000=$G89, data!E$2:E1000=3))
  -
  AVERAGE(FILTER(data!C$2:C1000, data!A$2:A1000=$F89, data!D$2:D1000=$G89, data!E$2:E1000=1))
, """")
"),"")</f>
        <v/>
      </c>
      <c r="N89" s="64" t="str">
        <f t="shared" ref="N89:P89" si="177">IF(H89="",,ABS(H89))
</f>
        <v/>
      </c>
      <c r="O89" s="64" t="str">
        <f t="shared" si="177"/>
        <v/>
      </c>
      <c r="P89" s="64" t="str">
        <f t="shared" si="177"/>
        <v/>
      </c>
      <c r="Q89" s="64" t="str">
        <f t="shared" si="4"/>
        <v/>
      </c>
      <c r="R89" s="64" t="str">
        <f t="shared" ref="R89:S89" si="178">IF(L89="",,ABS(L89))
</f>
        <v/>
      </c>
      <c r="S89" s="64" t="str">
        <f t="shared" si="178"/>
        <v/>
      </c>
      <c r="T89" s="55"/>
      <c r="U89" s="55"/>
      <c r="V89" s="55"/>
      <c r="W89" s="64"/>
      <c r="X89" s="64"/>
      <c r="Y89" s="55"/>
      <c r="Z89" s="55"/>
      <c r="AA89" s="55"/>
      <c r="AB89" s="64"/>
      <c r="AC89" s="64"/>
      <c r="AD89" s="64"/>
      <c r="AE89" s="64"/>
      <c r="AF89" s="64"/>
      <c r="AG89" s="55"/>
      <c r="AH89" s="55"/>
      <c r="AI89" s="64"/>
      <c r="AJ89" s="64"/>
      <c r="AK89" s="64"/>
      <c r="AL89" s="64"/>
      <c r="AM89" s="64"/>
      <c r="AN89" s="64"/>
      <c r="AO89" s="55"/>
      <c r="AP89" s="55"/>
      <c r="AQ89" s="64"/>
      <c r="AR89" s="64"/>
      <c r="AS89" s="64"/>
      <c r="AT89" s="64"/>
      <c r="AU89" s="64"/>
      <c r="AV89" s="55"/>
      <c r="AW89" s="55"/>
      <c r="AX89" s="64"/>
      <c r="AY89" s="64"/>
      <c r="AZ89" s="64"/>
      <c r="BA89" s="64"/>
      <c r="BB89" s="64"/>
      <c r="BC89" s="55"/>
      <c r="BD89" s="55"/>
      <c r="BE89" s="64"/>
      <c r="BF89" s="55"/>
      <c r="BG89" s="64"/>
      <c r="BH89" s="64"/>
      <c r="BI89" s="64"/>
      <c r="BJ89" s="64"/>
      <c r="BK89" s="55"/>
      <c r="BL89" s="55"/>
      <c r="BM89" s="55"/>
      <c r="BN89" s="64"/>
      <c r="BO89" s="64"/>
      <c r="BP89" s="64"/>
      <c r="BQ89" s="64"/>
      <c r="BR89" s="64"/>
      <c r="BS89" s="64"/>
      <c r="BT89" s="64"/>
      <c r="BU89" s="64"/>
      <c r="BV89" s="64"/>
      <c r="BW89" s="55"/>
      <c r="BX89" s="55"/>
      <c r="BY89" s="55"/>
      <c r="BZ89" s="55"/>
      <c r="CA89" s="55"/>
      <c r="CB89" s="55"/>
      <c r="CC89" s="55"/>
      <c r="CD89" s="55"/>
      <c r="CE89" s="55"/>
      <c r="CF89" s="55"/>
      <c r="CG89" s="55"/>
      <c r="CH89" s="55"/>
    </row>
    <row r="90" ht="16.5" customHeight="1">
      <c r="A90" s="55"/>
      <c r="B90" s="55"/>
      <c r="C90" s="55"/>
      <c r="D90" s="55"/>
      <c r="E90" s="55"/>
      <c r="F90" s="55"/>
      <c r="G90" s="55"/>
      <c r="H90" s="64" t="str">
        <f>IFERROR(__xludf.DUMMYFUNCTION("IFERROR(
  AVERAGE(FILTER(data!B$2:B1000, data!A$2:A1000=$F90, data!D$2:D1000=$G90, data!E$2:E1000=2))
  -
  AVERAGE(FILTER(data!B$2:B1000, data!A$2:A1000=$F90, data!D$2:D1000=$G90, data!E$2:E1000=1))
, """")
"),"")</f>
        <v/>
      </c>
      <c r="I90" s="64" t="str">
        <f>IFERROR(__xludf.DUMMYFUNCTION("IFERROR(
  AVERAGE(FILTER(data!B$2:B1000, data!A$2:A1000=$F90, data!D$2:D1000=$G90, data!E$2:E1000=3))
  -
  AVERAGE(FILTER(data!B$2:B1000, data!A$2:A1000=$F90, data!D$2:D1000=$G90, data!E$2:E1000=2))
, """")
"),"")</f>
        <v/>
      </c>
      <c r="J90" s="64" t="str">
        <f>IFERROR(__xludf.DUMMYFUNCTION("IFERROR(
  AVERAGE(FILTER(data!B$2:B1000, data!A$2:A1000=$F90, data!D$2:D1000=$G90, data!E$2:E1000=3))
  -
  AVERAGE(FILTER(data!B$2:B1000, data!A$2:A1000=$F90, data!D$2:D1000=$G90, data!E$2:E1000=1))
, """")
"),"")</f>
        <v/>
      </c>
      <c r="K90" s="64" t="str">
        <f>IFERROR(__xludf.DUMMYFUNCTION("IFERROR(
  AVERAGE(FILTER(data!C$2:C1000, data!A$2:A1000=$F90, data!D$2:D1000=$G90, data!E$2:E1000=2))
  -
  AVERAGE(FILTER(data!C$2:C1000, data!A$2:A1000=$F90, data!D$2:D1000=$G90, data!E$2:E1000=1))
, """")
"),"")</f>
        <v/>
      </c>
      <c r="L90" s="64" t="str">
        <f>IFERROR(__xludf.DUMMYFUNCTION("IFERROR(
  AVERAGE(FILTER(data!C$2:C1000, data!A$2:A1000=$F90, data!D$2:D1000=$G90, data!E$2:E1000=3))
  -
  AVERAGE(FILTER(data!C$2:C1000, data!A$2:A1000=$F90, data!D$2:D1000=$G90, data!E$2:E1000=2))
, """")
"),"")</f>
        <v/>
      </c>
      <c r="M90" s="64" t="str">
        <f>IFERROR(__xludf.DUMMYFUNCTION("IFERROR(
  AVERAGE(FILTER(data!C$2:C1000, data!A$2:A1000=$F90, data!D$2:D1000=$G90, data!E$2:E1000=3))
  -
  AVERAGE(FILTER(data!C$2:C1000, data!A$2:A1000=$F90, data!D$2:D1000=$G90, data!E$2:E1000=1))
, """")
"),"")</f>
        <v/>
      </c>
      <c r="N90" s="64" t="str">
        <f t="shared" ref="N90:P90" si="179">IF(H90="",,ABS(H90))
</f>
        <v/>
      </c>
      <c r="O90" s="64" t="str">
        <f t="shared" si="179"/>
        <v/>
      </c>
      <c r="P90" s="64" t="str">
        <f t="shared" si="179"/>
        <v/>
      </c>
      <c r="Q90" s="64" t="str">
        <f t="shared" si="4"/>
        <v/>
      </c>
      <c r="R90" s="64" t="str">
        <f t="shared" ref="R90:S90" si="180">IF(L90="",,ABS(L90))
</f>
        <v/>
      </c>
      <c r="S90" s="64" t="str">
        <f t="shared" si="180"/>
        <v/>
      </c>
      <c r="T90" s="55"/>
      <c r="U90" s="55"/>
      <c r="V90" s="55"/>
      <c r="W90" s="64"/>
      <c r="X90" s="64"/>
      <c r="Y90" s="55"/>
      <c r="Z90" s="55"/>
      <c r="AA90" s="55"/>
      <c r="AB90" s="64"/>
      <c r="AC90" s="64"/>
      <c r="AD90" s="64"/>
      <c r="AE90" s="64"/>
      <c r="AF90" s="64"/>
      <c r="AG90" s="55"/>
      <c r="AH90" s="55"/>
      <c r="AI90" s="64"/>
      <c r="AJ90" s="64"/>
      <c r="AK90" s="64"/>
      <c r="AL90" s="64"/>
      <c r="AM90" s="64"/>
      <c r="AN90" s="64"/>
      <c r="AO90" s="55"/>
      <c r="AP90" s="55"/>
      <c r="AQ90" s="64"/>
      <c r="AR90" s="64"/>
      <c r="AS90" s="64"/>
      <c r="AT90" s="64"/>
      <c r="AU90" s="64"/>
      <c r="AV90" s="55"/>
      <c r="AW90" s="55"/>
      <c r="AX90" s="64"/>
      <c r="AY90" s="64"/>
      <c r="AZ90" s="64"/>
      <c r="BA90" s="64"/>
      <c r="BB90" s="64"/>
      <c r="BC90" s="55"/>
      <c r="BD90" s="55"/>
      <c r="BE90" s="64"/>
      <c r="BF90" s="55"/>
      <c r="BG90" s="64"/>
      <c r="BH90" s="64"/>
      <c r="BI90" s="64"/>
      <c r="BJ90" s="64"/>
      <c r="BK90" s="55"/>
      <c r="BL90" s="55"/>
      <c r="BM90" s="55"/>
      <c r="BN90" s="64"/>
      <c r="BO90" s="64"/>
      <c r="BP90" s="64"/>
      <c r="BQ90" s="64"/>
      <c r="BR90" s="64"/>
      <c r="BS90" s="64"/>
      <c r="BT90" s="64"/>
      <c r="BU90" s="64"/>
      <c r="BV90" s="64"/>
      <c r="BW90" s="55"/>
      <c r="BX90" s="55"/>
      <c r="BY90" s="55"/>
      <c r="BZ90" s="55"/>
      <c r="CA90" s="55"/>
      <c r="CB90" s="55"/>
      <c r="CC90" s="55"/>
      <c r="CD90" s="55"/>
      <c r="CE90" s="55"/>
      <c r="CF90" s="55"/>
      <c r="CG90" s="55"/>
      <c r="CH90" s="55"/>
    </row>
    <row r="91" ht="16.5" customHeight="1">
      <c r="A91" s="55"/>
      <c r="B91" s="55"/>
      <c r="C91" s="55"/>
      <c r="D91" s="55"/>
      <c r="E91" s="55"/>
      <c r="F91" s="55"/>
      <c r="G91" s="55"/>
      <c r="H91" s="64" t="str">
        <f>IFERROR(__xludf.DUMMYFUNCTION("IFERROR(
  AVERAGE(FILTER(data!B$2:B1000, data!A$2:A1000=$F91, data!D$2:D1000=$G91, data!E$2:E1000=2))
  -
  AVERAGE(FILTER(data!B$2:B1000, data!A$2:A1000=$F91, data!D$2:D1000=$G91, data!E$2:E1000=1))
, """")
"),"")</f>
        <v/>
      </c>
      <c r="I91" s="64" t="str">
        <f>IFERROR(__xludf.DUMMYFUNCTION("IFERROR(
  AVERAGE(FILTER(data!B$2:B1000, data!A$2:A1000=$F91, data!D$2:D1000=$G91, data!E$2:E1000=3))
  -
  AVERAGE(FILTER(data!B$2:B1000, data!A$2:A1000=$F91, data!D$2:D1000=$G91, data!E$2:E1000=2))
, """")
"),"")</f>
        <v/>
      </c>
      <c r="J91" s="64" t="str">
        <f>IFERROR(__xludf.DUMMYFUNCTION("IFERROR(
  AVERAGE(FILTER(data!B$2:B1000, data!A$2:A1000=$F91, data!D$2:D1000=$G91, data!E$2:E1000=3))
  -
  AVERAGE(FILTER(data!B$2:B1000, data!A$2:A1000=$F91, data!D$2:D1000=$G91, data!E$2:E1000=1))
, """")
"),"")</f>
        <v/>
      </c>
      <c r="K91" s="64" t="str">
        <f>IFERROR(__xludf.DUMMYFUNCTION("IFERROR(
  AVERAGE(FILTER(data!C$2:C1000, data!A$2:A1000=$F91, data!D$2:D1000=$G91, data!E$2:E1000=2))
  -
  AVERAGE(FILTER(data!C$2:C1000, data!A$2:A1000=$F91, data!D$2:D1000=$G91, data!E$2:E1000=1))
, """")
"),"")</f>
        <v/>
      </c>
      <c r="L91" s="64" t="str">
        <f>IFERROR(__xludf.DUMMYFUNCTION("IFERROR(
  AVERAGE(FILTER(data!C$2:C1000, data!A$2:A1000=$F91, data!D$2:D1000=$G91, data!E$2:E1000=3))
  -
  AVERAGE(FILTER(data!C$2:C1000, data!A$2:A1000=$F91, data!D$2:D1000=$G91, data!E$2:E1000=2))
, """")
"),"")</f>
        <v/>
      </c>
      <c r="M91" s="64" t="str">
        <f>IFERROR(__xludf.DUMMYFUNCTION("IFERROR(
  AVERAGE(FILTER(data!C$2:C1000, data!A$2:A1000=$F91, data!D$2:D1000=$G91, data!E$2:E1000=3))
  -
  AVERAGE(FILTER(data!C$2:C1000, data!A$2:A1000=$F91, data!D$2:D1000=$G91, data!E$2:E1000=1))
, """")
"),"")</f>
        <v/>
      </c>
      <c r="N91" s="64" t="str">
        <f t="shared" ref="N91:P91" si="181">IF(H91="",,ABS(H91))
</f>
        <v/>
      </c>
      <c r="O91" s="64" t="str">
        <f t="shared" si="181"/>
        <v/>
      </c>
      <c r="P91" s="64" t="str">
        <f t="shared" si="181"/>
        <v/>
      </c>
      <c r="Q91" s="64" t="str">
        <f t="shared" si="4"/>
        <v/>
      </c>
      <c r="R91" s="64" t="str">
        <f t="shared" ref="R91:S91" si="182">IF(L91="",,ABS(L91))
</f>
        <v/>
      </c>
      <c r="S91" s="64" t="str">
        <f t="shared" si="182"/>
        <v/>
      </c>
      <c r="T91" s="55"/>
      <c r="U91" s="55"/>
      <c r="V91" s="55"/>
      <c r="W91" s="64"/>
      <c r="X91" s="64"/>
      <c r="Y91" s="55"/>
      <c r="Z91" s="55"/>
      <c r="AA91" s="55"/>
      <c r="AB91" s="64"/>
      <c r="AC91" s="64"/>
      <c r="AD91" s="64"/>
      <c r="AE91" s="64"/>
      <c r="AF91" s="64"/>
      <c r="AG91" s="55"/>
      <c r="AH91" s="55"/>
      <c r="AI91" s="64"/>
      <c r="AJ91" s="64"/>
      <c r="AK91" s="64"/>
      <c r="AL91" s="64"/>
      <c r="AM91" s="64"/>
      <c r="AN91" s="64"/>
      <c r="AO91" s="55"/>
      <c r="AP91" s="55"/>
      <c r="AQ91" s="64"/>
      <c r="AR91" s="64"/>
      <c r="AS91" s="64"/>
      <c r="AT91" s="64"/>
      <c r="AU91" s="64"/>
      <c r="AV91" s="55"/>
      <c r="AW91" s="55"/>
      <c r="AX91" s="64"/>
      <c r="AY91" s="64"/>
      <c r="AZ91" s="64"/>
      <c r="BA91" s="64"/>
      <c r="BB91" s="64"/>
      <c r="BC91" s="55"/>
      <c r="BD91" s="55"/>
      <c r="BE91" s="64"/>
      <c r="BF91" s="55"/>
      <c r="BG91" s="64"/>
      <c r="BH91" s="64"/>
      <c r="BI91" s="64"/>
      <c r="BJ91" s="64"/>
      <c r="BK91" s="55"/>
      <c r="BL91" s="55"/>
      <c r="BM91" s="55"/>
      <c r="BN91" s="64"/>
      <c r="BO91" s="64"/>
      <c r="BP91" s="64"/>
      <c r="BQ91" s="64"/>
      <c r="BR91" s="64"/>
      <c r="BS91" s="64"/>
      <c r="BT91" s="64"/>
      <c r="BU91" s="64"/>
      <c r="BV91" s="64"/>
      <c r="BW91" s="55"/>
      <c r="BX91" s="55"/>
      <c r="BY91" s="55"/>
      <c r="BZ91" s="55"/>
      <c r="CA91" s="55"/>
      <c r="CB91" s="55"/>
      <c r="CC91" s="55"/>
      <c r="CD91" s="55"/>
      <c r="CE91" s="55"/>
      <c r="CF91" s="55"/>
      <c r="CG91" s="55"/>
      <c r="CH91" s="55"/>
    </row>
    <row r="92" ht="16.5" customHeight="1">
      <c r="A92" s="55"/>
      <c r="B92" s="55"/>
      <c r="C92" s="55"/>
      <c r="D92" s="55"/>
      <c r="E92" s="55"/>
      <c r="F92" s="55"/>
      <c r="G92" s="55"/>
      <c r="H92" s="64" t="str">
        <f>IFERROR(__xludf.DUMMYFUNCTION("IFERROR(
  AVERAGE(FILTER(data!B$2:B1000, data!A$2:A1000=$F92, data!D$2:D1000=$G92, data!E$2:E1000=2))
  -
  AVERAGE(FILTER(data!B$2:B1000, data!A$2:A1000=$F92, data!D$2:D1000=$G92, data!E$2:E1000=1))
, """")
"),"")</f>
        <v/>
      </c>
      <c r="I92" s="64" t="str">
        <f>IFERROR(__xludf.DUMMYFUNCTION("IFERROR(
  AVERAGE(FILTER(data!B$2:B1000, data!A$2:A1000=$F92, data!D$2:D1000=$G92, data!E$2:E1000=3))
  -
  AVERAGE(FILTER(data!B$2:B1000, data!A$2:A1000=$F92, data!D$2:D1000=$G92, data!E$2:E1000=2))
, """")
"),"")</f>
        <v/>
      </c>
      <c r="J92" s="64" t="str">
        <f>IFERROR(__xludf.DUMMYFUNCTION("IFERROR(
  AVERAGE(FILTER(data!B$2:B1000, data!A$2:A1000=$F92, data!D$2:D1000=$G92, data!E$2:E1000=3))
  -
  AVERAGE(FILTER(data!B$2:B1000, data!A$2:A1000=$F92, data!D$2:D1000=$G92, data!E$2:E1000=1))
, """")
"),"")</f>
        <v/>
      </c>
      <c r="K92" s="64" t="str">
        <f>IFERROR(__xludf.DUMMYFUNCTION("IFERROR(
  AVERAGE(FILTER(data!C$2:C1000, data!A$2:A1000=$F92, data!D$2:D1000=$G92, data!E$2:E1000=2))
  -
  AVERAGE(FILTER(data!C$2:C1000, data!A$2:A1000=$F92, data!D$2:D1000=$G92, data!E$2:E1000=1))
, """")
"),"")</f>
        <v/>
      </c>
      <c r="L92" s="64" t="str">
        <f>IFERROR(__xludf.DUMMYFUNCTION("IFERROR(
  AVERAGE(FILTER(data!C$2:C1000, data!A$2:A1000=$F92, data!D$2:D1000=$G92, data!E$2:E1000=3))
  -
  AVERAGE(FILTER(data!C$2:C1000, data!A$2:A1000=$F92, data!D$2:D1000=$G92, data!E$2:E1000=2))
, """")
"),"")</f>
        <v/>
      </c>
      <c r="M92" s="64" t="str">
        <f>IFERROR(__xludf.DUMMYFUNCTION("IFERROR(
  AVERAGE(FILTER(data!C$2:C1000, data!A$2:A1000=$F92, data!D$2:D1000=$G92, data!E$2:E1000=3))
  -
  AVERAGE(FILTER(data!C$2:C1000, data!A$2:A1000=$F92, data!D$2:D1000=$G92, data!E$2:E1000=1))
, """")
"),"")</f>
        <v/>
      </c>
      <c r="N92" s="64" t="str">
        <f t="shared" ref="N92:P92" si="183">IF(H92="",,ABS(H92))
</f>
        <v/>
      </c>
      <c r="O92" s="64" t="str">
        <f t="shared" si="183"/>
        <v/>
      </c>
      <c r="P92" s="64" t="str">
        <f t="shared" si="183"/>
        <v/>
      </c>
      <c r="Q92" s="64" t="str">
        <f t="shared" si="4"/>
        <v/>
      </c>
      <c r="R92" s="64" t="str">
        <f t="shared" ref="R92:S92" si="184">IF(L92="",,ABS(L92))
</f>
        <v/>
      </c>
      <c r="S92" s="64" t="str">
        <f t="shared" si="184"/>
        <v/>
      </c>
      <c r="T92" s="55"/>
      <c r="U92" s="55"/>
      <c r="V92" s="55"/>
      <c r="W92" s="64"/>
      <c r="X92" s="64"/>
      <c r="Y92" s="55"/>
      <c r="Z92" s="55"/>
      <c r="AA92" s="55"/>
      <c r="AB92" s="64"/>
      <c r="AC92" s="64"/>
      <c r="AD92" s="64"/>
      <c r="AE92" s="64"/>
      <c r="AF92" s="64"/>
      <c r="AG92" s="55"/>
      <c r="AH92" s="55"/>
      <c r="AI92" s="64"/>
      <c r="AJ92" s="64"/>
      <c r="AK92" s="64"/>
      <c r="AL92" s="64"/>
      <c r="AM92" s="64"/>
      <c r="AN92" s="64"/>
      <c r="AO92" s="55"/>
      <c r="AP92" s="55"/>
      <c r="AQ92" s="64"/>
      <c r="AR92" s="64"/>
      <c r="AS92" s="64"/>
      <c r="AT92" s="64"/>
      <c r="AU92" s="64"/>
      <c r="AV92" s="55"/>
      <c r="AW92" s="55"/>
      <c r="AX92" s="64"/>
      <c r="AY92" s="64"/>
      <c r="AZ92" s="64"/>
      <c r="BA92" s="64"/>
      <c r="BB92" s="64"/>
      <c r="BC92" s="55"/>
      <c r="BD92" s="55"/>
      <c r="BE92" s="64"/>
      <c r="BF92" s="55"/>
      <c r="BG92" s="64"/>
      <c r="BH92" s="64"/>
      <c r="BI92" s="64"/>
      <c r="BJ92" s="64"/>
      <c r="BK92" s="55"/>
      <c r="BL92" s="55"/>
      <c r="BM92" s="55"/>
      <c r="BN92" s="64"/>
      <c r="BO92" s="64"/>
      <c r="BP92" s="64"/>
      <c r="BQ92" s="64"/>
      <c r="BR92" s="64"/>
      <c r="BS92" s="64"/>
      <c r="BT92" s="64"/>
      <c r="BU92" s="64"/>
      <c r="BV92" s="64"/>
      <c r="BW92" s="55"/>
      <c r="BX92" s="55"/>
      <c r="BY92" s="55"/>
      <c r="BZ92" s="55"/>
      <c r="CA92" s="55"/>
      <c r="CB92" s="55"/>
      <c r="CC92" s="55"/>
      <c r="CD92" s="55"/>
      <c r="CE92" s="55"/>
      <c r="CF92" s="55"/>
      <c r="CG92" s="55"/>
      <c r="CH92" s="55"/>
    </row>
    <row r="93" ht="16.5" customHeight="1">
      <c r="A93" s="55"/>
      <c r="B93" s="55"/>
      <c r="C93" s="55"/>
      <c r="D93" s="55"/>
      <c r="E93" s="55"/>
      <c r="F93" s="55"/>
      <c r="G93" s="55"/>
      <c r="H93" s="64" t="str">
        <f>IFERROR(__xludf.DUMMYFUNCTION("IFERROR(
  AVERAGE(FILTER(data!B$2:B1000, data!A$2:A1000=$F93, data!D$2:D1000=$G93, data!E$2:E1000=2))
  -
  AVERAGE(FILTER(data!B$2:B1000, data!A$2:A1000=$F93, data!D$2:D1000=$G93, data!E$2:E1000=1))
, """")
"),"")</f>
        <v/>
      </c>
      <c r="I93" s="64" t="str">
        <f>IFERROR(__xludf.DUMMYFUNCTION("IFERROR(
  AVERAGE(FILTER(data!B$2:B1000, data!A$2:A1000=$F93, data!D$2:D1000=$G93, data!E$2:E1000=3))
  -
  AVERAGE(FILTER(data!B$2:B1000, data!A$2:A1000=$F93, data!D$2:D1000=$G93, data!E$2:E1000=2))
, """")
"),"")</f>
        <v/>
      </c>
      <c r="J93" s="64" t="str">
        <f>IFERROR(__xludf.DUMMYFUNCTION("IFERROR(
  AVERAGE(FILTER(data!B$2:B1000, data!A$2:A1000=$F93, data!D$2:D1000=$G93, data!E$2:E1000=3))
  -
  AVERAGE(FILTER(data!B$2:B1000, data!A$2:A1000=$F93, data!D$2:D1000=$G93, data!E$2:E1000=1))
, """")
"),"")</f>
        <v/>
      </c>
      <c r="K93" s="64" t="str">
        <f>IFERROR(__xludf.DUMMYFUNCTION("IFERROR(
  AVERAGE(FILTER(data!C$2:C1000, data!A$2:A1000=$F93, data!D$2:D1000=$G93, data!E$2:E1000=2))
  -
  AVERAGE(FILTER(data!C$2:C1000, data!A$2:A1000=$F93, data!D$2:D1000=$G93, data!E$2:E1000=1))
, """")
"),"")</f>
        <v/>
      </c>
      <c r="L93" s="64" t="str">
        <f>IFERROR(__xludf.DUMMYFUNCTION("IFERROR(
  AVERAGE(FILTER(data!C$2:C1000, data!A$2:A1000=$F93, data!D$2:D1000=$G93, data!E$2:E1000=3))
  -
  AVERAGE(FILTER(data!C$2:C1000, data!A$2:A1000=$F93, data!D$2:D1000=$G93, data!E$2:E1000=2))
, """")
"),"")</f>
        <v/>
      </c>
      <c r="M93" s="64" t="str">
        <f>IFERROR(__xludf.DUMMYFUNCTION("IFERROR(
  AVERAGE(FILTER(data!C$2:C1000, data!A$2:A1000=$F93, data!D$2:D1000=$G93, data!E$2:E1000=3))
  -
  AVERAGE(FILTER(data!C$2:C1000, data!A$2:A1000=$F93, data!D$2:D1000=$G93, data!E$2:E1000=1))
, """")
"),"")</f>
        <v/>
      </c>
      <c r="N93" s="64" t="str">
        <f t="shared" ref="N93:P93" si="185">IF(H93="",,ABS(H93))
</f>
        <v/>
      </c>
      <c r="O93" s="64" t="str">
        <f t="shared" si="185"/>
        <v/>
      </c>
      <c r="P93" s="64" t="str">
        <f t="shared" si="185"/>
        <v/>
      </c>
      <c r="Q93" s="64" t="str">
        <f t="shared" si="4"/>
        <v/>
      </c>
      <c r="R93" s="64" t="str">
        <f t="shared" ref="R93:S93" si="186">IF(L93="",,ABS(L93))
</f>
        <v/>
      </c>
      <c r="S93" s="64" t="str">
        <f t="shared" si="186"/>
        <v/>
      </c>
      <c r="T93" s="55"/>
      <c r="U93" s="55"/>
      <c r="V93" s="55"/>
      <c r="W93" s="64"/>
      <c r="X93" s="64"/>
      <c r="Y93" s="55"/>
      <c r="Z93" s="55"/>
      <c r="AA93" s="55"/>
      <c r="AB93" s="64"/>
      <c r="AC93" s="64"/>
      <c r="AD93" s="64"/>
      <c r="AE93" s="64"/>
      <c r="AF93" s="64"/>
      <c r="AG93" s="55"/>
      <c r="AH93" s="55"/>
      <c r="AI93" s="64"/>
      <c r="AJ93" s="64"/>
      <c r="AK93" s="64"/>
      <c r="AL93" s="64"/>
      <c r="AM93" s="64"/>
      <c r="AN93" s="64"/>
      <c r="AO93" s="55"/>
      <c r="AP93" s="55"/>
      <c r="AQ93" s="64"/>
      <c r="AR93" s="64"/>
      <c r="AS93" s="64"/>
      <c r="AT93" s="64"/>
      <c r="AU93" s="64"/>
      <c r="AV93" s="55"/>
      <c r="AW93" s="55"/>
      <c r="AX93" s="64"/>
      <c r="AY93" s="64"/>
      <c r="AZ93" s="64"/>
      <c r="BA93" s="64"/>
      <c r="BB93" s="64"/>
      <c r="BC93" s="55"/>
      <c r="BD93" s="55"/>
      <c r="BE93" s="64"/>
      <c r="BF93" s="55"/>
      <c r="BG93" s="64"/>
      <c r="BH93" s="64"/>
      <c r="BI93" s="64"/>
      <c r="BJ93" s="64"/>
      <c r="BK93" s="55"/>
      <c r="BL93" s="55"/>
      <c r="BM93" s="55"/>
      <c r="BN93" s="64"/>
      <c r="BO93" s="64"/>
      <c r="BP93" s="64"/>
      <c r="BQ93" s="64"/>
      <c r="BR93" s="64"/>
      <c r="BS93" s="64"/>
      <c r="BT93" s="64"/>
      <c r="BU93" s="64"/>
      <c r="BV93" s="64"/>
      <c r="BW93" s="55"/>
      <c r="BX93" s="55"/>
      <c r="BY93" s="55"/>
      <c r="BZ93" s="55"/>
      <c r="CA93" s="55"/>
      <c r="CB93" s="55"/>
      <c r="CC93" s="55"/>
      <c r="CD93" s="55"/>
      <c r="CE93" s="55"/>
      <c r="CF93" s="55"/>
      <c r="CG93" s="55"/>
      <c r="CH93" s="55"/>
    </row>
    <row r="94" ht="16.5" customHeight="1">
      <c r="A94" s="55"/>
      <c r="B94" s="55"/>
      <c r="C94" s="55"/>
      <c r="D94" s="55"/>
      <c r="E94" s="55"/>
      <c r="F94" s="55"/>
      <c r="G94" s="55"/>
      <c r="H94" s="64" t="str">
        <f>IFERROR(__xludf.DUMMYFUNCTION("IFERROR(
  AVERAGE(FILTER(data!B$2:B1000, data!A$2:A1000=$F94, data!D$2:D1000=$G94, data!E$2:E1000=2))
  -
  AVERAGE(FILTER(data!B$2:B1000, data!A$2:A1000=$F94, data!D$2:D1000=$G94, data!E$2:E1000=1))
, """")
"),"")</f>
        <v/>
      </c>
      <c r="I94" s="64" t="str">
        <f>IFERROR(__xludf.DUMMYFUNCTION("IFERROR(
  AVERAGE(FILTER(data!B$2:B1000, data!A$2:A1000=$F94, data!D$2:D1000=$G94, data!E$2:E1000=3))
  -
  AVERAGE(FILTER(data!B$2:B1000, data!A$2:A1000=$F94, data!D$2:D1000=$G94, data!E$2:E1000=2))
, """")
"),"")</f>
        <v/>
      </c>
      <c r="J94" s="64" t="str">
        <f>IFERROR(__xludf.DUMMYFUNCTION("IFERROR(
  AVERAGE(FILTER(data!B$2:B1000, data!A$2:A1000=$F94, data!D$2:D1000=$G94, data!E$2:E1000=3))
  -
  AVERAGE(FILTER(data!B$2:B1000, data!A$2:A1000=$F94, data!D$2:D1000=$G94, data!E$2:E1000=1))
, """")
"),"")</f>
        <v/>
      </c>
      <c r="K94" s="64" t="str">
        <f>IFERROR(__xludf.DUMMYFUNCTION("IFERROR(
  AVERAGE(FILTER(data!C$2:C1000, data!A$2:A1000=$F94, data!D$2:D1000=$G94, data!E$2:E1000=2))
  -
  AVERAGE(FILTER(data!C$2:C1000, data!A$2:A1000=$F94, data!D$2:D1000=$G94, data!E$2:E1000=1))
, """")
"),"")</f>
        <v/>
      </c>
      <c r="L94" s="64" t="str">
        <f>IFERROR(__xludf.DUMMYFUNCTION("IFERROR(
  AVERAGE(FILTER(data!C$2:C1000, data!A$2:A1000=$F94, data!D$2:D1000=$G94, data!E$2:E1000=3))
  -
  AVERAGE(FILTER(data!C$2:C1000, data!A$2:A1000=$F94, data!D$2:D1000=$G94, data!E$2:E1000=2))
, """")
"),"")</f>
        <v/>
      </c>
      <c r="M94" s="64" t="str">
        <f>IFERROR(__xludf.DUMMYFUNCTION("IFERROR(
  AVERAGE(FILTER(data!C$2:C1000, data!A$2:A1000=$F94, data!D$2:D1000=$G94, data!E$2:E1000=3))
  -
  AVERAGE(FILTER(data!C$2:C1000, data!A$2:A1000=$F94, data!D$2:D1000=$G94, data!E$2:E1000=1))
, """")
"),"")</f>
        <v/>
      </c>
      <c r="N94" s="64" t="str">
        <f t="shared" ref="N94:P94" si="187">IF(H94="",,ABS(H94))
</f>
        <v/>
      </c>
      <c r="O94" s="64" t="str">
        <f t="shared" si="187"/>
        <v/>
      </c>
      <c r="P94" s="64" t="str">
        <f t="shared" si="187"/>
        <v/>
      </c>
      <c r="Q94" s="64" t="str">
        <f t="shared" si="4"/>
        <v/>
      </c>
      <c r="R94" s="64" t="str">
        <f t="shared" ref="R94:S94" si="188">IF(L94="",,ABS(L94))
</f>
        <v/>
      </c>
      <c r="S94" s="64" t="str">
        <f t="shared" si="188"/>
        <v/>
      </c>
      <c r="T94" s="55"/>
      <c r="U94" s="55"/>
      <c r="V94" s="55"/>
      <c r="W94" s="64"/>
      <c r="X94" s="64"/>
      <c r="Y94" s="55"/>
      <c r="Z94" s="55"/>
      <c r="AA94" s="55"/>
      <c r="AB94" s="64"/>
      <c r="AC94" s="64"/>
      <c r="AD94" s="64"/>
      <c r="AE94" s="64"/>
      <c r="AF94" s="64"/>
      <c r="AG94" s="55"/>
      <c r="AH94" s="55"/>
      <c r="AI94" s="64"/>
      <c r="AJ94" s="64"/>
      <c r="AK94" s="64"/>
      <c r="AL94" s="64"/>
      <c r="AM94" s="64"/>
      <c r="AN94" s="64"/>
      <c r="AO94" s="55"/>
      <c r="AP94" s="55"/>
      <c r="AQ94" s="64"/>
      <c r="AR94" s="64"/>
      <c r="AS94" s="64"/>
      <c r="AT94" s="64"/>
      <c r="AU94" s="64"/>
      <c r="AV94" s="55"/>
      <c r="AW94" s="55"/>
      <c r="AX94" s="64"/>
      <c r="AY94" s="64"/>
      <c r="AZ94" s="64"/>
      <c r="BA94" s="64"/>
      <c r="BB94" s="64"/>
      <c r="BC94" s="55"/>
      <c r="BD94" s="55"/>
      <c r="BE94" s="64"/>
      <c r="BF94" s="55"/>
      <c r="BG94" s="64"/>
      <c r="BH94" s="64"/>
      <c r="BI94" s="64"/>
      <c r="BJ94" s="64"/>
      <c r="BK94" s="55"/>
      <c r="BL94" s="55"/>
      <c r="BM94" s="55"/>
      <c r="BN94" s="64"/>
      <c r="BO94" s="64"/>
      <c r="BP94" s="64"/>
      <c r="BQ94" s="64"/>
      <c r="BR94" s="64"/>
      <c r="BS94" s="64"/>
      <c r="BT94" s="64"/>
      <c r="BU94" s="64"/>
      <c r="BV94" s="64"/>
      <c r="BW94" s="55"/>
      <c r="BX94" s="55"/>
      <c r="BY94" s="55"/>
      <c r="BZ94" s="55"/>
      <c r="CA94" s="55"/>
      <c r="CB94" s="55"/>
      <c r="CC94" s="55"/>
      <c r="CD94" s="55"/>
      <c r="CE94" s="55"/>
      <c r="CF94" s="55"/>
      <c r="CG94" s="55"/>
      <c r="CH94" s="55"/>
    </row>
    <row r="95" ht="16.5" customHeight="1">
      <c r="A95" s="55"/>
      <c r="B95" s="55"/>
      <c r="C95" s="55"/>
      <c r="D95" s="55"/>
      <c r="E95" s="55"/>
      <c r="F95" s="55"/>
      <c r="G95" s="55"/>
      <c r="H95" s="64" t="str">
        <f>IFERROR(__xludf.DUMMYFUNCTION("IFERROR(
  AVERAGE(FILTER(data!B$2:B1000, data!A$2:A1000=$F95, data!D$2:D1000=$G95, data!E$2:E1000=2))
  -
  AVERAGE(FILTER(data!B$2:B1000, data!A$2:A1000=$F95, data!D$2:D1000=$G95, data!E$2:E1000=1))
, """")
"),"")</f>
        <v/>
      </c>
      <c r="I95" s="64" t="str">
        <f>IFERROR(__xludf.DUMMYFUNCTION("IFERROR(
  AVERAGE(FILTER(data!B$2:B1000, data!A$2:A1000=$F95, data!D$2:D1000=$G95, data!E$2:E1000=3))
  -
  AVERAGE(FILTER(data!B$2:B1000, data!A$2:A1000=$F95, data!D$2:D1000=$G95, data!E$2:E1000=2))
, """")
"),"")</f>
        <v/>
      </c>
      <c r="J95" s="64" t="str">
        <f>IFERROR(__xludf.DUMMYFUNCTION("IFERROR(
  AVERAGE(FILTER(data!B$2:B1000, data!A$2:A1000=$F95, data!D$2:D1000=$G95, data!E$2:E1000=3))
  -
  AVERAGE(FILTER(data!B$2:B1000, data!A$2:A1000=$F95, data!D$2:D1000=$G95, data!E$2:E1000=1))
, """")
"),"")</f>
        <v/>
      </c>
      <c r="K95" s="64" t="str">
        <f>IFERROR(__xludf.DUMMYFUNCTION("IFERROR(
  AVERAGE(FILTER(data!C$2:C1000, data!A$2:A1000=$F95, data!D$2:D1000=$G95, data!E$2:E1000=2))
  -
  AVERAGE(FILTER(data!C$2:C1000, data!A$2:A1000=$F95, data!D$2:D1000=$G95, data!E$2:E1000=1))
, """")
"),"")</f>
        <v/>
      </c>
      <c r="L95" s="64" t="str">
        <f>IFERROR(__xludf.DUMMYFUNCTION("IFERROR(
  AVERAGE(FILTER(data!C$2:C1000, data!A$2:A1000=$F95, data!D$2:D1000=$G95, data!E$2:E1000=3))
  -
  AVERAGE(FILTER(data!C$2:C1000, data!A$2:A1000=$F95, data!D$2:D1000=$G95, data!E$2:E1000=2))
, """")
"),"")</f>
        <v/>
      </c>
      <c r="M95" s="64" t="str">
        <f>IFERROR(__xludf.DUMMYFUNCTION("IFERROR(
  AVERAGE(FILTER(data!C$2:C1000, data!A$2:A1000=$F95, data!D$2:D1000=$G95, data!E$2:E1000=3))
  -
  AVERAGE(FILTER(data!C$2:C1000, data!A$2:A1000=$F95, data!D$2:D1000=$G95, data!E$2:E1000=1))
, """")
"),"")</f>
        <v/>
      </c>
      <c r="N95" s="64" t="str">
        <f t="shared" ref="N95:P95" si="189">IF(H95="",,ABS(H95))
</f>
        <v/>
      </c>
      <c r="O95" s="64" t="str">
        <f t="shared" si="189"/>
        <v/>
      </c>
      <c r="P95" s="64" t="str">
        <f t="shared" si="189"/>
        <v/>
      </c>
      <c r="Q95" s="64" t="str">
        <f t="shared" si="4"/>
        <v/>
      </c>
      <c r="R95" s="64" t="str">
        <f t="shared" ref="R95:S95" si="190">IF(L95="",,ABS(L95))
</f>
        <v/>
      </c>
      <c r="S95" s="64" t="str">
        <f t="shared" si="190"/>
        <v/>
      </c>
      <c r="T95" s="55"/>
      <c r="U95" s="55"/>
      <c r="V95" s="55"/>
      <c r="W95" s="64"/>
      <c r="X95" s="64"/>
      <c r="Y95" s="55"/>
      <c r="Z95" s="55"/>
      <c r="AA95" s="55"/>
      <c r="AB95" s="64"/>
      <c r="AC95" s="64"/>
      <c r="AD95" s="64"/>
      <c r="AE95" s="64"/>
      <c r="AF95" s="64"/>
      <c r="AG95" s="55"/>
      <c r="AH95" s="55"/>
      <c r="AI95" s="64"/>
      <c r="AJ95" s="64"/>
      <c r="AK95" s="64"/>
      <c r="AL95" s="64"/>
      <c r="AM95" s="64"/>
      <c r="AN95" s="64"/>
      <c r="AO95" s="55"/>
      <c r="AP95" s="55"/>
      <c r="AQ95" s="64"/>
      <c r="AR95" s="64"/>
      <c r="AS95" s="64"/>
      <c r="AT95" s="64"/>
      <c r="AU95" s="64"/>
      <c r="AV95" s="55"/>
      <c r="AW95" s="55"/>
      <c r="AX95" s="64"/>
      <c r="AY95" s="64"/>
      <c r="AZ95" s="64"/>
      <c r="BA95" s="64"/>
      <c r="BB95" s="64"/>
      <c r="BC95" s="55"/>
      <c r="BD95" s="55"/>
      <c r="BE95" s="64"/>
      <c r="BF95" s="55"/>
      <c r="BG95" s="64"/>
      <c r="BH95" s="64"/>
      <c r="BI95" s="64"/>
      <c r="BJ95" s="64"/>
      <c r="BK95" s="55"/>
      <c r="BL95" s="55"/>
      <c r="BM95" s="55"/>
      <c r="BN95" s="64"/>
      <c r="BO95" s="64"/>
      <c r="BP95" s="64"/>
      <c r="BQ95" s="64"/>
      <c r="BR95" s="64"/>
      <c r="BS95" s="64"/>
      <c r="BT95" s="64"/>
      <c r="BU95" s="64"/>
      <c r="BV95" s="64"/>
      <c r="BW95" s="55"/>
      <c r="BX95" s="55"/>
      <c r="BY95" s="55"/>
      <c r="BZ95" s="55"/>
      <c r="CA95" s="55"/>
      <c r="CB95" s="55"/>
      <c r="CC95" s="55"/>
      <c r="CD95" s="55"/>
      <c r="CE95" s="55"/>
      <c r="CF95" s="55"/>
      <c r="CG95" s="55"/>
      <c r="CH95" s="55"/>
    </row>
    <row r="96" ht="16.5" customHeight="1">
      <c r="A96" s="55"/>
      <c r="B96" s="55"/>
      <c r="C96" s="55"/>
      <c r="D96" s="55"/>
      <c r="E96" s="55"/>
      <c r="F96" s="55"/>
      <c r="G96" s="55"/>
      <c r="H96" s="64" t="str">
        <f>IFERROR(__xludf.DUMMYFUNCTION("IFERROR(
  AVERAGE(FILTER(data!B$2:B1000, data!A$2:A1000=$F96, data!D$2:D1000=$G96, data!E$2:E1000=2))
  -
  AVERAGE(FILTER(data!B$2:B1000, data!A$2:A1000=$F96, data!D$2:D1000=$G96, data!E$2:E1000=1))
, """")
"),"")</f>
        <v/>
      </c>
      <c r="I96" s="64" t="str">
        <f>IFERROR(__xludf.DUMMYFUNCTION("IFERROR(
  AVERAGE(FILTER(data!B$2:B1000, data!A$2:A1000=$F96, data!D$2:D1000=$G96, data!E$2:E1000=3))
  -
  AVERAGE(FILTER(data!B$2:B1000, data!A$2:A1000=$F96, data!D$2:D1000=$G96, data!E$2:E1000=2))
, """")
"),"")</f>
        <v/>
      </c>
      <c r="J96" s="64" t="str">
        <f>IFERROR(__xludf.DUMMYFUNCTION("IFERROR(
  AVERAGE(FILTER(data!B$2:B1000, data!A$2:A1000=$F96, data!D$2:D1000=$G96, data!E$2:E1000=3))
  -
  AVERAGE(FILTER(data!B$2:B1000, data!A$2:A1000=$F96, data!D$2:D1000=$G96, data!E$2:E1000=1))
, """")
"),"")</f>
        <v/>
      </c>
      <c r="K96" s="64" t="str">
        <f>IFERROR(__xludf.DUMMYFUNCTION("IFERROR(
  AVERAGE(FILTER(data!C$2:C1000, data!A$2:A1000=$F96, data!D$2:D1000=$G96, data!E$2:E1000=2))
  -
  AVERAGE(FILTER(data!C$2:C1000, data!A$2:A1000=$F96, data!D$2:D1000=$G96, data!E$2:E1000=1))
, """")
"),"")</f>
        <v/>
      </c>
      <c r="L96" s="64" t="str">
        <f>IFERROR(__xludf.DUMMYFUNCTION("IFERROR(
  AVERAGE(FILTER(data!C$2:C1000, data!A$2:A1000=$F96, data!D$2:D1000=$G96, data!E$2:E1000=3))
  -
  AVERAGE(FILTER(data!C$2:C1000, data!A$2:A1000=$F96, data!D$2:D1000=$G96, data!E$2:E1000=2))
, """")
"),"")</f>
        <v/>
      </c>
      <c r="M96" s="64" t="str">
        <f>IFERROR(__xludf.DUMMYFUNCTION("IFERROR(
  AVERAGE(FILTER(data!C$2:C1000, data!A$2:A1000=$F96, data!D$2:D1000=$G96, data!E$2:E1000=3))
  -
  AVERAGE(FILTER(data!C$2:C1000, data!A$2:A1000=$F96, data!D$2:D1000=$G96, data!E$2:E1000=1))
, """")
"),"")</f>
        <v/>
      </c>
      <c r="N96" s="64" t="str">
        <f t="shared" ref="N96:P96" si="191">IF(H96="",,ABS(H96))
</f>
        <v/>
      </c>
      <c r="O96" s="64" t="str">
        <f t="shared" si="191"/>
        <v/>
      </c>
      <c r="P96" s="64" t="str">
        <f t="shared" si="191"/>
        <v/>
      </c>
      <c r="Q96" s="64" t="str">
        <f t="shared" si="4"/>
        <v/>
      </c>
      <c r="R96" s="64" t="str">
        <f t="shared" ref="R96:S96" si="192">IF(L96="",,ABS(L96))
</f>
        <v/>
      </c>
      <c r="S96" s="64" t="str">
        <f t="shared" si="192"/>
        <v/>
      </c>
      <c r="T96" s="55"/>
      <c r="U96" s="55"/>
      <c r="V96" s="55"/>
      <c r="W96" s="64"/>
      <c r="X96" s="64"/>
      <c r="Y96" s="55"/>
      <c r="Z96" s="55"/>
      <c r="AA96" s="55"/>
      <c r="AB96" s="64"/>
      <c r="AC96" s="64"/>
      <c r="AD96" s="64"/>
      <c r="AE96" s="64"/>
      <c r="AF96" s="64"/>
      <c r="AG96" s="55"/>
      <c r="AH96" s="55"/>
      <c r="AI96" s="64"/>
      <c r="AJ96" s="64"/>
      <c r="AK96" s="64"/>
      <c r="AL96" s="64"/>
      <c r="AM96" s="64"/>
      <c r="AN96" s="64"/>
      <c r="AO96" s="55"/>
      <c r="AP96" s="55"/>
      <c r="AQ96" s="64"/>
      <c r="AR96" s="64"/>
      <c r="AS96" s="64"/>
      <c r="AT96" s="64"/>
      <c r="AU96" s="64"/>
      <c r="AV96" s="55"/>
      <c r="AW96" s="55"/>
      <c r="AX96" s="64"/>
      <c r="AY96" s="64"/>
      <c r="AZ96" s="64"/>
      <c r="BA96" s="64"/>
      <c r="BB96" s="64"/>
      <c r="BC96" s="55"/>
      <c r="BD96" s="55"/>
      <c r="BE96" s="64"/>
      <c r="BF96" s="55"/>
      <c r="BG96" s="64"/>
      <c r="BH96" s="64"/>
      <c r="BI96" s="64"/>
      <c r="BJ96" s="64"/>
      <c r="BK96" s="55"/>
      <c r="BL96" s="55"/>
      <c r="BM96" s="55"/>
      <c r="BN96" s="64"/>
      <c r="BO96" s="64"/>
      <c r="BP96" s="64"/>
      <c r="BQ96" s="64"/>
      <c r="BR96" s="64"/>
      <c r="BS96" s="64"/>
      <c r="BT96" s="64"/>
      <c r="BU96" s="64"/>
      <c r="BV96" s="64"/>
      <c r="BW96" s="55"/>
      <c r="BX96" s="55"/>
      <c r="BY96" s="55"/>
      <c r="BZ96" s="55"/>
      <c r="CA96" s="55"/>
      <c r="CB96" s="55"/>
      <c r="CC96" s="55"/>
      <c r="CD96" s="55"/>
      <c r="CE96" s="55"/>
      <c r="CF96" s="55"/>
      <c r="CG96" s="55"/>
      <c r="CH96" s="55"/>
    </row>
    <row r="97" ht="16.5" customHeight="1">
      <c r="A97" s="55"/>
      <c r="B97" s="55"/>
      <c r="C97" s="55"/>
      <c r="D97" s="55"/>
      <c r="E97" s="55"/>
      <c r="F97" s="55"/>
      <c r="G97" s="55"/>
      <c r="H97" s="64" t="str">
        <f>IFERROR(__xludf.DUMMYFUNCTION("IFERROR(
  AVERAGE(FILTER(data!B$2:B1000, data!A$2:A1000=$F97, data!D$2:D1000=$G97, data!E$2:E1000=2))
  -
  AVERAGE(FILTER(data!B$2:B1000, data!A$2:A1000=$F97, data!D$2:D1000=$G97, data!E$2:E1000=1))
, """")
"),"")</f>
        <v/>
      </c>
      <c r="I97" s="64" t="str">
        <f>IFERROR(__xludf.DUMMYFUNCTION("IFERROR(
  AVERAGE(FILTER(data!B$2:B1000, data!A$2:A1000=$F97, data!D$2:D1000=$G97, data!E$2:E1000=3))
  -
  AVERAGE(FILTER(data!B$2:B1000, data!A$2:A1000=$F97, data!D$2:D1000=$G97, data!E$2:E1000=2))
, """")
"),"")</f>
        <v/>
      </c>
      <c r="J97" s="64" t="str">
        <f>IFERROR(__xludf.DUMMYFUNCTION("IFERROR(
  AVERAGE(FILTER(data!B$2:B1000, data!A$2:A1000=$F97, data!D$2:D1000=$G97, data!E$2:E1000=3))
  -
  AVERAGE(FILTER(data!B$2:B1000, data!A$2:A1000=$F97, data!D$2:D1000=$G97, data!E$2:E1000=1))
, """")
"),"")</f>
        <v/>
      </c>
      <c r="K97" s="64" t="str">
        <f>IFERROR(__xludf.DUMMYFUNCTION("IFERROR(
  AVERAGE(FILTER(data!C$2:C1000, data!A$2:A1000=$F97, data!D$2:D1000=$G97, data!E$2:E1000=2))
  -
  AVERAGE(FILTER(data!C$2:C1000, data!A$2:A1000=$F97, data!D$2:D1000=$G97, data!E$2:E1000=1))
, """")
"),"")</f>
        <v/>
      </c>
      <c r="L97" s="64" t="str">
        <f>IFERROR(__xludf.DUMMYFUNCTION("IFERROR(
  AVERAGE(FILTER(data!C$2:C1000, data!A$2:A1000=$F97, data!D$2:D1000=$G97, data!E$2:E1000=3))
  -
  AVERAGE(FILTER(data!C$2:C1000, data!A$2:A1000=$F97, data!D$2:D1000=$G97, data!E$2:E1000=2))
, """")
"),"")</f>
        <v/>
      </c>
      <c r="M97" s="64" t="str">
        <f>IFERROR(__xludf.DUMMYFUNCTION("IFERROR(
  AVERAGE(FILTER(data!C$2:C1000, data!A$2:A1000=$F97, data!D$2:D1000=$G97, data!E$2:E1000=3))
  -
  AVERAGE(FILTER(data!C$2:C1000, data!A$2:A1000=$F97, data!D$2:D1000=$G97, data!E$2:E1000=1))
, """")
"),"")</f>
        <v/>
      </c>
      <c r="N97" s="64" t="str">
        <f t="shared" ref="N97:P97" si="193">IF(H97="",,ABS(H97))
</f>
        <v/>
      </c>
      <c r="O97" s="64" t="str">
        <f t="shared" si="193"/>
        <v/>
      </c>
      <c r="P97" s="64" t="str">
        <f t="shared" si="193"/>
        <v/>
      </c>
      <c r="Q97" s="64" t="str">
        <f t="shared" si="4"/>
        <v/>
      </c>
      <c r="R97" s="64" t="str">
        <f t="shared" ref="R97:S97" si="194">IF(L97="",,ABS(L97))
</f>
        <v/>
      </c>
      <c r="S97" s="64" t="str">
        <f t="shared" si="194"/>
        <v/>
      </c>
      <c r="T97" s="55"/>
      <c r="U97" s="55"/>
      <c r="V97" s="55"/>
      <c r="W97" s="64"/>
      <c r="X97" s="64"/>
      <c r="Y97" s="55"/>
      <c r="Z97" s="55"/>
      <c r="AA97" s="55"/>
      <c r="AB97" s="64"/>
      <c r="AC97" s="64"/>
      <c r="AD97" s="64"/>
      <c r="AE97" s="64"/>
      <c r="AF97" s="64"/>
      <c r="AG97" s="55"/>
      <c r="AH97" s="55"/>
      <c r="AI97" s="64"/>
      <c r="AJ97" s="64"/>
      <c r="AK97" s="64"/>
      <c r="AL97" s="64"/>
      <c r="AM97" s="64"/>
      <c r="AN97" s="64"/>
      <c r="AO97" s="55"/>
      <c r="AP97" s="55"/>
      <c r="AQ97" s="64"/>
      <c r="AR97" s="64"/>
      <c r="AS97" s="64"/>
      <c r="AT97" s="64"/>
      <c r="AU97" s="64"/>
      <c r="AV97" s="55"/>
      <c r="AW97" s="55"/>
      <c r="AX97" s="64"/>
      <c r="AY97" s="64"/>
      <c r="AZ97" s="64"/>
      <c r="BA97" s="64"/>
      <c r="BB97" s="64"/>
      <c r="BC97" s="55"/>
      <c r="BD97" s="55"/>
      <c r="BE97" s="64"/>
      <c r="BF97" s="55"/>
      <c r="BG97" s="64"/>
      <c r="BH97" s="64"/>
      <c r="BI97" s="64"/>
      <c r="BJ97" s="64"/>
      <c r="BK97" s="55"/>
      <c r="BL97" s="55"/>
      <c r="BM97" s="55"/>
      <c r="BN97" s="64"/>
      <c r="BO97" s="64"/>
      <c r="BP97" s="64"/>
      <c r="BQ97" s="64"/>
      <c r="BR97" s="64"/>
      <c r="BS97" s="64"/>
      <c r="BT97" s="64"/>
      <c r="BU97" s="64"/>
      <c r="BV97" s="64"/>
      <c r="BW97" s="55"/>
      <c r="BX97" s="55"/>
      <c r="BY97" s="55"/>
      <c r="BZ97" s="55"/>
      <c r="CA97" s="55"/>
      <c r="CB97" s="55"/>
      <c r="CC97" s="55"/>
      <c r="CD97" s="55"/>
      <c r="CE97" s="55"/>
      <c r="CF97" s="55"/>
      <c r="CG97" s="55"/>
      <c r="CH97" s="55"/>
    </row>
    <row r="98" ht="16.5" customHeight="1">
      <c r="A98" s="55"/>
      <c r="B98" s="55"/>
      <c r="C98" s="55"/>
      <c r="D98" s="55"/>
      <c r="E98" s="55"/>
      <c r="F98" s="55"/>
      <c r="G98" s="55"/>
      <c r="H98" s="64" t="str">
        <f>IFERROR(__xludf.DUMMYFUNCTION("IFERROR(
  AVERAGE(FILTER(data!B$2:B1000, data!A$2:A1000=$F98, data!D$2:D1000=$G98, data!E$2:E1000=2))
  -
  AVERAGE(FILTER(data!B$2:B1000, data!A$2:A1000=$F98, data!D$2:D1000=$G98, data!E$2:E1000=1))
, """")
"),"")</f>
        <v/>
      </c>
      <c r="I98" s="64" t="str">
        <f>IFERROR(__xludf.DUMMYFUNCTION("IFERROR(
  AVERAGE(FILTER(data!B$2:B1000, data!A$2:A1000=$F98, data!D$2:D1000=$G98, data!E$2:E1000=3))
  -
  AVERAGE(FILTER(data!B$2:B1000, data!A$2:A1000=$F98, data!D$2:D1000=$G98, data!E$2:E1000=2))
, """")
"),"")</f>
        <v/>
      </c>
      <c r="J98" s="64" t="str">
        <f>IFERROR(__xludf.DUMMYFUNCTION("IFERROR(
  AVERAGE(FILTER(data!B$2:B1000, data!A$2:A1000=$F98, data!D$2:D1000=$G98, data!E$2:E1000=3))
  -
  AVERAGE(FILTER(data!B$2:B1000, data!A$2:A1000=$F98, data!D$2:D1000=$G98, data!E$2:E1000=1))
, """")
"),"")</f>
        <v/>
      </c>
      <c r="K98" s="64" t="str">
        <f>IFERROR(__xludf.DUMMYFUNCTION("IFERROR(
  AVERAGE(FILTER(data!C$2:C1000, data!A$2:A1000=$F98, data!D$2:D1000=$G98, data!E$2:E1000=2))
  -
  AVERAGE(FILTER(data!C$2:C1000, data!A$2:A1000=$F98, data!D$2:D1000=$G98, data!E$2:E1000=1))
, """")
"),"")</f>
        <v/>
      </c>
      <c r="L98" s="64" t="str">
        <f>IFERROR(__xludf.DUMMYFUNCTION("IFERROR(
  AVERAGE(FILTER(data!C$2:C1000, data!A$2:A1000=$F98, data!D$2:D1000=$G98, data!E$2:E1000=3))
  -
  AVERAGE(FILTER(data!C$2:C1000, data!A$2:A1000=$F98, data!D$2:D1000=$G98, data!E$2:E1000=2))
, """")
"),"")</f>
        <v/>
      </c>
      <c r="M98" s="64" t="str">
        <f>IFERROR(__xludf.DUMMYFUNCTION("IFERROR(
  AVERAGE(FILTER(data!C$2:C1000, data!A$2:A1000=$F98, data!D$2:D1000=$G98, data!E$2:E1000=3))
  -
  AVERAGE(FILTER(data!C$2:C1000, data!A$2:A1000=$F98, data!D$2:D1000=$G98, data!E$2:E1000=1))
, """")
"),"")</f>
        <v/>
      </c>
      <c r="N98" s="64" t="str">
        <f t="shared" ref="N98:P98" si="195">IF(H98="",,ABS(H98))
</f>
        <v/>
      </c>
      <c r="O98" s="64" t="str">
        <f t="shared" si="195"/>
        <v/>
      </c>
      <c r="P98" s="64" t="str">
        <f t="shared" si="195"/>
        <v/>
      </c>
      <c r="Q98" s="64" t="str">
        <f t="shared" si="4"/>
        <v/>
      </c>
      <c r="R98" s="64" t="str">
        <f t="shared" ref="R98:S98" si="196">IF(L98="",,ABS(L98))
</f>
        <v/>
      </c>
      <c r="S98" s="64" t="str">
        <f t="shared" si="196"/>
        <v/>
      </c>
      <c r="T98" s="55"/>
      <c r="U98" s="55"/>
      <c r="V98" s="55"/>
      <c r="W98" s="64"/>
      <c r="X98" s="64"/>
      <c r="Y98" s="55"/>
      <c r="Z98" s="55"/>
      <c r="AA98" s="55"/>
      <c r="AB98" s="64"/>
      <c r="AC98" s="64"/>
      <c r="AD98" s="64"/>
      <c r="AE98" s="64"/>
      <c r="AF98" s="64"/>
      <c r="AG98" s="55"/>
      <c r="AH98" s="55"/>
      <c r="AI98" s="64"/>
      <c r="AJ98" s="64"/>
      <c r="AK98" s="64"/>
      <c r="AL98" s="64"/>
      <c r="AM98" s="64"/>
      <c r="AN98" s="64"/>
      <c r="AO98" s="55"/>
      <c r="AP98" s="55"/>
      <c r="AQ98" s="64"/>
      <c r="AR98" s="64"/>
      <c r="AS98" s="64"/>
      <c r="AT98" s="64"/>
      <c r="AU98" s="64"/>
      <c r="AV98" s="55"/>
      <c r="AW98" s="55"/>
      <c r="AX98" s="64"/>
      <c r="AY98" s="64"/>
      <c r="AZ98" s="64"/>
      <c r="BA98" s="64"/>
      <c r="BB98" s="64"/>
      <c r="BC98" s="55"/>
      <c r="BD98" s="55"/>
      <c r="BE98" s="64"/>
      <c r="BF98" s="55"/>
      <c r="BG98" s="64"/>
      <c r="BH98" s="64"/>
      <c r="BI98" s="64"/>
      <c r="BJ98" s="64"/>
      <c r="BK98" s="55"/>
      <c r="BL98" s="55"/>
      <c r="BM98" s="55"/>
      <c r="BN98" s="64"/>
      <c r="BO98" s="64"/>
      <c r="BP98" s="64"/>
      <c r="BQ98" s="64"/>
      <c r="BR98" s="64"/>
      <c r="BS98" s="64"/>
      <c r="BT98" s="64"/>
      <c r="BU98" s="64"/>
      <c r="BV98" s="64"/>
      <c r="BW98" s="55"/>
      <c r="BX98" s="55"/>
      <c r="BY98" s="55"/>
      <c r="BZ98" s="55"/>
      <c r="CA98" s="55"/>
      <c r="CB98" s="55"/>
      <c r="CC98" s="55"/>
      <c r="CD98" s="55"/>
      <c r="CE98" s="55"/>
      <c r="CF98" s="55"/>
      <c r="CG98" s="55"/>
      <c r="CH98" s="55"/>
    </row>
    <row r="99" ht="16.5" customHeight="1">
      <c r="A99" s="55"/>
      <c r="B99" s="55"/>
      <c r="C99" s="55"/>
      <c r="D99" s="55"/>
      <c r="E99" s="55"/>
      <c r="F99" s="55"/>
      <c r="G99" s="55"/>
      <c r="H99" s="64" t="str">
        <f>IFERROR(__xludf.DUMMYFUNCTION("IFERROR(
  AVERAGE(FILTER(data!B$2:B1000, data!A$2:A1000=$F99, data!D$2:D1000=$G99, data!E$2:E1000=2))
  -
  AVERAGE(FILTER(data!B$2:B1000, data!A$2:A1000=$F99, data!D$2:D1000=$G99, data!E$2:E1000=1))
, """")
"),"")</f>
        <v/>
      </c>
      <c r="I99" s="64" t="str">
        <f>IFERROR(__xludf.DUMMYFUNCTION("IFERROR(
  AVERAGE(FILTER(data!B$2:B1000, data!A$2:A1000=$F99, data!D$2:D1000=$G99, data!E$2:E1000=3))
  -
  AVERAGE(FILTER(data!B$2:B1000, data!A$2:A1000=$F99, data!D$2:D1000=$G99, data!E$2:E1000=2))
, """")
"),"")</f>
        <v/>
      </c>
      <c r="J99" s="64" t="str">
        <f>IFERROR(__xludf.DUMMYFUNCTION("IFERROR(
  AVERAGE(FILTER(data!B$2:B1000, data!A$2:A1000=$F99, data!D$2:D1000=$G99, data!E$2:E1000=3))
  -
  AVERAGE(FILTER(data!B$2:B1000, data!A$2:A1000=$F99, data!D$2:D1000=$G99, data!E$2:E1000=1))
, """")
"),"")</f>
        <v/>
      </c>
      <c r="K99" s="64" t="str">
        <f>IFERROR(__xludf.DUMMYFUNCTION("IFERROR(
  AVERAGE(FILTER(data!C$2:C1000, data!A$2:A1000=$F99, data!D$2:D1000=$G99, data!E$2:E1000=2))
  -
  AVERAGE(FILTER(data!C$2:C1000, data!A$2:A1000=$F99, data!D$2:D1000=$G99, data!E$2:E1000=1))
, """")
"),"")</f>
        <v/>
      </c>
      <c r="L99" s="64" t="str">
        <f>IFERROR(__xludf.DUMMYFUNCTION("IFERROR(
  AVERAGE(FILTER(data!C$2:C1000, data!A$2:A1000=$F99, data!D$2:D1000=$G99, data!E$2:E1000=3))
  -
  AVERAGE(FILTER(data!C$2:C1000, data!A$2:A1000=$F99, data!D$2:D1000=$G99, data!E$2:E1000=2))
, """")
"),"")</f>
        <v/>
      </c>
      <c r="M99" s="64" t="str">
        <f>IFERROR(__xludf.DUMMYFUNCTION("IFERROR(
  AVERAGE(FILTER(data!C$2:C1000, data!A$2:A1000=$F99, data!D$2:D1000=$G99, data!E$2:E1000=3))
  -
  AVERAGE(FILTER(data!C$2:C1000, data!A$2:A1000=$F99, data!D$2:D1000=$G99, data!E$2:E1000=1))
, """")
"),"")</f>
        <v/>
      </c>
      <c r="N99" s="64" t="str">
        <f t="shared" ref="N99:P99" si="197">IF(H99="",,ABS(H99))
</f>
        <v/>
      </c>
      <c r="O99" s="64" t="str">
        <f t="shared" si="197"/>
        <v/>
      </c>
      <c r="P99" s="64" t="str">
        <f t="shared" si="197"/>
        <v/>
      </c>
      <c r="Q99" s="64" t="str">
        <f t="shared" si="4"/>
        <v/>
      </c>
      <c r="R99" s="64" t="str">
        <f t="shared" ref="R99:S99" si="198">IF(L99="",,ABS(L99))
</f>
        <v/>
      </c>
      <c r="S99" s="64" t="str">
        <f t="shared" si="198"/>
        <v/>
      </c>
      <c r="T99" s="55"/>
      <c r="U99" s="55"/>
      <c r="V99" s="55"/>
      <c r="W99" s="64"/>
      <c r="X99" s="64"/>
      <c r="Y99" s="55"/>
      <c r="Z99" s="55"/>
      <c r="AA99" s="55"/>
      <c r="AB99" s="64"/>
      <c r="AC99" s="64"/>
      <c r="AD99" s="64"/>
      <c r="AE99" s="64"/>
      <c r="AF99" s="64"/>
      <c r="AG99" s="55"/>
      <c r="AH99" s="55"/>
      <c r="AI99" s="64"/>
      <c r="AJ99" s="64"/>
      <c r="AK99" s="64"/>
      <c r="AL99" s="64"/>
      <c r="AM99" s="64"/>
      <c r="AN99" s="64"/>
      <c r="AO99" s="55"/>
      <c r="AP99" s="55"/>
      <c r="AQ99" s="64"/>
      <c r="AR99" s="64"/>
      <c r="AS99" s="64"/>
      <c r="AT99" s="64"/>
      <c r="AU99" s="64"/>
      <c r="AV99" s="55"/>
      <c r="AW99" s="55"/>
      <c r="AX99" s="64"/>
      <c r="AY99" s="64"/>
      <c r="AZ99" s="64"/>
      <c r="BA99" s="64"/>
      <c r="BB99" s="64"/>
      <c r="BC99" s="55"/>
      <c r="BD99" s="55"/>
      <c r="BE99" s="64"/>
      <c r="BF99" s="55"/>
      <c r="BG99" s="64"/>
      <c r="BH99" s="64"/>
      <c r="BI99" s="64"/>
      <c r="BJ99" s="64"/>
      <c r="BK99" s="55"/>
      <c r="BL99" s="55"/>
      <c r="BM99" s="55"/>
      <c r="BN99" s="64"/>
      <c r="BO99" s="64"/>
      <c r="BP99" s="64"/>
      <c r="BQ99" s="64"/>
      <c r="BR99" s="64"/>
      <c r="BS99" s="64"/>
      <c r="BT99" s="64"/>
      <c r="BU99" s="64"/>
      <c r="BV99" s="64"/>
      <c r="BW99" s="55"/>
      <c r="BX99" s="55"/>
      <c r="BY99" s="55"/>
      <c r="BZ99" s="55"/>
      <c r="CA99" s="55"/>
      <c r="CB99" s="55"/>
      <c r="CC99" s="55"/>
      <c r="CD99" s="55"/>
      <c r="CE99" s="55"/>
      <c r="CF99" s="55"/>
      <c r="CG99" s="55"/>
      <c r="CH99" s="55"/>
    </row>
    <row r="100" ht="16.5" customHeight="1">
      <c r="A100" s="55"/>
      <c r="B100" s="55"/>
      <c r="C100" s="55"/>
      <c r="D100" s="55"/>
      <c r="E100" s="55"/>
      <c r="F100" s="55"/>
      <c r="G100" s="55"/>
      <c r="H100" s="64" t="str">
        <f>IFERROR(__xludf.DUMMYFUNCTION("IFERROR(
  AVERAGE(FILTER(data!B$2:B1000, data!A$2:A1000=$F100, data!D$2:D1000=$G100, data!E$2:E1000=2))
  -
  AVERAGE(FILTER(data!B$2:B1000, data!A$2:A1000=$F100, data!D$2:D1000=$G100, data!E$2:E1000=1))
, """")
"),"")</f>
        <v/>
      </c>
      <c r="I100" s="64" t="str">
        <f>IFERROR(__xludf.DUMMYFUNCTION("IFERROR(
  AVERAGE(FILTER(data!B$2:B1000, data!A$2:A1000=$F100, data!D$2:D1000=$G100, data!E$2:E1000=3))
  -
  AVERAGE(FILTER(data!B$2:B1000, data!A$2:A1000=$F100, data!D$2:D1000=$G100, data!E$2:E1000=2))
, """")
"),"")</f>
        <v/>
      </c>
      <c r="J100" s="64" t="str">
        <f>IFERROR(__xludf.DUMMYFUNCTION("IFERROR(
  AVERAGE(FILTER(data!B$2:B1000, data!A$2:A1000=$F100, data!D$2:D1000=$G100, data!E$2:E1000=3))
  -
  AVERAGE(FILTER(data!B$2:B1000, data!A$2:A1000=$F100, data!D$2:D1000=$G100, data!E$2:E1000=1))
, """")
"),"")</f>
        <v/>
      </c>
      <c r="K100" s="64" t="str">
        <f>IFERROR(__xludf.DUMMYFUNCTION("IFERROR(
  AVERAGE(FILTER(data!C$2:C1000, data!A$2:A1000=$F100, data!D$2:D1000=$G100, data!E$2:E1000=2))
  -
  AVERAGE(FILTER(data!C$2:C1000, data!A$2:A1000=$F100, data!D$2:D1000=$G100, data!E$2:E1000=1))
, """")
"),"")</f>
        <v/>
      </c>
      <c r="L100" s="64" t="str">
        <f>IFERROR(__xludf.DUMMYFUNCTION("IFERROR(
  AVERAGE(FILTER(data!C$2:C1000, data!A$2:A1000=$F100, data!D$2:D1000=$G100, data!E$2:E1000=3))
  -
  AVERAGE(FILTER(data!C$2:C1000, data!A$2:A1000=$F100, data!D$2:D1000=$G100, data!E$2:E1000=2))
, """")
"),"")</f>
        <v/>
      </c>
      <c r="M100" s="64" t="str">
        <f>IFERROR(__xludf.DUMMYFUNCTION("IFERROR(
  AVERAGE(FILTER(data!C$2:C1000, data!A$2:A1000=$F100, data!D$2:D1000=$G100, data!E$2:E1000=3))
  -
  AVERAGE(FILTER(data!C$2:C1000, data!A$2:A1000=$F100, data!D$2:D1000=$G100, data!E$2:E1000=1))
, """")
"),"")</f>
        <v/>
      </c>
      <c r="N100" s="64" t="str">
        <f t="shared" ref="N100:P100" si="199">IF(H100="",,ABS(H100))
</f>
        <v/>
      </c>
      <c r="O100" s="64" t="str">
        <f t="shared" si="199"/>
        <v/>
      </c>
      <c r="P100" s="64" t="str">
        <f t="shared" si="199"/>
        <v/>
      </c>
      <c r="Q100" s="64" t="str">
        <f t="shared" si="4"/>
        <v/>
      </c>
      <c r="R100" s="64" t="str">
        <f t="shared" ref="R100:S100" si="200">IF(L100="",,ABS(L100))
</f>
        <v/>
      </c>
      <c r="S100" s="64" t="str">
        <f t="shared" si="200"/>
        <v/>
      </c>
      <c r="T100" s="55"/>
      <c r="U100" s="55"/>
      <c r="V100" s="55"/>
      <c r="W100" s="64"/>
      <c r="X100" s="64"/>
      <c r="Y100" s="55"/>
      <c r="Z100" s="55"/>
      <c r="AA100" s="55"/>
      <c r="AB100" s="64"/>
      <c r="AC100" s="64"/>
      <c r="AD100" s="64"/>
      <c r="AE100" s="64"/>
      <c r="AF100" s="64"/>
      <c r="AG100" s="55"/>
      <c r="AH100" s="55"/>
      <c r="AI100" s="64"/>
      <c r="AJ100" s="64"/>
      <c r="AK100" s="64"/>
      <c r="AL100" s="64"/>
      <c r="AM100" s="64"/>
      <c r="AN100" s="64"/>
      <c r="AO100" s="55"/>
      <c r="AP100" s="55"/>
      <c r="AQ100" s="64"/>
      <c r="AR100" s="64"/>
      <c r="AS100" s="64"/>
      <c r="AT100" s="64"/>
      <c r="AU100" s="64"/>
      <c r="AV100" s="55"/>
      <c r="AW100" s="55"/>
      <c r="AX100" s="64"/>
      <c r="AY100" s="64"/>
      <c r="AZ100" s="64"/>
      <c r="BA100" s="64"/>
      <c r="BB100" s="64"/>
      <c r="BC100" s="55"/>
      <c r="BD100" s="55"/>
      <c r="BE100" s="64"/>
      <c r="BF100" s="55"/>
      <c r="BG100" s="64"/>
      <c r="BH100" s="64"/>
      <c r="BI100" s="64"/>
      <c r="BJ100" s="64"/>
      <c r="BK100" s="55"/>
      <c r="BL100" s="55"/>
      <c r="BM100" s="55"/>
      <c r="BN100" s="64"/>
      <c r="BO100" s="64"/>
      <c r="BP100" s="64"/>
      <c r="BQ100" s="64"/>
      <c r="BR100" s="64"/>
      <c r="BS100" s="64"/>
      <c r="BT100" s="64"/>
      <c r="BU100" s="64"/>
      <c r="BV100" s="64"/>
      <c r="BW100" s="55"/>
      <c r="BX100" s="55"/>
      <c r="BY100" s="55"/>
      <c r="BZ100" s="55"/>
      <c r="CA100" s="55"/>
      <c r="CB100" s="55"/>
      <c r="CC100" s="55"/>
      <c r="CD100" s="55"/>
      <c r="CE100" s="55"/>
      <c r="CF100" s="55"/>
      <c r="CG100" s="55"/>
      <c r="CH100" s="55"/>
    </row>
    <row r="101" ht="16.5" customHeight="1">
      <c r="A101" s="55"/>
      <c r="B101" s="55"/>
      <c r="C101" s="55"/>
      <c r="D101" s="55"/>
      <c r="E101" s="55"/>
      <c r="F101" s="55"/>
      <c r="G101" s="55"/>
      <c r="H101" s="64" t="str">
        <f>IFERROR(__xludf.DUMMYFUNCTION("IFERROR(
  AVERAGE(FILTER(data!B$2:B1000, data!A$2:A1000=$F101, data!D$2:D1000=$G101, data!E$2:E1000=2))
  -
  AVERAGE(FILTER(data!B$2:B1000, data!A$2:A1000=$F101, data!D$2:D1000=$G101, data!E$2:E1000=1))
, """")
"),"")</f>
        <v/>
      </c>
      <c r="I101" s="64" t="str">
        <f>IFERROR(__xludf.DUMMYFUNCTION("IFERROR(
  AVERAGE(FILTER(data!B$2:B1000, data!A$2:A1000=$F101, data!D$2:D1000=$G101, data!E$2:E1000=3))
  -
  AVERAGE(FILTER(data!B$2:B1000, data!A$2:A1000=$F101, data!D$2:D1000=$G101, data!E$2:E1000=2))
, """")
"),"")</f>
        <v/>
      </c>
      <c r="J101" s="64" t="str">
        <f>IFERROR(__xludf.DUMMYFUNCTION("IFERROR(
  AVERAGE(FILTER(data!B$2:B1000, data!A$2:A1000=$F101, data!D$2:D1000=$G101, data!E$2:E1000=3))
  -
  AVERAGE(FILTER(data!B$2:B1000, data!A$2:A1000=$F101, data!D$2:D1000=$G101, data!E$2:E1000=1))
, """")
"),"")</f>
        <v/>
      </c>
      <c r="K101" s="64" t="str">
        <f>IFERROR(__xludf.DUMMYFUNCTION("IFERROR(
  AVERAGE(FILTER(data!C$2:C1000, data!A$2:A1000=$F101, data!D$2:D1000=$G101, data!E$2:E1000=2))
  -
  AVERAGE(FILTER(data!C$2:C1000, data!A$2:A1000=$F101, data!D$2:D1000=$G101, data!E$2:E1000=1))
, """")
"),"")</f>
        <v/>
      </c>
      <c r="L101" s="64" t="str">
        <f>IFERROR(__xludf.DUMMYFUNCTION("IFERROR(
  AVERAGE(FILTER(data!C$2:C1000, data!A$2:A1000=$F101, data!D$2:D1000=$G101, data!E$2:E1000=3))
  -
  AVERAGE(FILTER(data!C$2:C1000, data!A$2:A1000=$F101, data!D$2:D1000=$G101, data!E$2:E1000=2))
, """")
"),"")</f>
        <v/>
      </c>
      <c r="M101" s="64" t="str">
        <f>IFERROR(__xludf.DUMMYFUNCTION("IFERROR(
  AVERAGE(FILTER(data!C$2:C1000, data!A$2:A1000=$F101, data!D$2:D1000=$G101, data!E$2:E1000=3))
  -
  AVERAGE(FILTER(data!C$2:C1000, data!A$2:A1000=$F101, data!D$2:D1000=$G101, data!E$2:E1000=1))
, """")
"),"")</f>
        <v/>
      </c>
      <c r="N101" s="64" t="str">
        <f t="shared" ref="N101:P101" si="201">IF(H101="",,ABS(H101))
</f>
        <v/>
      </c>
      <c r="O101" s="64" t="str">
        <f t="shared" si="201"/>
        <v/>
      </c>
      <c r="P101" s="64" t="str">
        <f t="shared" si="201"/>
        <v/>
      </c>
      <c r="Q101" s="64" t="str">
        <f t="shared" si="4"/>
        <v/>
      </c>
      <c r="R101" s="64" t="str">
        <f t="shared" ref="R101:S101" si="202">IF(L101="",,ABS(L101))
</f>
        <v/>
      </c>
      <c r="S101" s="64" t="str">
        <f t="shared" si="202"/>
        <v/>
      </c>
      <c r="T101" s="55"/>
      <c r="U101" s="55"/>
      <c r="V101" s="55"/>
      <c r="W101" s="64"/>
      <c r="X101" s="64"/>
      <c r="Y101" s="55"/>
      <c r="Z101" s="55"/>
      <c r="AA101" s="55"/>
      <c r="AB101" s="64"/>
      <c r="AC101" s="64"/>
      <c r="AD101" s="64"/>
      <c r="AE101" s="64"/>
      <c r="AF101" s="64"/>
      <c r="AG101" s="55"/>
      <c r="AH101" s="55"/>
      <c r="AI101" s="64"/>
      <c r="AJ101" s="64"/>
      <c r="AK101" s="64"/>
      <c r="AL101" s="64"/>
      <c r="AM101" s="64"/>
      <c r="AN101" s="64"/>
      <c r="AO101" s="55"/>
      <c r="AP101" s="55"/>
      <c r="AQ101" s="64"/>
      <c r="AR101" s="64"/>
      <c r="AS101" s="64"/>
      <c r="AT101" s="64"/>
      <c r="AU101" s="64"/>
      <c r="AV101" s="55"/>
      <c r="AW101" s="55"/>
      <c r="AX101" s="64"/>
      <c r="AY101" s="64"/>
      <c r="AZ101" s="64"/>
      <c r="BA101" s="64"/>
      <c r="BB101" s="64"/>
      <c r="BC101" s="55"/>
      <c r="BD101" s="55"/>
      <c r="BE101" s="64"/>
      <c r="BF101" s="55"/>
      <c r="BG101" s="64"/>
      <c r="BH101" s="64"/>
      <c r="BI101" s="64"/>
      <c r="BJ101" s="64"/>
      <c r="BK101" s="55"/>
      <c r="BL101" s="55"/>
      <c r="BM101" s="55"/>
      <c r="BN101" s="64"/>
      <c r="BO101" s="64"/>
      <c r="BP101" s="64"/>
      <c r="BQ101" s="64"/>
      <c r="BR101" s="64"/>
      <c r="BS101" s="64"/>
      <c r="BT101" s="64"/>
      <c r="BU101" s="64"/>
      <c r="BV101" s="64"/>
      <c r="BW101" s="55"/>
      <c r="BX101" s="55"/>
      <c r="BY101" s="55"/>
      <c r="BZ101" s="55"/>
      <c r="CA101" s="55"/>
      <c r="CB101" s="55"/>
      <c r="CC101" s="55"/>
      <c r="CD101" s="55"/>
      <c r="CE101" s="55"/>
      <c r="CF101" s="55"/>
      <c r="CG101" s="55"/>
      <c r="CH101" s="55"/>
    </row>
    <row r="102" ht="16.5" customHeight="1">
      <c r="A102" s="55"/>
      <c r="B102" s="55"/>
      <c r="C102" s="55"/>
      <c r="D102" s="55"/>
      <c r="E102" s="55"/>
      <c r="F102" s="55"/>
      <c r="G102" s="55"/>
      <c r="H102" s="64" t="str">
        <f>IFERROR(__xludf.DUMMYFUNCTION("IFERROR(
  AVERAGE(FILTER(data!B$2:B1000, data!A$2:A1000=$F102, data!D$2:D1000=$G102, data!E$2:E1000=2))
  -
  AVERAGE(FILTER(data!B$2:B1000, data!A$2:A1000=$F102, data!D$2:D1000=$G102, data!E$2:E1000=1))
, """")
"),"")</f>
        <v/>
      </c>
      <c r="I102" s="64" t="str">
        <f>IFERROR(__xludf.DUMMYFUNCTION("IFERROR(
  AVERAGE(FILTER(data!B$2:B1000, data!A$2:A1000=$F102, data!D$2:D1000=$G102, data!E$2:E1000=3))
  -
  AVERAGE(FILTER(data!B$2:B1000, data!A$2:A1000=$F102, data!D$2:D1000=$G102, data!E$2:E1000=2))
, """")
"),"")</f>
        <v/>
      </c>
      <c r="J102" s="64" t="str">
        <f>IFERROR(__xludf.DUMMYFUNCTION("IFERROR(
  AVERAGE(FILTER(data!B$2:B1000, data!A$2:A1000=$F102, data!D$2:D1000=$G102, data!E$2:E1000=3))
  -
  AVERAGE(FILTER(data!B$2:B1000, data!A$2:A1000=$F102, data!D$2:D1000=$G102, data!E$2:E1000=1))
, """")
"),"")</f>
        <v/>
      </c>
      <c r="K102" s="64" t="str">
        <f>IFERROR(__xludf.DUMMYFUNCTION("IFERROR(
  AVERAGE(FILTER(data!C$2:C1000, data!A$2:A1000=$F102, data!D$2:D1000=$G102, data!E$2:E1000=2))
  -
  AVERAGE(FILTER(data!C$2:C1000, data!A$2:A1000=$F102, data!D$2:D1000=$G102, data!E$2:E1000=1))
, """")
"),"")</f>
        <v/>
      </c>
      <c r="L102" s="64" t="str">
        <f>IFERROR(__xludf.DUMMYFUNCTION("IFERROR(
  AVERAGE(FILTER(data!C$2:C1000, data!A$2:A1000=$F102, data!D$2:D1000=$G102, data!E$2:E1000=3))
  -
  AVERAGE(FILTER(data!C$2:C1000, data!A$2:A1000=$F102, data!D$2:D1000=$G102, data!E$2:E1000=2))
, """")
"),"")</f>
        <v/>
      </c>
      <c r="M102" s="64" t="str">
        <f>IFERROR(__xludf.DUMMYFUNCTION("IFERROR(
  AVERAGE(FILTER(data!C$2:C1000, data!A$2:A1000=$F102, data!D$2:D1000=$G102, data!E$2:E1000=3))
  -
  AVERAGE(FILTER(data!C$2:C1000, data!A$2:A1000=$F102, data!D$2:D1000=$G102, data!E$2:E1000=1))
, """")
"),"")</f>
        <v/>
      </c>
      <c r="N102" s="64" t="str">
        <f t="shared" ref="N102:P102" si="203">IF(H102="",,ABS(H102))
</f>
        <v/>
      </c>
      <c r="O102" s="64" t="str">
        <f t="shared" si="203"/>
        <v/>
      </c>
      <c r="P102" s="64" t="str">
        <f t="shared" si="203"/>
        <v/>
      </c>
      <c r="Q102" s="64" t="str">
        <f t="shared" si="4"/>
        <v/>
      </c>
      <c r="R102" s="64" t="str">
        <f t="shared" ref="R102:S102" si="204">IF(L102="",,ABS(L102))
</f>
        <v/>
      </c>
      <c r="S102" s="64" t="str">
        <f t="shared" si="204"/>
        <v/>
      </c>
      <c r="T102" s="55"/>
      <c r="U102" s="55"/>
      <c r="V102" s="55"/>
      <c r="W102" s="64"/>
      <c r="X102" s="64"/>
      <c r="Y102" s="55"/>
      <c r="Z102" s="55"/>
      <c r="AA102" s="55"/>
      <c r="AB102" s="64"/>
      <c r="AC102" s="64"/>
      <c r="AD102" s="64"/>
      <c r="AE102" s="64"/>
      <c r="AF102" s="64"/>
      <c r="AG102" s="55"/>
      <c r="AH102" s="55"/>
      <c r="AI102" s="64"/>
      <c r="AJ102" s="64"/>
      <c r="AK102" s="64"/>
      <c r="AL102" s="64"/>
      <c r="AM102" s="64"/>
      <c r="AN102" s="64"/>
      <c r="AO102" s="55"/>
      <c r="AP102" s="55"/>
      <c r="AQ102" s="64"/>
      <c r="AR102" s="64"/>
      <c r="AS102" s="64"/>
      <c r="AT102" s="64"/>
      <c r="AU102" s="64"/>
      <c r="AV102" s="55"/>
      <c r="AW102" s="55"/>
      <c r="AX102" s="64"/>
      <c r="AY102" s="64"/>
      <c r="AZ102" s="64"/>
      <c r="BA102" s="64"/>
      <c r="BB102" s="64"/>
      <c r="BC102" s="55"/>
      <c r="BD102" s="55"/>
      <c r="BE102" s="64"/>
      <c r="BF102" s="55"/>
      <c r="BG102" s="64"/>
      <c r="BH102" s="64"/>
      <c r="BI102" s="64"/>
      <c r="BJ102" s="64"/>
      <c r="BK102" s="55"/>
      <c r="BL102" s="55"/>
      <c r="BM102" s="55"/>
      <c r="BN102" s="64"/>
      <c r="BO102" s="64"/>
      <c r="BP102" s="64"/>
      <c r="BQ102" s="64"/>
      <c r="BR102" s="64"/>
      <c r="BS102" s="64"/>
      <c r="BT102" s="64"/>
      <c r="BU102" s="64"/>
      <c r="BV102" s="64"/>
      <c r="BW102" s="55"/>
      <c r="BX102" s="55"/>
      <c r="BY102" s="55"/>
      <c r="BZ102" s="55"/>
      <c r="CA102" s="55"/>
      <c r="CB102" s="55"/>
      <c r="CC102" s="55"/>
      <c r="CD102" s="55"/>
      <c r="CE102" s="55"/>
      <c r="CF102" s="55"/>
      <c r="CG102" s="55"/>
      <c r="CH102" s="55"/>
    </row>
    <row r="103" ht="16.5" customHeight="1">
      <c r="A103" s="55"/>
      <c r="B103" s="55"/>
      <c r="C103" s="55"/>
      <c r="D103" s="55"/>
      <c r="E103" s="55"/>
      <c r="F103" s="55"/>
      <c r="G103" s="55"/>
      <c r="H103" s="64" t="str">
        <f>IFERROR(__xludf.DUMMYFUNCTION("IFERROR(
  AVERAGE(FILTER(data!B$2:B1000, data!A$2:A1000=$F103, data!D$2:D1000=$G103, data!E$2:E1000=2))
  -
  AVERAGE(FILTER(data!B$2:B1000, data!A$2:A1000=$F103, data!D$2:D1000=$G103, data!E$2:E1000=1))
, """")
"),"")</f>
        <v/>
      </c>
      <c r="I103" s="64" t="str">
        <f>IFERROR(__xludf.DUMMYFUNCTION("IFERROR(
  AVERAGE(FILTER(data!B$2:B1000, data!A$2:A1000=$F103, data!D$2:D1000=$G103, data!E$2:E1000=3))
  -
  AVERAGE(FILTER(data!B$2:B1000, data!A$2:A1000=$F103, data!D$2:D1000=$G103, data!E$2:E1000=2))
, """")
"),"")</f>
        <v/>
      </c>
      <c r="J103" s="64" t="str">
        <f>IFERROR(__xludf.DUMMYFUNCTION("IFERROR(
  AVERAGE(FILTER(data!B$2:B1000, data!A$2:A1000=$F103, data!D$2:D1000=$G103, data!E$2:E1000=3))
  -
  AVERAGE(FILTER(data!B$2:B1000, data!A$2:A1000=$F103, data!D$2:D1000=$G103, data!E$2:E1000=1))
, """")
"),"")</f>
        <v/>
      </c>
      <c r="K103" s="64" t="str">
        <f>IFERROR(__xludf.DUMMYFUNCTION("IFERROR(
  AVERAGE(FILTER(data!C$2:C1000, data!A$2:A1000=$F103, data!D$2:D1000=$G103, data!E$2:E1000=2))
  -
  AVERAGE(FILTER(data!C$2:C1000, data!A$2:A1000=$F103, data!D$2:D1000=$G103, data!E$2:E1000=1))
, """")
"),"")</f>
        <v/>
      </c>
      <c r="L103" s="64" t="str">
        <f>IFERROR(__xludf.DUMMYFUNCTION("IFERROR(
  AVERAGE(FILTER(data!C$2:C1000, data!A$2:A1000=$F103, data!D$2:D1000=$G103, data!E$2:E1000=3))
  -
  AVERAGE(FILTER(data!C$2:C1000, data!A$2:A1000=$F103, data!D$2:D1000=$G103, data!E$2:E1000=2))
, """")
"),"")</f>
        <v/>
      </c>
      <c r="M103" s="64" t="str">
        <f>IFERROR(__xludf.DUMMYFUNCTION("IFERROR(
  AVERAGE(FILTER(data!C$2:C1000, data!A$2:A1000=$F103, data!D$2:D1000=$G103, data!E$2:E1000=3))
  -
  AVERAGE(FILTER(data!C$2:C1000, data!A$2:A1000=$F103, data!D$2:D1000=$G103, data!E$2:E1000=1))
, """")
"),"")</f>
        <v/>
      </c>
      <c r="N103" s="64" t="str">
        <f t="shared" ref="N103:P103" si="205">IF(H103="",,ABS(H103))
</f>
        <v/>
      </c>
      <c r="O103" s="64" t="str">
        <f t="shared" si="205"/>
        <v/>
      </c>
      <c r="P103" s="64" t="str">
        <f t="shared" si="205"/>
        <v/>
      </c>
      <c r="Q103" s="64" t="str">
        <f t="shared" si="4"/>
        <v/>
      </c>
      <c r="R103" s="64" t="str">
        <f t="shared" ref="R103:S103" si="206">IF(L103="",,ABS(L103))
</f>
        <v/>
      </c>
      <c r="S103" s="64" t="str">
        <f t="shared" si="206"/>
        <v/>
      </c>
      <c r="T103" s="55"/>
      <c r="U103" s="55"/>
      <c r="V103" s="55"/>
      <c r="W103" s="64"/>
      <c r="X103" s="64"/>
      <c r="Y103" s="55"/>
      <c r="Z103" s="55"/>
      <c r="AA103" s="55"/>
      <c r="AB103" s="64"/>
      <c r="AC103" s="64"/>
      <c r="AD103" s="64"/>
      <c r="AE103" s="64"/>
      <c r="AF103" s="64"/>
      <c r="AG103" s="55"/>
      <c r="AH103" s="55"/>
      <c r="AI103" s="64"/>
      <c r="AJ103" s="64"/>
      <c r="AK103" s="64"/>
      <c r="AL103" s="64"/>
      <c r="AM103" s="64"/>
      <c r="AN103" s="64"/>
      <c r="AO103" s="55"/>
      <c r="AP103" s="55"/>
      <c r="AQ103" s="64"/>
      <c r="AR103" s="64"/>
      <c r="AS103" s="64"/>
      <c r="AT103" s="64"/>
      <c r="AU103" s="64"/>
      <c r="AV103" s="55"/>
      <c r="AW103" s="55"/>
      <c r="AX103" s="64"/>
      <c r="AY103" s="64"/>
      <c r="AZ103" s="64"/>
      <c r="BA103" s="64"/>
      <c r="BB103" s="64"/>
      <c r="BC103" s="55"/>
      <c r="BD103" s="55"/>
      <c r="BE103" s="64"/>
      <c r="BF103" s="55"/>
      <c r="BG103" s="64"/>
      <c r="BH103" s="64"/>
      <c r="BI103" s="64"/>
      <c r="BJ103" s="64"/>
      <c r="BK103" s="55"/>
      <c r="BL103" s="55"/>
      <c r="BM103" s="55"/>
      <c r="BN103" s="64"/>
      <c r="BO103" s="64"/>
      <c r="BP103" s="64"/>
      <c r="BQ103" s="64"/>
      <c r="BR103" s="64"/>
      <c r="BS103" s="64"/>
      <c r="BT103" s="64"/>
      <c r="BU103" s="64"/>
      <c r="BV103" s="64"/>
      <c r="BW103" s="55"/>
      <c r="BX103" s="55"/>
      <c r="BY103" s="55"/>
      <c r="BZ103" s="55"/>
      <c r="CA103" s="55"/>
      <c r="CB103" s="55"/>
      <c r="CC103" s="55"/>
      <c r="CD103" s="55"/>
      <c r="CE103" s="55"/>
      <c r="CF103" s="55"/>
      <c r="CG103" s="55"/>
      <c r="CH103" s="55"/>
    </row>
    <row r="104" ht="16.5" customHeight="1">
      <c r="A104" s="55"/>
      <c r="B104" s="55"/>
      <c r="C104" s="55"/>
      <c r="D104" s="55"/>
      <c r="E104" s="55"/>
      <c r="F104" s="55"/>
      <c r="G104" s="55"/>
      <c r="H104" s="64" t="str">
        <f>IFERROR(__xludf.DUMMYFUNCTION("IFERROR(
  AVERAGE(FILTER(data!B$2:B1000, data!A$2:A1000=$F104, data!D$2:D1000=$G104, data!E$2:E1000=2))
  -
  AVERAGE(FILTER(data!B$2:B1000, data!A$2:A1000=$F104, data!D$2:D1000=$G104, data!E$2:E1000=1))
, """")
"),"")</f>
        <v/>
      </c>
      <c r="I104" s="64" t="str">
        <f>IFERROR(__xludf.DUMMYFUNCTION("IFERROR(
  AVERAGE(FILTER(data!B$2:B1000, data!A$2:A1000=$F104, data!D$2:D1000=$G104, data!E$2:E1000=3))
  -
  AVERAGE(FILTER(data!B$2:B1000, data!A$2:A1000=$F104, data!D$2:D1000=$G104, data!E$2:E1000=2))
, """")
"),"")</f>
        <v/>
      </c>
      <c r="J104" s="64" t="str">
        <f>IFERROR(__xludf.DUMMYFUNCTION("IFERROR(
  AVERAGE(FILTER(data!B$2:B1000, data!A$2:A1000=$F104, data!D$2:D1000=$G104, data!E$2:E1000=3))
  -
  AVERAGE(FILTER(data!B$2:B1000, data!A$2:A1000=$F104, data!D$2:D1000=$G104, data!E$2:E1000=1))
, """")
"),"")</f>
        <v/>
      </c>
      <c r="K104" s="64" t="str">
        <f>IFERROR(__xludf.DUMMYFUNCTION("IFERROR(
  AVERAGE(FILTER(data!C$2:C1000, data!A$2:A1000=$F104, data!D$2:D1000=$G104, data!E$2:E1000=2))
  -
  AVERAGE(FILTER(data!C$2:C1000, data!A$2:A1000=$F104, data!D$2:D1000=$G104, data!E$2:E1000=1))
, """")
"),"")</f>
        <v/>
      </c>
      <c r="L104" s="64" t="str">
        <f>IFERROR(__xludf.DUMMYFUNCTION("IFERROR(
  AVERAGE(FILTER(data!C$2:C1000, data!A$2:A1000=$F104, data!D$2:D1000=$G104, data!E$2:E1000=3))
  -
  AVERAGE(FILTER(data!C$2:C1000, data!A$2:A1000=$F104, data!D$2:D1000=$G104, data!E$2:E1000=2))
, """")
"),"")</f>
        <v/>
      </c>
      <c r="M104" s="64" t="str">
        <f>IFERROR(__xludf.DUMMYFUNCTION("IFERROR(
  AVERAGE(FILTER(data!C$2:C1000, data!A$2:A1000=$F104, data!D$2:D1000=$G104, data!E$2:E1000=3))
  -
  AVERAGE(FILTER(data!C$2:C1000, data!A$2:A1000=$F104, data!D$2:D1000=$G104, data!E$2:E1000=1))
, """")
"),"")</f>
        <v/>
      </c>
      <c r="N104" s="64" t="str">
        <f t="shared" ref="N104:P104" si="207">IF(H104="",,ABS(H104))
</f>
        <v/>
      </c>
      <c r="O104" s="64" t="str">
        <f t="shared" si="207"/>
        <v/>
      </c>
      <c r="P104" s="64" t="str">
        <f t="shared" si="207"/>
        <v/>
      </c>
      <c r="Q104" s="64" t="str">
        <f t="shared" si="4"/>
        <v/>
      </c>
      <c r="R104" s="64" t="str">
        <f t="shared" ref="R104:S104" si="208">IF(L104="",,ABS(L104))
</f>
        <v/>
      </c>
      <c r="S104" s="64" t="str">
        <f t="shared" si="208"/>
        <v/>
      </c>
      <c r="T104" s="55"/>
      <c r="U104" s="55"/>
      <c r="V104" s="55"/>
      <c r="W104" s="64"/>
      <c r="X104" s="64"/>
      <c r="Y104" s="55"/>
      <c r="Z104" s="55"/>
      <c r="AA104" s="55"/>
      <c r="AB104" s="64"/>
      <c r="AC104" s="64"/>
      <c r="AD104" s="64"/>
      <c r="AE104" s="64"/>
      <c r="AF104" s="64"/>
      <c r="AG104" s="55"/>
      <c r="AH104" s="55"/>
      <c r="AI104" s="64"/>
      <c r="AJ104" s="64"/>
      <c r="AK104" s="64"/>
      <c r="AL104" s="64"/>
      <c r="AM104" s="64"/>
      <c r="AN104" s="64"/>
      <c r="AO104" s="55"/>
      <c r="AP104" s="55"/>
      <c r="AQ104" s="64"/>
      <c r="AR104" s="64"/>
      <c r="AS104" s="64"/>
      <c r="AT104" s="64"/>
      <c r="AU104" s="64"/>
      <c r="AV104" s="55"/>
      <c r="AW104" s="55"/>
      <c r="AX104" s="64"/>
      <c r="AY104" s="64"/>
      <c r="AZ104" s="64"/>
      <c r="BA104" s="64"/>
      <c r="BB104" s="64"/>
      <c r="BC104" s="55"/>
      <c r="BD104" s="55"/>
      <c r="BE104" s="64"/>
      <c r="BF104" s="55"/>
      <c r="BG104" s="64"/>
      <c r="BH104" s="64"/>
      <c r="BI104" s="64"/>
      <c r="BJ104" s="64"/>
      <c r="BK104" s="55"/>
      <c r="BL104" s="55"/>
      <c r="BM104" s="55"/>
      <c r="BN104" s="64"/>
      <c r="BO104" s="64"/>
      <c r="BP104" s="64"/>
      <c r="BQ104" s="64"/>
      <c r="BR104" s="64"/>
      <c r="BS104" s="64"/>
      <c r="BT104" s="64"/>
      <c r="BU104" s="64"/>
      <c r="BV104" s="64"/>
      <c r="BW104" s="55"/>
      <c r="BX104" s="55"/>
      <c r="BY104" s="55"/>
      <c r="BZ104" s="55"/>
      <c r="CA104" s="55"/>
      <c r="CB104" s="55"/>
      <c r="CC104" s="55"/>
      <c r="CD104" s="55"/>
      <c r="CE104" s="55"/>
      <c r="CF104" s="55"/>
      <c r="CG104" s="55"/>
      <c r="CH104" s="55"/>
    </row>
    <row r="105" ht="16.5" customHeight="1">
      <c r="A105" s="55"/>
      <c r="B105" s="55"/>
      <c r="C105" s="55"/>
      <c r="D105" s="55"/>
      <c r="E105" s="55"/>
      <c r="F105" s="55"/>
      <c r="G105" s="55"/>
      <c r="H105" s="64" t="str">
        <f>IFERROR(__xludf.DUMMYFUNCTION("IFERROR(
  AVERAGE(FILTER(data!B$2:B1000, data!A$2:A1000=$F105, data!D$2:D1000=$G105, data!E$2:E1000=2))
  -
  AVERAGE(FILTER(data!B$2:B1000, data!A$2:A1000=$F105, data!D$2:D1000=$G105, data!E$2:E1000=1))
, """")
"),"")</f>
        <v/>
      </c>
      <c r="I105" s="64" t="str">
        <f>IFERROR(__xludf.DUMMYFUNCTION("IFERROR(
  AVERAGE(FILTER(data!B$2:B1000, data!A$2:A1000=$F105, data!D$2:D1000=$G105, data!E$2:E1000=3))
  -
  AVERAGE(FILTER(data!B$2:B1000, data!A$2:A1000=$F105, data!D$2:D1000=$G105, data!E$2:E1000=2))
, """")
"),"")</f>
        <v/>
      </c>
      <c r="J105" s="64" t="str">
        <f>IFERROR(__xludf.DUMMYFUNCTION("IFERROR(
  AVERAGE(FILTER(data!B$2:B1000, data!A$2:A1000=$F105, data!D$2:D1000=$G105, data!E$2:E1000=3))
  -
  AVERAGE(FILTER(data!B$2:B1000, data!A$2:A1000=$F105, data!D$2:D1000=$G105, data!E$2:E1000=1))
, """")
"),"")</f>
        <v/>
      </c>
      <c r="K105" s="64" t="str">
        <f>IFERROR(__xludf.DUMMYFUNCTION("IFERROR(
  AVERAGE(FILTER(data!C$2:C1000, data!A$2:A1000=$F105, data!D$2:D1000=$G105, data!E$2:E1000=2))
  -
  AVERAGE(FILTER(data!C$2:C1000, data!A$2:A1000=$F105, data!D$2:D1000=$G105, data!E$2:E1000=1))
, """")
"),"")</f>
        <v/>
      </c>
      <c r="L105" s="64" t="str">
        <f>IFERROR(__xludf.DUMMYFUNCTION("IFERROR(
  AVERAGE(FILTER(data!C$2:C1000, data!A$2:A1000=$F105, data!D$2:D1000=$G105, data!E$2:E1000=3))
  -
  AVERAGE(FILTER(data!C$2:C1000, data!A$2:A1000=$F105, data!D$2:D1000=$G105, data!E$2:E1000=2))
, """")
"),"")</f>
        <v/>
      </c>
      <c r="M105" s="64" t="str">
        <f>IFERROR(__xludf.DUMMYFUNCTION("IFERROR(
  AVERAGE(FILTER(data!C$2:C1000, data!A$2:A1000=$F105, data!D$2:D1000=$G105, data!E$2:E1000=3))
  -
  AVERAGE(FILTER(data!C$2:C1000, data!A$2:A1000=$F105, data!D$2:D1000=$G105, data!E$2:E1000=1))
, """")
"),"")</f>
        <v/>
      </c>
      <c r="N105" s="64" t="str">
        <f t="shared" ref="N105:P105" si="209">IF(H105="",,ABS(H105))
</f>
        <v/>
      </c>
      <c r="O105" s="64" t="str">
        <f t="shared" si="209"/>
        <v/>
      </c>
      <c r="P105" s="64" t="str">
        <f t="shared" si="209"/>
        <v/>
      </c>
      <c r="Q105" s="64" t="str">
        <f t="shared" si="4"/>
        <v/>
      </c>
      <c r="R105" s="64" t="str">
        <f t="shared" ref="R105:S105" si="210">IF(L105="",,ABS(L105))
</f>
        <v/>
      </c>
      <c r="S105" s="64" t="str">
        <f t="shared" si="210"/>
        <v/>
      </c>
      <c r="T105" s="55"/>
      <c r="U105" s="55"/>
      <c r="V105" s="55"/>
      <c r="W105" s="64"/>
      <c r="X105" s="64"/>
      <c r="Y105" s="55"/>
      <c r="Z105" s="55"/>
      <c r="AA105" s="55"/>
      <c r="AB105" s="64"/>
      <c r="AC105" s="64"/>
      <c r="AD105" s="64"/>
      <c r="AE105" s="64"/>
      <c r="AF105" s="64"/>
      <c r="AG105" s="55"/>
      <c r="AH105" s="55"/>
      <c r="AI105" s="64"/>
      <c r="AJ105" s="64"/>
      <c r="AK105" s="64"/>
      <c r="AL105" s="64"/>
      <c r="AM105" s="64"/>
      <c r="AN105" s="64"/>
      <c r="AO105" s="55"/>
      <c r="AP105" s="55"/>
      <c r="AQ105" s="64"/>
      <c r="AR105" s="64"/>
      <c r="AS105" s="64"/>
      <c r="AT105" s="64"/>
      <c r="AU105" s="64"/>
      <c r="AV105" s="55"/>
      <c r="AW105" s="55"/>
      <c r="AX105" s="64"/>
      <c r="AY105" s="64"/>
      <c r="AZ105" s="64"/>
      <c r="BA105" s="64"/>
      <c r="BB105" s="64"/>
      <c r="BC105" s="55"/>
      <c r="BD105" s="55"/>
      <c r="BE105" s="64"/>
      <c r="BF105" s="55"/>
      <c r="BG105" s="64"/>
      <c r="BH105" s="64"/>
      <c r="BI105" s="64"/>
      <c r="BJ105" s="64"/>
      <c r="BK105" s="55"/>
      <c r="BL105" s="55"/>
      <c r="BM105" s="55"/>
      <c r="BN105" s="64"/>
      <c r="BO105" s="64"/>
      <c r="BP105" s="64"/>
      <c r="BQ105" s="64"/>
      <c r="BR105" s="64"/>
      <c r="BS105" s="64"/>
      <c r="BT105" s="64"/>
      <c r="BU105" s="64"/>
      <c r="BV105" s="64"/>
      <c r="BW105" s="55"/>
      <c r="BX105" s="55"/>
      <c r="BY105" s="55"/>
      <c r="BZ105" s="55"/>
      <c r="CA105" s="55"/>
      <c r="CB105" s="55"/>
      <c r="CC105" s="55"/>
      <c r="CD105" s="55"/>
      <c r="CE105" s="55"/>
      <c r="CF105" s="55"/>
      <c r="CG105" s="55"/>
      <c r="CH105" s="55"/>
    </row>
    <row r="106" ht="16.5" customHeight="1">
      <c r="A106" s="55"/>
      <c r="B106" s="55"/>
      <c r="C106" s="55"/>
      <c r="D106" s="55"/>
      <c r="E106" s="55"/>
      <c r="F106" s="55"/>
      <c r="G106" s="55"/>
      <c r="H106" s="64" t="str">
        <f>IFERROR(__xludf.DUMMYFUNCTION("IFERROR(
  AVERAGE(FILTER(data!B$2:B1000, data!A$2:A1000=$F106, data!D$2:D1000=$G106, data!E$2:E1000=2))
  -
  AVERAGE(FILTER(data!B$2:B1000, data!A$2:A1000=$F106, data!D$2:D1000=$G106, data!E$2:E1000=1))
, """")
"),"")</f>
        <v/>
      </c>
      <c r="I106" s="64" t="str">
        <f>IFERROR(__xludf.DUMMYFUNCTION("IFERROR(
  AVERAGE(FILTER(data!B$2:B1000, data!A$2:A1000=$F106, data!D$2:D1000=$G106, data!E$2:E1000=3))
  -
  AVERAGE(FILTER(data!B$2:B1000, data!A$2:A1000=$F106, data!D$2:D1000=$G106, data!E$2:E1000=2))
, """")
"),"")</f>
        <v/>
      </c>
      <c r="J106" s="64" t="str">
        <f>IFERROR(__xludf.DUMMYFUNCTION("IFERROR(
  AVERAGE(FILTER(data!B$2:B1000, data!A$2:A1000=$F106, data!D$2:D1000=$G106, data!E$2:E1000=3))
  -
  AVERAGE(FILTER(data!B$2:B1000, data!A$2:A1000=$F106, data!D$2:D1000=$G106, data!E$2:E1000=1))
, """")
"),"")</f>
        <v/>
      </c>
      <c r="K106" s="64" t="str">
        <f>IFERROR(__xludf.DUMMYFUNCTION("IFERROR(
  AVERAGE(FILTER(data!C$2:C1000, data!A$2:A1000=$F106, data!D$2:D1000=$G106, data!E$2:E1000=2))
  -
  AVERAGE(FILTER(data!C$2:C1000, data!A$2:A1000=$F106, data!D$2:D1000=$G106, data!E$2:E1000=1))
, """")
"),"")</f>
        <v/>
      </c>
      <c r="L106" s="64" t="str">
        <f>IFERROR(__xludf.DUMMYFUNCTION("IFERROR(
  AVERAGE(FILTER(data!C$2:C1000, data!A$2:A1000=$F106, data!D$2:D1000=$G106, data!E$2:E1000=3))
  -
  AVERAGE(FILTER(data!C$2:C1000, data!A$2:A1000=$F106, data!D$2:D1000=$G106, data!E$2:E1000=2))
, """")
"),"")</f>
        <v/>
      </c>
      <c r="M106" s="64" t="str">
        <f>IFERROR(__xludf.DUMMYFUNCTION("IFERROR(
  AVERAGE(FILTER(data!C$2:C1000, data!A$2:A1000=$F106, data!D$2:D1000=$G106, data!E$2:E1000=3))
  -
  AVERAGE(FILTER(data!C$2:C1000, data!A$2:A1000=$F106, data!D$2:D1000=$G106, data!E$2:E1000=1))
, """")
"),"")</f>
        <v/>
      </c>
      <c r="N106" s="64" t="str">
        <f t="shared" ref="N106:P106" si="211">IF(H106="",,ABS(H106))
</f>
        <v/>
      </c>
      <c r="O106" s="64" t="str">
        <f t="shared" si="211"/>
        <v/>
      </c>
      <c r="P106" s="64" t="str">
        <f t="shared" si="211"/>
        <v/>
      </c>
      <c r="Q106" s="64" t="str">
        <f t="shared" si="4"/>
        <v/>
      </c>
      <c r="R106" s="64" t="str">
        <f t="shared" ref="R106:S106" si="212">IF(L106="",,ABS(L106))
</f>
        <v/>
      </c>
      <c r="S106" s="64" t="str">
        <f t="shared" si="212"/>
        <v/>
      </c>
      <c r="T106" s="55"/>
      <c r="U106" s="55"/>
      <c r="V106" s="55"/>
      <c r="W106" s="64"/>
      <c r="X106" s="64"/>
      <c r="Y106" s="55"/>
      <c r="Z106" s="55"/>
      <c r="AA106" s="55"/>
      <c r="AB106" s="64"/>
      <c r="AC106" s="64"/>
      <c r="AD106" s="64"/>
      <c r="AE106" s="64"/>
      <c r="AF106" s="64"/>
      <c r="AG106" s="55"/>
      <c r="AH106" s="55"/>
      <c r="AI106" s="64"/>
      <c r="AJ106" s="64"/>
      <c r="AK106" s="64"/>
      <c r="AL106" s="64"/>
      <c r="AM106" s="64"/>
      <c r="AN106" s="64"/>
      <c r="AO106" s="55"/>
      <c r="AP106" s="55"/>
      <c r="AQ106" s="64"/>
      <c r="AR106" s="64"/>
      <c r="AS106" s="64"/>
      <c r="AT106" s="64"/>
      <c r="AU106" s="64"/>
      <c r="AV106" s="55"/>
      <c r="AW106" s="55"/>
      <c r="AX106" s="64"/>
      <c r="AY106" s="64"/>
      <c r="AZ106" s="64"/>
      <c r="BA106" s="64"/>
      <c r="BB106" s="64"/>
      <c r="BC106" s="55"/>
      <c r="BD106" s="55"/>
      <c r="BE106" s="64"/>
      <c r="BF106" s="55"/>
      <c r="BG106" s="64"/>
      <c r="BH106" s="64"/>
      <c r="BI106" s="64"/>
      <c r="BJ106" s="64"/>
      <c r="BK106" s="55"/>
      <c r="BL106" s="55"/>
      <c r="BM106" s="55"/>
      <c r="BN106" s="64"/>
      <c r="BO106" s="64"/>
      <c r="BP106" s="64"/>
      <c r="BQ106" s="64"/>
      <c r="BR106" s="64"/>
      <c r="BS106" s="64"/>
      <c r="BT106" s="64"/>
      <c r="BU106" s="64"/>
      <c r="BV106" s="64"/>
      <c r="BW106" s="55"/>
      <c r="BX106" s="55"/>
      <c r="BY106" s="55"/>
      <c r="BZ106" s="55"/>
      <c r="CA106" s="55"/>
      <c r="CB106" s="55"/>
      <c r="CC106" s="55"/>
      <c r="CD106" s="55"/>
      <c r="CE106" s="55"/>
      <c r="CF106" s="55"/>
      <c r="CG106" s="55"/>
      <c r="CH106" s="55"/>
    </row>
    <row r="107" ht="16.5" customHeight="1">
      <c r="A107" s="55"/>
      <c r="B107" s="55"/>
      <c r="C107" s="55"/>
      <c r="D107" s="55"/>
      <c r="E107" s="55"/>
      <c r="F107" s="55"/>
      <c r="G107" s="55"/>
      <c r="H107" s="64" t="str">
        <f>IFERROR(__xludf.DUMMYFUNCTION("IFERROR(
  AVERAGE(FILTER(data!B$2:B1000, data!A$2:A1000=$F107, data!D$2:D1000=$G107, data!E$2:E1000=2))
  -
  AVERAGE(FILTER(data!B$2:B1000, data!A$2:A1000=$F107, data!D$2:D1000=$G107, data!E$2:E1000=1))
, """")
"),"")</f>
        <v/>
      </c>
      <c r="I107" s="64" t="str">
        <f>IFERROR(__xludf.DUMMYFUNCTION("IFERROR(
  AVERAGE(FILTER(data!B$2:B1000, data!A$2:A1000=$F107, data!D$2:D1000=$G107, data!E$2:E1000=3))
  -
  AVERAGE(FILTER(data!B$2:B1000, data!A$2:A1000=$F107, data!D$2:D1000=$G107, data!E$2:E1000=2))
, """")
"),"")</f>
        <v/>
      </c>
      <c r="J107" s="64" t="str">
        <f>IFERROR(__xludf.DUMMYFUNCTION("IFERROR(
  AVERAGE(FILTER(data!B$2:B1000, data!A$2:A1000=$F107, data!D$2:D1000=$G107, data!E$2:E1000=3))
  -
  AVERAGE(FILTER(data!B$2:B1000, data!A$2:A1000=$F107, data!D$2:D1000=$G107, data!E$2:E1000=1))
, """")
"),"")</f>
        <v/>
      </c>
      <c r="K107" s="64" t="str">
        <f>IFERROR(__xludf.DUMMYFUNCTION("IFERROR(
  AVERAGE(FILTER(data!C$2:C1000, data!A$2:A1000=$F107, data!D$2:D1000=$G107, data!E$2:E1000=2))
  -
  AVERAGE(FILTER(data!C$2:C1000, data!A$2:A1000=$F107, data!D$2:D1000=$G107, data!E$2:E1000=1))
, """")
"),"")</f>
        <v/>
      </c>
      <c r="L107" s="64" t="str">
        <f>IFERROR(__xludf.DUMMYFUNCTION("IFERROR(
  AVERAGE(FILTER(data!C$2:C1000, data!A$2:A1000=$F107, data!D$2:D1000=$G107, data!E$2:E1000=3))
  -
  AVERAGE(FILTER(data!C$2:C1000, data!A$2:A1000=$F107, data!D$2:D1000=$G107, data!E$2:E1000=2))
, """")
"),"")</f>
        <v/>
      </c>
      <c r="M107" s="64" t="str">
        <f>IFERROR(__xludf.DUMMYFUNCTION("IFERROR(
  AVERAGE(FILTER(data!C$2:C1000, data!A$2:A1000=$F107, data!D$2:D1000=$G107, data!E$2:E1000=3))
  -
  AVERAGE(FILTER(data!C$2:C1000, data!A$2:A1000=$F107, data!D$2:D1000=$G107, data!E$2:E1000=1))
, """")
"),"")</f>
        <v/>
      </c>
      <c r="N107" s="64" t="str">
        <f t="shared" ref="N107:P107" si="213">IF(H107="",,ABS(H107))
</f>
        <v/>
      </c>
      <c r="O107" s="64" t="str">
        <f t="shared" si="213"/>
        <v/>
      </c>
      <c r="P107" s="64" t="str">
        <f t="shared" si="213"/>
        <v/>
      </c>
      <c r="Q107" s="64" t="str">
        <f t="shared" si="4"/>
        <v/>
      </c>
      <c r="R107" s="64" t="str">
        <f t="shared" ref="R107:S107" si="214">IF(L107="",,ABS(L107))
</f>
        <v/>
      </c>
      <c r="S107" s="64" t="str">
        <f t="shared" si="214"/>
        <v/>
      </c>
      <c r="T107" s="55"/>
      <c r="U107" s="55"/>
      <c r="V107" s="55"/>
      <c r="W107" s="64"/>
      <c r="X107" s="64"/>
      <c r="Y107" s="55"/>
      <c r="Z107" s="55"/>
      <c r="AA107" s="55"/>
      <c r="AB107" s="64"/>
      <c r="AC107" s="64"/>
      <c r="AD107" s="64"/>
      <c r="AE107" s="64"/>
      <c r="AF107" s="64"/>
      <c r="AG107" s="55"/>
      <c r="AH107" s="55"/>
      <c r="AI107" s="64"/>
      <c r="AJ107" s="64"/>
      <c r="AK107" s="64"/>
      <c r="AL107" s="64"/>
      <c r="AM107" s="64"/>
      <c r="AN107" s="64"/>
      <c r="AO107" s="55"/>
      <c r="AP107" s="55"/>
      <c r="AQ107" s="64"/>
      <c r="AR107" s="64"/>
      <c r="AS107" s="64"/>
      <c r="AT107" s="64"/>
      <c r="AU107" s="64"/>
      <c r="AV107" s="55"/>
      <c r="AW107" s="55"/>
      <c r="AX107" s="64"/>
      <c r="AY107" s="64"/>
      <c r="AZ107" s="64"/>
      <c r="BA107" s="64"/>
      <c r="BB107" s="64"/>
      <c r="BC107" s="55"/>
      <c r="BD107" s="55"/>
      <c r="BE107" s="64"/>
      <c r="BF107" s="55"/>
      <c r="BG107" s="64"/>
      <c r="BH107" s="64"/>
      <c r="BI107" s="64"/>
      <c r="BJ107" s="64"/>
      <c r="BK107" s="55"/>
      <c r="BL107" s="55"/>
      <c r="BM107" s="55"/>
      <c r="BN107" s="64"/>
      <c r="BO107" s="64"/>
      <c r="BP107" s="64"/>
      <c r="BQ107" s="64"/>
      <c r="BR107" s="64"/>
      <c r="BS107" s="64"/>
      <c r="BT107" s="64"/>
      <c r="BU107" s="64"/>
      <c r="BV107" s="64"/>
      <c r="BW107" s="55"/>
      <c r="BX107" s="55"/>
      <c r="BY107" s="55"/>
      <c r="BZ107" s="55"/>
      <c r="CA107" s="55"/>
      <c r="CB107" s="55"/>
      <c r="CC107" s="55"/>
      <c r="CD107" s="55"/>
      <c r="CE107" s="55"/>
      <c r="CF107" s="55"/>
      <c r="CG107" s="55"/>
      <c r="CH107" s="55"/>
    </row>
    <row r="108" ht="16.5" customHeight="1">
      <c r="A108" s="55"/>
      <c r="B108" s="55"/>
      <c r="C108" s="55"/>
      <c r="D108" s="55"/>
      <c r="E108" s="55"/>
      <c r="F108" s="55"/>
      <c r="G108" s="55"/>
      <c r="H108" s="64" t="str">
        <f>IFERROR(__xludf.DUMMYFUNCTION("IFERROR(
  AVERAGE(FILTER(data!B$2:B1000, data!A$2:A1000=$F108, data!D$2:D1000=$G108, data!E$2:E1000=2))
  -
  AVERAGE(FILTER(data!B$2:B1000, data!A$2:A1000=$F108, data!D$2:D1000=$G108, data!E$2:E1000=1))
, """")
"),"")</f>
        <v/>
      </c>
      <c r="I108" s="64" t="str">
        <f>IFERROR(__xludf.DUMMYFUNCTION("IFERROR(
  AVERAGE(FILTER(data!B$2:B1000, data!A$2:A1000=$F108, data!D$2:D1000=$G108, data!E$2:E1000=3))
  -
  AVERAGE(FILTER(data!B$2:B1000, data!A$2:A1000=$F108, data!D$2:D1000=$G108, data!E$2:E1000=2))
, """")
"),"")</f>
        <v/>
      </c>
      <c r="J108" s="64" t="str">
        <f>IFERROR(__xludf.DUMMYFUNCTION("IFERROR(
  AVERAGE(FILTER(data!B$2:B1000, data!A$2:A1000=$F108, data!D$2:D1000=$G108, data!E$2:E1000=3))
  -
  AVERAGE(FILTER(data!B$2:B1000, data!A$2:A1000=$F108, data!D$2:D1000=$G108, data!E$2:E1000=1))
, """")
"),"")</f>
        <v/>
      </c>
      <c r="K108" s="64" t="str">
        <f>IFERROR(__xludf.DUMMYFUNCTION("IFERROR(
  AVERAGE(FILTER(data!C$2:C1000, data!A$2:A1000=$F108, data!D$2:D1000=$G108, data!E$2:E1000=2))
  -
  AVERAGE(FILTER(data!C$2:C1000, data!A$2:A1000=$F108, data!D$2:D1000=$G108, data!E$2:E1000=1))
, """")
"),"")</f>
        <v/>
      </c>
      <c r="L108" s="64" t="str">
        <f>IFERROR(__xludf.DUMMYFUNCTION("IFERROR(
  AVERAGE(FILTER(data!C$2:C1000, data!A$2:A1000=$F108, data!D$2:D1000=$G108, data!E$2:E1000=3))
  -
  AVERAGE(FILTER(data!C$2:C1000, data!A$2:A1000=$F108, data!D$2:D1000=$G108, data!E$2:E1000=2))
, """")
"),"")</f>
        <v/>
      </c>
      <c r="M108" s="64" t="str">
        <f>IFERROR(__xludf.DUMMYFUNCTION("IFERROR(
  AVERAGE(FILTER(data!C$2:C1000, data!A$2:A1000=$F108, data!D$2:D1000=$G108, data!E$2:E1000=3))
  -
  AVERAGE(FILTER(data!C$2:C1000, data!A$2:A1000=$F108, data!D$2:D1000=$G108, data!E$2:E1000=1))
, """")
"),"")</f>
        <v/>
      </c>
      <c r="N108" s="64" t="str">
        <f t="shared" ref="N108:P108" si="215">IF(H108="",,ABS(H108))
</f>
        <v/>
      </c>
      <c r="O108" s="64" t="str">
        <f t="shared" si="215"/>
        <v/>
      </c>
      <c r="P108" s="64" t="str">
        <f t="shared" si="215"/>
        <v/>
      </c>
      <c r="Q108" s="64" t="str">
        <f t="shared" si="4"/>
        <v/>
      </c>
      <c r="R108" s="64" t="str">
        <f t="shared" ref="R108:S108" si="216">IF(L108="",,ABS(L108))
</f>
        <v/>
      </c>
      <c r="S108" s="64" t="str">
        <f t="shared" si="216"/>
        <v/>
      </c>
      <c r="T108" s="55"/>
      <c r="U108" s="55"/>
      <c r="V108" s="55"/>
      <c r="W108" s="64"/>
      <c r="X108" s="64"/>
      <c r="Y108" s="55"/>
      <c r="Z108" s="55"/>
      <c r="AA108" s="55"/>
      <c r="AB108" s="64"/>
      <c r="AC108" s="64"/>
      <c r="AD108" s="64"/>
      <c r="AE108" s="64"/>
      <c r="AF108" s="64"/>
      <c r="AG108" s="55"/>
      <c r="AH108" s="55"/>
      <c r="AI108" s="64"/>
      <c r="AJ108" s="64"/>
      <c r="AK108" s="64"/>
      <c r="AL108" s="64"/>
      <c r="AM108" s="64"/>
      <c r="AN108" s="64"/>
      <c r="AO108" s="55"/>
      <c r="AP108" s="55"/>
      <c r="AQ108" s="64"/>
      <c r="AR108" s="64"/>
      <c r="AS108" s="64"/>
      <c r="AT108" s="64"/>
      <c r="AU108" s="64"/>
      <c r="AV108" s="55"/>
      <c r="AW108" s="55"/>
      <c r="AX108" s="64"/>
      <c r="AY108" s="64"/>
      <c r="AZ108" s="64"/>
      <c r="BA108" s="64"/>
      <c r="BB108" s="64"/>
      <c r="BC108" s="55"/>
      <c r="BD108" s="55"/>
      <c r="BE108" s="64"/>
      <c r="BF108" s="55"/>
      <c r="BG108" s="64"/>
      <c r="BH108" s="64"/>
      <c r="BI108" s="64"/>
      <c r="BJ108" s="64"/>
      <c r="BK108" s="55"/>
      <c r="BL108" s="55"/>
      <c r="BM108" s="55"/>
      <c r="BN108" s="64"/>
      <c r="BO108" s="64"/>
      <c r="BP108" s="64"/>
      <c r="BQ108" s="64"/>
      <c r="BR108" s="64"/>
      <c r="BS108" s="64"/>
      <c r="BT108" s="64"/>
      <c r="BU108" s="64"/>
      <c r="BV108" s="64"/>
      <c r="BW108" s="55"/>
      <c r="BX108" s="55"/>
      <c r="BY108" s="55"/>
      <c r="BZ108" s="55"/>
      <c r="CA108" s="55"/>
      <c r="CB108" s="55"/>
      <c r="CC108" s="55"/>
      <c r="CD108" s="55"/>
      <c r="CE108" s="55"/>
      <c r="CF108" s="55"/>
      <c r="CG108" s="55"/>
      <c r="CH108" s="55"/>
    </row>
    <row r="109" ht="16.5" customHeight="1">
      <c r="A109" s="55"/>
      <c r="B109" s="55"/>
      <c r="C109" s="55"/>
      <c r="D109" s="55"/>
      <c r="E109" s="55"/>
      <c r="F109" s="55"/>
      <c r="G109" s="55"/>
      <c r="H109" s="64" t="str">
        <f>IFERROR(__xludf.DUMMYFUNCTION("IFERROR(
  AVERAGE(FILTER(data!B$2:B1000, data!A$2:A1000=$F109, data!D$2:D1000=$G109, data!E$2:E1000=2))
  -
  AVERAGE(FILTER(data!B$2:B1000, data!A$2:A1000=$F109, data!D$2:D1000=$G109, data!E$2:E1000=1))
, """")
"),"")</f>
        <v/>
      </c>
      <c r="I109" s="64" t="str">
        <f>IFERROR(__xludf.DUMMYFUNCTION("IFERROR(
  AVERAGE(FILTER(data!B$2:B1000, data!A$2:A1000=$F109, data!D$2:D1000=$G109, data!E$2:E1000=3))
  -
  AVERAGE(FILTER(data!B$2:B1000, data!A$2:A1000=$F109, data!D$2:D1000=$G109, data!E$2:E1000=2))
, """")
"),"")</f>
        <v/>
      </c>
      <c r="J109" s="64" t="str">
        <f>IFERROR(__xludf.DUMMYFUNCTION("IFERROR(
  AVERAGE(FILTER(data!B$2:B1000, data!A$2:A1000=$F109, data!D$2:D1000=$G109, data!E$2:E1000=3))
  -
  AVERAGE(FILTER(data!B$2:B1000, data!A$2:A1000=$F109, data!D$2:D1000=$G109, data!E$2:E1000=1))
, """")
"),"")</f>
        <v/>
      </c>
      <c r="K109" s="64" t="str">
        <f>IFERROR(__xludf.DUMMYFUNCTION("IFERROR(
  AVERAGE(FILTER(data!C$2:C1000, data!A$2:A1000=$F109, data!D$2:D1000=$G109, data!E$2:E1000=2))
  -
  AVERAGE(FILTER(data!C$2:C1000, data!A$2:A1000=$F109, data!D$2:D1000=$G109, data!E$2:E1000=1))
, """")
"),"")</f>
        <v/>
      </c>
      <c r="L109" s="64" t="str">
        <f>IFERROR(__xludf.DUMMYFUNCTION("IFERROR(
  AVERAGE(FILTER(data!C$2:C1000, data!A$2:A1000=$F109, data!D$2:D1000=$G109, data!E$2:E1000=3))
  -
  AVERAGE(FILTER(data!C$2:C1000, data!A$2:A1000=$F109, data!D$2:D1000=$G109, data!E$2:E1000=2))
, """")
"),"")</f>
        <v/>
      </c>
      <c r="M109" s="64" t="str">
        <f>IFERROR(__xludf.DUMMYFUNCTION("IFERROR(
  AVERAGE(FILTER(data!C$2:C1000, data!A$2:A1000=$F109, data!D$2:D1000=$G109, data!E$2:E1000=3))
  -
  AVERAGE(FILTER(data!C$2:C1000, data!A$2:A1000=$F109, data!D$2:D1000=$G109, data!E$2:E1000=1))
, """")
"),"")</f>
        <v/>
      </c>
      <c r="N109" s="64" t="str">
        <f t="shared" ref="N109:P109" si="217">IF(H109="",,ABS(H109))
</f>
        <v/>
      </c>
      <c r="O109" s="64" t="str">
        <f t="shared" si="217"/>
        <v/>
      </c>
      <c r="P109" s="64" t="str">
        <f t="shared" si="217"/>
        <v/>
      </c>
      <c r="Q109" s="64" t="str">
        <f t="shared" si="4"/>
        <v/>
      </c>
      <c r="R109" s="64" t="str">
        <f t="shared" ref="R109:S109" si="218">IF(L109="",,ABS(L109))
</f>
        <v/>
      </c>
      <c r="S109" s="64" t="str">
        <f t="shared" si="218"/>
        <v/>
      </c>
      <c r="T109" s="55"/>
      <c r="U109" s="55"/>
      <c r="V109" s="55"/>
      <c r="W109" s="64"/>
      <c r="X109" s="64"/>
      <c r="Y109" s="55"/>
      <c r="Z109" s="55"/>
      <c r="AA109" s="55"/>
      <c r="AB109" s="64"/>
      <c r="AC109" s="64"/>
      <c r="AD109" s="64"/>
      <c r="AE109" s="64"/>
      <c r="AF109" s="64"/>
      <c r="AG109" s="55"/>
      <c r="AH109" s="55"/>
      <c r="AI109" s="64"/>
      <c r="AJ109" s="64"/>
      <c r="AK109" s="64"/>
      <c r="AL109" s="64"/>
      <c r="AM109" s="64"/>
      <c r="AN109" s="64"/>
      <c r="AO109" s="55"/>
      <c r="AP109" s="55"/>
      <c r="AQ109" s="64"/>
      <c r="AR109" s="64"/>
      <c r="AS109" s="64"/>
      <c r="AT109" s="64"/>
      <c r="AU109" s="64"/>
      <c r="AV109" s="55"/>
      <c r="AW109" s="55"/>
      <c r="AX109" s="64"/>
      <c r="AY109" s="64"/>
      <c r="AZ109" s="64"/>
      <c r="BA109" s="64"/>
      <c r="BB109" s="64"/>
      <c r="BC109" s="55"/>
      <c r="BD109" s="55"/>
      <c r="BE109" s="64"/>
      <c r="BF109" s="55"/>
      <c r="BG109" s="64"/>
      <c r="BH109" s="64"/>
      <c r="BI109" s="64"/>
      <c r="BJ109" s="64"/>
      <c r="BK109" s="55"/>
      <c r="BL109" s="55"/>
      <c r="BM109" s="55"/>
      <c r="BN109" s="64"/>
      <c r="BO109" s="64"/>
      <c r="BP109" s="64"/>
      <c r="BQ109" s="64"/>
      <c r="BR109" s="64"/>
      <c r="BS109" s="64"/>
      <c r="BT109" s="64"/>
      <c r="BU109" s="64"/>
      <c r="BV109" s="64"/>
      <c r="BW109" s="55"/>
      <c r="BX109" s="55"/>
      <c r="BY109" s="55"/>
      <c r="BZ109" s="55"/>
      <c r="CA109" s="55"/>
      <c r="CB109" s="55"/>
      <c r="CC109" s="55"/>
      <c r="CD109" s="55"/>
      <c r="CE109" s="55"/>
      <c r="CF109" s="55"/>
      <c r="CG109" s="55"/>
      <c r="CH109" s="55"/>
    </row>
    <row r="110" ht="16.5" customHeight="1">
      <c r="A110" s="55"/>
      <c r="B110" s="55"/>
      <c r="C110" s="55"/>
      <c r="D110" s="55"/>
      <c r="E110" s="55"/>
      <c r="F110" s="55"/>
      <c r="G110" s="55"/>
      <c r="H110" s="64" t="str">
        <f>IFERROR(__xludf.DUMMYFUNCTION("IFERROR(
  AVERAGE(FILTER(data!B$2:B1000, data!A$2:A1000=$F110, data!D$2:D1000=$G110, data!E$2:E1000=2))
  -
  AVERAGE(FILTER(data!B$2:B1000, data!A$2:A1000=$F110, data!D$2:D1000=$G110, data!E$2:E1000=1))
, """")
"),"")</f>
        <v/>
      </c>
      <c r="I110" s="64" t="str">
        <f>IFERROR(__xludf.DUMMYFUNCTION("IFERROR(
  AVERAGE(FILTER(data!B$2:B1000, data!A$2:A1000=$F110, data!D$2:D1000=$G110, data!E$2:E1000=3))
  -
  AVERAGE(FILTER(data!B$2:B1000, data!A$2:A1000=$F110, data!D$2:D1000=$G110, data!E$2:E1000=2))
, """")
"),"")</f>
        <v/>
      </c>
      <c r="J110" s="64" t="str">
        <f>IFERROR(__xludf.DUMMYFUNCTION("IFERROR(
  AVERAGE(FILTER(data!B$2:B1000, data!A$2:A1000=$F110, data!D$2:D1000=$G110, data!E$2:E1000=3))
  -
  AVERAGE(FILTER(data!B$2:B1000, data!A$2:A1000=$F110, data!D$2:D1000=$G110, data!E$2:E1000=1))
, """")
"),"")</f>
        <v/>
      </c>
      <c r="K110" s="64" t="str">
        <f>IFERROR(__xludf.DUMMYFUNCTION("IFERROR(
  AVERAGE(FILTER(data!C$2:C1000, data!A$2:A1000=$F110, data!D$2:D1000=$G110, data!E$2:E1000=2))
  -
  AVERAGE(FILTER(data!C$2:C1000, data!A$2:A1000=$F110, data!D$2:D1000=$G110, data!E$2:E1000=1))
, """")
"),"")</f>
        <v/>
      </c>
      <c r="L110" s="64" t="str">
        <f>IFERROR(__xludf.DUMMYFUNCTION("IFERROR(
  AVERAGE(FILTER(data!C$2:C1000, data!A$2:A1000=$F110, data!D$2:D1000=$G110, data!E$2:E1000=3))
  -
  AVERAGE(FILTER(data!C$2:C1000, data!A$2:A1000=$F110, data!D$2:D1000=$G110, data!E$2:E1000=2))
, """")
"),"")</f>
        <v/>
      </c>
      <c r="M110" s="64" t="str">
        <f>IFERROR(__xludf.DUMMYFUNCTION("IFERROR(
  AVERAGE(FILTER(data!C$2:C1000, data!A$2:A1000=$F110, data!D$2:D1000=$G110, data!E$2:E1000=3))
  -
  AVERAGE(FILTER(data!C$2:C1000, data!A$2:A1000=$F110, data!D$2:D1000=$G110, data!E$2:E1000=1))
, """")
"),"")</f>
        <v/>
      </c>
      <c r="N110" s="64" t="str">
        <f t="shared" ref="N110:P110" si="219">IF(H110="",,ABS(H110))
</f>
        <v/>
      </c>
      <c r="O110" s="64" t="str">
        <f t="shared" si="219"/>
        <v/>
      </c>
      <c r="P110" s="64" t="str">
        <f t="shared" si="219"/>
        <v/>
      </c>
      <c r="Q110" s="64" t="str">
        <f t="shared" si="4"/>
        <v/>
      </c>
      <c r="R110" s="64" t="str">
        <f t="shared" ref="R110:S110" si="220">IF(L110="",,ABS(L110))
</f>
        <v/>
      </c>
      <c r="S110" s="64" t="str">
        <f t="shared" si="220"/>
        <v/>
      </c>
      <c r="T110" s="55"/>
      <c r="U110" s="55"/>
      <c r="V110" s="55"/>
      <c r="W110" s="64"/>
      <c r="X110" s="64"/>
      <c r="Y110" s="55"/>
      <c r="Z110" s="55"/>
      <c r="AA110" s="55"/>
      <c r="AB110" s="64"/>
      <c r="AC110" s="64"/>
      <c r="AD110" s="64"/>
      <c r="AE110" s="64"/>
      <c r="AF110" s="64"/>
      <c r="AG110" s="55"/>
      <c r="AH110" s="55"/>
      <c r="AI110" s="64"/>
      <c r="AJ110" s="64"/>
      <c r="AK110" s="64"/>
      <c r="AL110" s="64"/>
      <c r="AM110" s="64"/>
      <c r="AN110" s="64"/>
      <c r="AO110" s="55"/>
      <c r="AP110" s="55"/>
      <c r="AQ110" s="64"/>
      <c r="AR110" s="64"/>
      <c r="AS110" s="64"/>
      <c r="AT110" s="64"/>
      <c r="AU110" s="64"/>
      <c r="AV110" s="55"/>
      <c r="AW110" s="55"/>
      <c r="AX110" s="64"/>
      <c r="AY110" s="64"/>
      <c r="AZ110" s="64"/>
      <c r="BA110" s="64"/>
      <c r="BB110" s="64"/>
      <c r="BC110" s="55"/>
      <c r="BD110" s="55"/>
      <c r="BE110" s="64"/>
      <c r="BF110" s="55"/>
      <c r="BG110" s="64"/>
      <c r="BH110" s="64"/>
      <c r="BI110" s="64"/>
      <c r="BJ110" s="64"/>
      <c r="BK110" s="55"/>
      <c r="BL110" s="55"/>
      <c r="BM110" s="55"/>
      <c r="BN110" s="64"/>
      <c r="BO110" s="64"/>
      <c r="BP110" s="64"/>
      <c r="BQ110" s="64"/>
      <c r="BR110" s="64"/>
      <c r="BS110" s="64"/>
      <c r="BT110" s="64"/>
      <c r="BU110" s="64"/>
      <c r="BV110" s="64"/>
      <c r="BW110" s="55"/>
      <c r="BX110" s="55"/>
      <c r="BY110" s="55"/>
      <c r="BZ110" s="55"/>
      <c r="CA110" s="55"/>
      <c r="CB110" s="55"/>
      <c r="CC110" s="55"/>
      <c r="CD110" s="55"/>
      <c r="CE110" s="55"/>
      <c r="CF110" s="55"/>
      <c r="CG110" s="55"/>
      <c r="CH110" s="55"/>
    </row>
    <row r="111" ht="16.5" customHeight="1">
      <c r="A111" s="55"/>
      <c r="B111" s="55"/>
      <c r="C111" s="55"/>
      <c r="D111" s="55"/>
      <c r="E111" s="55"/>
      <c r="F111" s="55"/>
      <c r="G111" s="55"/>
      <c r="H111" s="64" t="str">
        <f>IFERROR(__xludf.DUMMYFUNCTION("IFERROR(
  AVERAGE(FILTER(data!B$2:B1000, data!A$2:A1000=$F111, data!D$2:D1000=$G111, data!E$2:E1000=2))
  -
  AVERAGE(FILTER(data!B$2:B1000, data!A$2:A1000=$F111, data!D$2:D1000=$G111, data!E$2:E1000=1))
, """")
"),"")</f>
        <v/>
      </c>
      <c r="I111" s="64" t="str">
        <f>IFERROR(__xludf.DUMMYFUNCTION("IFERROR(
  AVERAGE(FILTER(data!B$2:B1000, data!A$2:A1000=$F111, data!D$2:D1000=$G111, data!E$2:E1000=3))
  -
  AVERAGE(FILTER(data!B$2:B1000, data!A$2:A1000=$F111, data!D$2:D1000=$G111, data!E$2:E1000=2))
, """")
"),"")</f>
        <v/>
      </c>
      <c r="J111" s="64" t="str">
        <f>IFERROR(__xludf.DUMMYFUNCTION("IFERROR(
  AVERAGE(FILTER(data!B$2:B1000, data!A$2:A1000=$F111, data!D$2:D1000=$G111, data!E$2:E1000=3))
  -
  AVERAGE(FILTER(data!B$2:B1000, data!A$2:A1000=$F111, data!D$2:D1000=$G111, data!E$2:E1000=1))
, """")
"),"")</f>
        <v/>
      </c>
      <c r="K111" s="64" t="str">
        <f>IFERROR(__xludf.DUMMYFUNCTION("IFERROR(
  AVERAGE(FILTER(data!C$2:C1000, data!A$2:A1000=$F111, data!D$2:D1000=$G111, data!E$2:E1000=2))
  -
  AVERAGE(FILTER(data!C$2:C1000, data!A$2:A1000=$F111, data!D$2:D1000=$G111, data!E$2:E1000=1))
, """")
"),"")</f>
        <v/>
      </c>
      <c r="L111" s="64" t="str">
        <f>IFERROR(__xludf.DUMMYFUNCTION("IFERROR(
  AVERAGE(FILTER(data!C$2:C1000, data!A$2:A1000=$F111, data!D$2:D1000=$G111, data!E$2:E1000=3))
  -
  AVERAGE(FILTER(data!C$2:C1000, data!A$2:A1000=$F111, data!D$2:D1000=$G111, data!E$2:E1000=2))
, """")
"),"")</f>
        <v/>
      </c>
      <c r="M111" s="64" t="str">
        <f>IFERROR(__xludf.DUMMYFUNCTION("IFERROR(
  AVERAGE(FILTER(data!C$2:C1000, data!A$2:A1000=$F111, data!D$2:D1000=$G111, data!E$2:E1000=3))
  -
  AVERAGE(FILTER(data!C$2:C1000, data!A$2:A1000=$F111, data!D$2:D1000=$G111, data!E$2:E1000=1))
, """")
"),"")</f>
        <v/>
      </c>
      <c r="N111" s="64" t="str">
        <f t="shared" ref="N111:P111" si="221">IF(H111="",,ABS(H111))
</f>
        <v/>
      </c>
      <c r="O111" s="64" t="str">
        <f t="shared" si="221"/>
        <v/>
      </c>
      <c r="P111" s="64" t="str">
        <f t="shared" si="221"/>
        <v/>
      </c>
      <c r="Q111" s="64" t="str">
        <f t="shared" si="4"/>
        <v/>
      </c>
      <c r="R111" s="64" t="str">
        <f t="shared" ref="R111:S111" si="222">IF(L111="",,ABS(L111))
</f>
        <v/>
      </c>
      <c r="S111" s="64" t="str">
        <f t="shared" si="222"/>
        <v/>
      </c>
      <c r="T111" s="55"/>
      <c r="U111" s="55"/>
      <c r="V111" s="55"/>
      <c r="W111" s="64"/>
      <c r="X111" s="64"/>
      <c r="Y111" s="55"/>
      <c r="Z111" s="55"/>
      <c r="AA111" s="55"/>
      <c r="AB111" s="64"/>
      <c r="AC111" s="64"/>
      <c r="AD111" s="64"/>
      <c r="AE111" s="64"/>
      <c r="AF111" s="64"/>
      <c r="AG111" s="55"/>
      <c r="AH111" s="55"/>
      <c r="AI111" s="64"/>
      <c r="AJ111" s="64"/>
      <c r="AK111" s="64"/>
      <c r="AL111" s="64"/>
      <c r="AM111" s="64"/>
      <c r="AN111" s="64"/>
      <c r="AO111" s="55"/>
      <c r="AP111" s="55"/>
      <c r="AQ111" s="64"/>
      <c r="AR111" s="64"/>
      <c r="AS111" s="64"/>
      <c r="AT111" s="64"/>
      <c r="AU111" s="64"/>
      <c r="AV111" s="55"/>
      <c r="AW111" s="55"/>
      <c r="AX111" s="64"/>
      <c r="AY111" s="64"/>
      <c r="AZ111" s="64"/>
      <c r="BA111" s="64"/>
      <c r="BB111" s="64"/>
      <c r="BC111" s="55"/>
      <c r="BD111" s="55"/>
      <c r="BE111" s="64"/>
      <c r="BF111" s="55"/>
      <c r="BG111" s="64"/>
      <c r="BH111" s="64"/>
      <c r="BI111" s="64"/>
      <c r="BJ111" s="64"/>
      <c r="BK111" s="55"/>
      <c r="BL111" s="55"/>
      <c r="BM111" s="55"/>
      <c r="BN111" s="64"/>
      <c r="BO111" s="64"/>
      <c r="BP111" s="64"/>
      <c r="BQ111" s="64"/>
      <c r="BR111" s="64"/>
      <c r="BS111" s="64"/>
      <c r="BT111" s="64"/>
      <c r="BU111" s="64"/>
      <c r="BV111" s="64"/>
      <c r="BW111" s="55"/>
      <c r="BX111" s="55"/>
      <c r="BY111" s="55"/>
      <c r="BZ111" s="55"/>
      <c r="CA111" s="55"/>
      <c r="CB111" s="55"/>
      <c r="CC111" s="55"/>
      <c r="CD111" s="55"/>
      <c r="CE111" s="55"/>
      <c r="CF111" s="55"/>
      <c r="CG111" s="55"/>
      <c r="CH111" s="55"/>
    </row>
    <row r="112" ht="16.5" customHeight="1">
      <c r="A112" s="55"/>
      <c r="B112" s="55"/>
      <c r="C112" s="55"/>
      <c r="D112" s="55"/>
      <c r="E112" s="55"/>
      <c r="F112" s="55"/>
      <c r="G112" s="55"/>
      <c r="H112" s="64" t="str">
        <f>IFERROR(__xludf.DUMMYFUNCTION("IFERROR(
  AVERAGE(FILTER(data!B$2:B1000, data!A$2:A1000=$F112, data!D$2:D1000=$G112, data!E$2:E1000=2))
  -
  AVERAGE(FILTER(data!B$2:B1000, data!A$2:A1000=$F112, data!D$2:D1000=$G112, data!E$2:E1000=1))
, """")
"),"")</f>
        <v/>
      </c>
      <c r="I112" s="64" t="str">
        <f>IFERROR(__xludf.DUMMYFUNCTION("IFERROR(
  AVERAGE(FILTER(data!B$2:B1000, data!A$2:A1000=$F112, data!D$2:D1000=$G112, data!E$2:E1000=3))
  -
  AVERAGE(FILTER(data!B$2:B1000, data!A$2:A1000=$F112, data!D$2:D1000=$G112, data!E$2:E1000=2))
, """")
"),"")</f>
        <v/>
      </c>
      <c r="J112" s="64" t="str">
        <f>IFERROR(__xludf.DUMMYFUNCTION("IFERROR(
  AVERAGE(FILTER(data!B$2:B1000, data!A$2:A1000=$F112, data!D$2:D1000=$G112, data!E$2:E1000=3))
  -
  AVERAGE(FILTER(data!B$2:B1000, data!A$2:A1000=$F112, data!D$2:D1000=$G112, data!E$2:E1000=1))
, """")
"),"")</f>
        <v/>
      </c>
      <c r="K112" s="64" t="str">
        <f>IFERROR(__xludf.DUMMYFUNCTION("IFERROR(
  AVERAGE(FILTER(data!C$2:C1000, data!A$2:A1000=$F112, data!D$2:D1000=$G112, data!E$2:E1000=2))
  -
  AVERAGE(FILTER(data!C$2:C1000, data!A$2:A1000=$F112, data!D$2:D1000=$G112, data!E$2:E1000=1))
, """")
"),"")</f>
        <v/>
      </c>
      <c r="L112" s="64" t="str">
        <f>IFERROR(__xludf.DUMMYFUNCTION("IFERROR(
  AVERAGE(FILTER(data!C$2:C1000, data!A$2:A1000=$F112, data!D$2:D1000=$G112, data!E$2:E1000=3))
  -
  AVERAGE(FILTER(data!C$2:C1000, data!A$2:A1000=$F112, data!D$2:D1000=$G112, data!E$2:E1000=2))
, """")
"),"")</f>
        <v/>
      </c>
      <c r="M112" s="64" t="str">
        <f>IFERROR(__xludf.DUMMYFUNCTION("IFERROR(
  AVERAGE(FILTER(data!C$2:C1000, data!A$2:A1000=$F112, data!D$2:D1000=$G112, data!E$2:E1000=3))
  -
  AVERAGE(FILTER(data!C$2:C1000, data!A$2:A1000=$F112, data!D$2:D1000=$G112, data!E$2:E1000=1))
, """")
"),"")</f>
        <v/>
      </c>
      <c r="N112" s="64" t="str">
        <f t="shared" ref="N112:P112" si="223">IF(H112="",,ABS(H112))
</f>
        <v/>
      </c>
      <c r="O112" s="64" t="str">
        <f t="shared" si="223"/>
        <v/>
      </c>
      <c r="P112" s="64" t="str">
        <f t="shared" si="223"/>
        <v/>
      </c>
      <c r="Q112" s="64" t="str">
        <f t="shared" si="4"/>
        <v/>
      </c>
      <c r="R112" s="64" t="str">
        <f t="shared" ref="R112:S112" si="224">IF(L112="",,ABS(L112))
</f>
        <v/>
      </c>
      <c r="S112" s="64" t="str">
        <f t="shared" si="224"/>
        <v/>
      </c>
      <c r="T112" s="55"/>
      <c r="U112" s="55"/>
      <c r="V112" s="55"/>
      <c r="W112" s="64"/>
      <c r="X112" s="64"/>
      <c r="Y112" s="55"/>
      <c r="Z112" s="55"/>
      <c r="AA112" s="55"/>
      <c r="AB112" s="64"/>
      <c r="AC112" s="64"/>
      <c r="AD112" s="64"/>
      <c r="AE112" s="64"/>
      <c r="AF112" s="64"/>
      <c r="AG112" s="55"/>
      <c r="AH112" s="55"/>
      <c r="AI112" s="64"/>
      <c r="AJ112" s="64"/>
      <c r="AK112" s="64"/>
      <c r="AL112" s="64"/>
      <c r="AM112" s="64"/>
      <c r="AN112" s="64"/>
      <c r="AO112" s="55"/>
      <c r="AP112" s="55"/>
      <c r="AQ112" s="64"/>
      <c r="AR112" s="64"/>
      <c r="AS112" s="64"/>
      <c r="AT112" s="64"/>
      <c r="AU112" s="64"/>
      <c r="AV112" s="55"/>
      <c r="AW112" s="55"/>
      <c r="AX112" s="64"/>
      <c r="AY112" s="64"/>
      <c r="AZ112" s="64"/>
      <c r="BA112" s="64"/>
      <c r="BB112" s="64"/>
      <c r="BC112" s="55"/>
      <c r="BD112" s="55"/>
      <c r="BE112" s="64"/>
      <c r="BF112" s="55"/>
      <c r="BG112" s="64"/>
      <c r="BH112" s="64"/>
      <c r="BI112" s="64"/>
      <c r="BJ112" s="64"/>
      <c r="BK112" s="55"/>
      <c r="BL112" s="55"/>
      <c r="BM112" s="55"/>
      <c r="BN112" s="64"/>
      <c r="BO112" s="64"/>
      <c r="BP112" s="64"/>
      <c r="BQ112" s="64"/>
      <c r="BR112" s="64"/>
      <c r="BS112" s="64"/>
      <c r="BT112" s="64"/>
      <c r="BU112" s="64"/>
      <c r="BV112" s="64"/>
      <c r="BW112" s="55"/>
      <c r="BX112" s="55"/>
      <c r="BY112" s="55"/>
      <c r="BZ112" s="55"/>
      <c r="CA112" s="55"/>
      <c r="CB112" s="55"/>
      <c r="CC112" s="55"/>
      <c r="CD112" s="55"/>
      <c r="CE112" s="55"/>
      <c r="CF112" s="55"/>
      <c r="CG112" s="55"/>
      <c r="CH112" s="55"/>
    </row>
    <row r="113" ht="16.5" customHeight="1">
      <c r="A113" s="55"/>
      <c r="B113" s="55"/>
      <c r="C113" s="55"/>
      <c r="D113" s="55"/>
      <c r="E113" s="55"/>
      <c r="F113" s="55"/>
      <c r="G113" s="55"/>
      <c r="H113" s="64" t="str">
        <f>IFERROR(__xludf.DUMMYFUNCTION("IFERROR(
  AVERAGE(FILTER(data!B$2:B1000, data!A$2:A1000=$F113, data!D$2:D1000=$G113, data!E$2:E1000=2))
  -
  AVERAGE(FILTER(data!B$2:B1000, data!A$2:A1000=$F113, data!D$2:D1000=$G113, data!E$2:E1000=1))
, """")
"),"")</f>
        <v/>
      </c>
      <c r="I113" s="64" t="str">
        <f>IFERROR(__xludf.DUMMYFUNCTION("IFERROR(
  AVERAGE(FILTER(data!B$2:B1000, data!A$2:A1000=$F113, data!D$2:D1000=$G113, data!E$2:E1000=3))
  -
  AVERAGE(FILTER(data!B$2:B1000, data!A$2:A1000=$F113, data!D$2:D1000=$G113, data!E$2:E1000=2))
, """")
"),"")</f>
        <v/>
      </c>
      <c r="J113" s="64" t="str">
        <f>IFERROR(__xludf.DUMMYFUNCTION("IFERROR(
  AVERAGE(FILTER(data!B$2:B1000, data!A$2:A1000=$F113, data!D$2:D1000=$G113, data!E$2:E1000=3))
  -
  AVERAGE(FILTER(data!B$2:B1000, data!A$2:A1000=$F113, data!D$2:D1000=$G113, data!E$2:E1000=1))
, """")
"),"")</f>
        <v/>
      </c>
      <c r="K113" s="64" t="str">
        <f>IFERROR(__xludf.DUMMYFUNCTION("IFERROR(
  AVERAGE(FILTER(data!C$2:C1000, data!A$2:A1000=$F113, data!D$2:D1000=$G113, data!E$2:E1000=2))
  -
  AVERAGE(FILTER(data!C$2:C1000, data!A$2:A1000=$F113, data!D$2:D1000=$G113, data!E$2:E1000=1))
, """")
"),"")</f>
        <v/>
      </c>
      <c r="L113" s="64" t="str">
        <f>IFERROR(__xludf.DUMMYFUNCTION("IFERROR(
  AVERAGE(FILTER(data!C$2:C1000, data!A$2:A1000=$F113, data!D$2:D1000=$G113, data!E$2:E1000=3))
  -
  AVERAGE(FILTER(data!C$2:C1000, data!A$2:A1000=$F113, data!D$2:D1000=$G113, data!E$2:E1000=2))
, """")
"),"")</f>
        <v/>
      </c>
      <c r="M113" s="64" t="str">
        <f>IFERROR(__xludf.DUMMYFUNCTION("IFERROR(
  AVERAGE(FILTER(data!C$2:C1000, data!A$2:A1000=$F113, data!D$2:D1000=$G113, data!E$2:E1000=3))
  -
  AVERAGE(FILTER(data!C$2:C1000, data!A$2:A1000=$F113, data!D$2:D1000=$G113, data!E$2:E1000=1))
, """")
"),"")</f>
        <v/>
      </c>
      <c r="N113" s="64" t="str">
        <f t="shared" ref="N113:P113" si="225">IF(H113="",,ABS(H113))
</f>
        <v/>
      </c>
      <c r="O113" s="64" t="str">
        <f t="shared" si="225"/>
        <v/>
      </c>
      <c r="P113" s="64" t="str">
        <f t="shared" si="225"/>
        <v/>
      </c>
      <c r="Q113" s="64" t="str">
        <f t="shared" si="4"/>
        <v/>
      </c>
      <c r="R113" s="64" t="str">
        <f t="shared" ref="R113:S113" si="226">IF(L113="",,ABS(L113))
</f>
        <v/>
      </c>
      <c r="S113" s="64" t="str">
        <f t="shared" si="226"/>
        <v/>
      </c>
      <c r="T113" s="55"/>
      <c r="U113" s="55"/>
      <c r="V113" s="55"/>
      <c r="W113" s="64"/>
      <c r="X113" s="64"/>
      <c r="Y113" s="55"/>
      <c r="Z113" s="55"/>
      <c r="AA113" s="55"/>
      <c r="AB113" s="64"/>
      <c r="AC113" s="64"/>
      <c r="AD113" s="64"/>
      <c r="AE113" s="64"/>
      <c r="AF113" s="64"/>
      <c r="AG113" s="55"/>
      <c r="AH113" s="55"/>
      <c r="AI113" s="64"/>
      <c r="AJ113" s="64"/>
      <c r="AK113" s="64"/>
      <c r="AL113" s="64"/>
      <c r="AM113" s="64"/>
      <c r="AN113" s="64"/>
      <c r="AO113" s="55"/>
      <c r="AP113" s="55"/>
      <c r="AQ113" s="64"/>
      <c r="AR113" s="64"/>
      <c r="AS113" s="64"/>
      <c r="AT113" s="64"/>
      <c r="AU113" s="64"/>
      <c r="AV113" s="55"/>
      <c r="AW113" s="55"/>
      <c r="AX113" s="64"/>
      <c r="AY113" s="64"/>
      <c r="AZ113" s="64"/>
      <c r="BA113" s="64"/>
      <c r="BB113" s="64"/>
      <c r="BC113" s="55"/>
      <c r="BD113" s="55"/>
      <c r="BE113" s="64"/>
      <c r="BF113" s="55"/>
      <c r="BG113" s="64"/>
      <c r="BH113" s="64"/>
      <c r="BI113" s="64"/>
      <c r="BJ113" s="64"/>
      <c r="BK113" s="55"/>
      <c r="BL113" s="55"/>
      <c r="BM113" s="55"/>
      <c r="BN113" s="64"/>
      <c r="BO113" s="64"/>
      <c r="BP113" s="64"/>
      <c r="BQ113" s="64"/>
      <c r="BR113" s="64"/>
      <c r="BS113" s="64"/>
      <c r="BT113" s="64"/>
      <c r="BU113" s="64"/>
      <c r="BV113" s="64"/>
      <c r="BW113" s="55"/>
      <c r="BX113" s="55"/>
      <c r="BY113" s="55"/>
      <c r="BZ113" s="55"/>
      <c r="CA113" s="55"/>
      <c r="CB113" s="55"/>
      <c r="CC113" s="55"/>
      <c r="CD113" s="55"/>
      <c r="CE113" s="55"/>
      <c r="CF113" s="55"/>
      <c r="CG113" s="55"/>
      <c r="CH113" s="55"/>
    </row>
    <row r="114" ht="16.5" customHeight="1">
      <c r="A114" s="55"/>
      <c r="B114" s="55"/>
      <c r="C114" s="55"/>
      <c r="D114" s="55"/>
      <c r="E114" s="55"/>
      <c r="F114" s="55"/>
      <c r="G114" s="55"/>
      <c r="H114" s="64" t="str">
        <f>IFERROR(__xludf.DUMMYFUNCTION("IFERROR(
  AVERAGE(FILTER(data!B$2:B1000, data!A$2:A1000=$F114, data!D$2:D1000=$G114, data!E$2:E1000=2))
  -
  AVERAGE(FILTER(data!B$2:B1000, data!A$2:A1000=$F114, data!D$2:D1000=$G114, data!E$2:E1000=1))
, """")
"),"")</f>
        <v/>
      </c>
      <c r="I114" s="64" t="str">
        <f>IFERROR(__xludf.DUMMYFUNCTION("IFERROR(
  AVERAGE(FILTER(data!B$2:B1000, data!A$2:A1000=$F114, data!D$2:D1000=$G114, data!E$2:E1000=3))
  -
  AVERAGE(FILTER(data!B$2:B1000, data!A$2:A1000=$F114, data!D$2:D1000=$G114, data!E$2:E1000=2))
, """")
"),"")</f>
        <v/>
      </c>
      <c r="J114" s="64" t="str">
        <f>IFERROR(__xludf.DUMMYFUNCTION("IFERROR(
  AVERAGE(FILTER(data!B$2:B1000, data!A$2:A1000=$F114, data!D$2:D1000=$G114, data!E$2:E1000=3))
  -
  AVERAGE(FILTER(data!B$2:B1000, data!A$2:A1000=$F114, data!D$2:D1000=$G114, data!E$2:E1000=1))
, """")
"),"")</f>
        <v/>
      </c>
      <c r="K114" s="64" t="str">
        <f>IFERROR(__xludf.DUMMYFUNCTION("IFERROR(
  AVERAGE(FILTER(data!C$2:C1000, data!A$2:A1000=$F114, data!D$2:D1000=$G114, data!E$2:E1000=2))
  -
  AVERAGE(FILTER(data!C$2:C1000, data!A$2:A1000=$F114, data!D$2:D1000=$G114, data!E$2:E1000=1))
, """")
"),"")</f>
        <v/>
      </c>
      <c r="L114" s="64" t="str">
        <f>IFERROR(__xludf.DUMMYFUNCTION("IFERROR(
  AVERAGE(FILTER(data!C$2:C1000, data!A$2:A1000=$F114, data!D$2:D1000=$G114, data!E$2:E1000=3))
  -
  AVERAGE(FILTER(data!C$2:C1000, data!A$2:A1000=$F114, data!D$2:D1000=$G114, data!E$2:E1000=2))
, """")
"),"")</f>
        <v/>
      </c>
      <c r="M114" s="64" t="str">
        <f>IFERROR(__xludf.DUMMYFUNCTION("IFERROR(
  AVERAGE(FILTER(data!C$2:C1000, data!A$2:A1000=$F114, data!D$2:D1000=$G114, data!E$2:E1000=3))
  -
  AVERAGE(FILTER(data!C$2:C1000, data!A$2:A1000=$F114, data!D$2:D1000=$G114, data!E$2:E1000=1))
, """")
"),"")</f>
        <v/>
      </c>
      <c r="N114" s="64" t="str">
        <f t="shared" ref="N114:P114" si="227">IF(H114="",,ABS(H114))
</f>
        <v/>
      </c>
      <c r="O114" s="64" t="str">
        <f t="shared" si="227"/>
        <v/>
      </c>
      <c r="P114" s="64" t="str">
        <f t="shared" si="227"/>
        <v/>
      </c>
      <c r="Q114" s="64" t="str">
        <f t="shared" si="4"/>
        <v/>
      </c>
      <c r="R114" s="64" t="str">
        <f t="shared" ref="R114:S114" si="228">IF(L114="",,ABS(L114))
</f>
        <v/>
      </c>
      <c r="S114" s="64" t="str">
        <f t="shared" si="228"/>
        <v/>
      </c>
      <c r="T114" s="55"/>
      <c r="U114" s="55"/>
      <c r="V114" s="55"/>
      <c r="W114" s="64"/>
      <c r="X114" s="64"/>
      <c r="Y114" s="55"/>
      <c r="Z114" s="55"/>
      <c r="AA114" s="55"/>
      <c r="AB114" s="64"/>
      <c r="AC114" s="64"/>
      <c r="AD114" s="64"/>
      <c r="AE114" s="64"/>
      <c r="AF114" s="64"/>
      <c r="AG114" s="55"/>
      <c r="AH114" s="55"/>
      <c r="AI114" s="64"/>
      <c r="AJ114" s="64"/>
      <c r="AK114" s="64"/>
      <c r="AL114" s="64"/>
      <c r="AM114" s="64"/>
      <c r="AN114" s="64"/>
      <c r="AO114" s="55"/>
      <c r="AP114" s="55"/>
      <c r="AQ114" s="64"/>
      <c r="AR114" s="64"/>
      <c r="AS114" s="64"/>
      <c r="AT114" s="64"/>
      <c r="AU114" s="64"/>
      <c r="AV114" s="55"/>
      <c r="AW114" s="55"/>
      <c r="AX114" s="64"/>
      <c r="AY114" s="64"/>
      <c r="AZ114" s="64"/>
      <c r="BA114" s="64"/>
      <c r="BB114" s="64"/>
      <c r="BC114" s="55"/>
      <c r="BD114" s="55"/>
      <c r="BE114" s="64"/>
      <c r="BF114" s="55"/>
      <c r="BG114" s="64"/>
      <c r="BH114" s="64"/>
      <c r="BI114" s="64"/>
      <c r="BJ114" s="64"/>
      <c r="BK114" s="55"/>
      <c r="BL114" s="55"/>
      <c r="BM114" s="55"/>
      <c r="BN114" s="64"/>
      <c r="BO114" s="64"/>
      <c r="BP114" s="64"/>
      <c r="BQ114" s="64"/>
      <c r="BR114" s="64"/>
      <c r="BS114" s="64"/>
      <c r="BT114" s="64"/>
      <c r="BU114" s="64"/>
      <c r="BV114" s="64"/>
      <c r="BW114" s="55"/>
      <c r="BX114" s="55"/>
      <c r="BY114" s="55"/>
      <c r="BZ114" s="55"/>
      <c r="CA114" s="55"/>
      <c r="CB114" s="55"/>
      <c r="CC114" s="55"/>
      <c r="CD114" s="55"/>
      <c r="CE114" s="55"/>
      <c r="CF114" s="55"/>
      <c r="CG114" s="55"/>
      <c r="CH114" s="55"/>
    </row>
    <row r="115" ht="16.5" customHeight="1">
      <c r="A115" s="55"/>
      <c r="B115" s="55"/>
      <c r="C115" s="55"/>
      <c r="D115" s="55"/>
      <c r="E115" s="55"/>
      <c r="F115" s="55"/>
      <c r="G115" s="55"/>
      <c r="H115" s="64" t="str">
        <f>IFERROR(__xludf.DUMMYFUNCTION("IFERROR(
  AVERAGE(FILTER(data!B$2:B1000, data!A$2:A1000=$F115, data!D$2:D1000=$G115, data!E$2:E1000=2))
  -
  AVERAGE(FILTER(data!B$2:B1000, data!A$2:A1000=$F115, data!D$2:D1000=$G115, data!E$2:E1000=1))
, """")
"),"")</f>
        <v/>
      </c>
      <c r="I115" s="64" t="str">
        <f>IFERROR(__xludf.DUMMYFUNCTION("IFERROR(
  AVERAGE(FILTER(data!B$2:B1000, data!A$2:A1000=$F115, data!D$2:D1000=$G115, data!E$2:E1000=3))
  -
  AVERAGE(FILTER(data!B$2:B1000, data!A$2:A1000=$F115, data!D$2:D1000=$G115, data!E$2:E1000=2))
, """")
"),"")</f>
        <v/>
      </c>
      <c r="J115" s="64" t="str">
        <f>IFERROR(__xludf.DUMMYFUNCTION("IFERROR(
  AVERAGE(FILTER(data!B$2:B1000, data!A$2:A1000=$F115, data!D$2:D1000=$G115, data!E$2:E1000=3))
  -
  AVERAGE(FILTER(data!B$2:B1000, data!A$2:A1000=$F115, data!D$2:D1000=$G115, data!E$2:E1000=1))
, """")
"),"")</f>
        <v/>
      </c>
      <c r="K115" s="64" t="str">
        <f>IFERROR(__xludf.DUMMYFUNCTION("IFERROR(
  AVERAGE(FILTER(data!C$2:C1000, data!A$2:A1000=$F115, data!D$2:D1000=$G115, data!E$2:E1000=2))
  -
  AVERAGE(FILTER(data!C$2:C1000, data!A$2:A1000=$F115, data!D$2:D1000=$G115, data!E$2:E1000=1))
, """")
"),"")</f>
        <v/>
      </c>
      <c r="L115" s="64" t="str">
        <f>IFERROR(__xludf.DUMMYFUNCTION("IFERROR(
  AVERAGE(FILTER(data!C$2:C1000, data!A$2:A1000=$F115, data!D$2:D1000=$G115, data!E$2:E1000=3))
  -
  AVERAGE(FILTER(data!C$2:C1000, data!A$2:A1000=$F115, data!D$2:D1000=$G115, data!E$2:E1000=2))
, """")
"),"")</f>
        <v/>
      </c>
      <c r="M115" s="64" t="str">
        <f>IFERROR(__xludf.DUMMYFUNCTION("IFERROR(
  AVERAGE(FILTER(data!C$2:C1000, data!A$2:A1000=$F115, data!D$2:D1000=$G115, data!E$2:E1000=3))
  -
  AVERAGE(FILTER(data!C$2:C1000, data!A$2:A1000=$F115, data!D$2:D1000=$G115, data!E$2:E1000=1))
, """")
"),"")</f>
        <v/>
      </c>
      <c r="N115" s="64" t="str">
        <f t="shared" ref="N115:P115" si="229">IF(H115="",,ABS(H115))
</f>
        <v/>
      </c>
      <c r="O115" s="64" t="str">
        <f t="shared" si="229"/>
        <v/>
      </c>
      <c r="P115" s="64" t="str">
        <f t="shared" si="229"/>
        <v/>
      </c>
      <c r="Q115" s="64" t="str">
        <f t="shared" si="4"/>
        <v/>
      </c>
      <c r="R115" s="64" t="str">
        <f t="shared" ref="R115:S115" si="230">IF(L115="",,ABS(L115))
</f>
        <v/>
      </c>
      <c r="S115" s="64" t="str">
        <f t="shared" si="230"/>
        <v/>
      </c>
      <c r="T115" s="55"/>
      <c r="U115" s="55"/>
      <c r="V115" s="55"/>
      <c r="W115" s="64"/>
      <c r="X115" s="64"/>
      <c r="Y115" s="55"/>
      <c r="Z115" s="55"/>
      <c r="AA115" s="55"/>
      <c r="AB115" s="64"/>
      <c r="AC115" s="64"/>
      <c r="AD115" s="64"/>
      <c r="AE115" s="64"/>
      <c r="AF115" s="64"/>
      <c r="AG115" s="55"/>
      <c r="AH115" s="55"/>
      <c r="AI115" s="64"/>
      <c r="AJ115" s="64"/>
      <c r="AK115" s="64"/>
      <c r="AL115" s="64"/>
      <c r="AM115" s="64"/>
      <c r="AN115" s="64"/>
      <c r="AO115" s="55"/>
      <c r="AP115" s="55"/>
      <c r="AQ115" s="64"/>
      <c r="AR115" s="64"/>
      <c r="AS115" s="64"/>
      <c r="AT115" s="64"/>
      <c r="AU115" s="64"/>
      <c r="AV115" s="55"/>
      <c r="AW115" s="55"/>
      <c r="AX115" s="64"/>
      <c r="AY115" s="64"/>
      <c r="AZ115" s="64"/>
      <c r="BA115" s="64"/>
      <c r="BB115" s="64"/>
      <c r="BC115" s="55"/>
      <c r="BD115" s="55"/>
      <c r="BE115" s="64"/>
      <c r="BF115" s="55"/>
      <c r="BG115" s="64"/>
      <c r="BH115" s="64"/>
      <c r="BI115" s="64"/>
      <c r="BJ115" s="64"/>
      <c r="BK115" s="55"/>
      <c r="BL115" s="55"/>
      <c r="BM115" s="55"/>
      <c r="BN115" s="64"/>
      <c r="BO115" s="64"/>
      <c r="BP115" s="64"/>
      <c r="BQ115" s="64"/>
      <c r="BR115" s="64"/>
      <c r="BS115" s="64"/>
      <c r="BT115" s="64"/>
      <c r="BU115" s="64"/>
      <c r="BV115" s="64"/>
      <c r="BW115" s="55"/>
      <c r="BX115" s="55"/>
      <c r="BY115" s="55"/>
      <c r="BZ115" s="55"/>
      <c r="CA115" s="55"/>
      <c r="CB115" s="55"/>
      <c r="CC115" s="55"/>
      <c r="CD115" s="55"/>
      <c r="CE115" s="55"/>
      <c r="CF115" s="55"/>
      <c r="CG115" s="55"/>
      <c r="CH115" s="55"/>
    </row>
    <row r="116" ht="16.5" customHeight="1">
      <c r="A116" s="55"/>
      <c r="B116" s="55"/>
      <c r="C116" s="55"/>
      <c r="D116" s="55"/>
      <c r="E116" s="55"/>
      <c r="F116" s="55"/>
      <c r="G116" s="55"/>
      <c r="H116" s="64" t="str">
        <f>IFERROR(__xludf.DUMMYFUNCTION("IFERROR(
  AVERAGE(FILTER(data!B$2:B1000, data!A$2:A1000=$F116, data!D$2:D1000=$G116, data!E$2:E1000=2))
  -
  AVERAGE(FILTER(data!B$2:B1000, data!A$2:A1000=$F116, data!D$2:D1000=$G116, data!E$2:E1000=1))
, """")
"),"")</f>
        <v/>
      </c>
      <c r="I116" s="64" t="str">
        <f>IFERROR(__xludf.DUMMYFUNCTION("IFERROR(
  AVERAGE(FILTER(data!B$2:B1000, data!A$2:A1000=$F116, data!D$2:D1000=$G116, data!E$2:E1000=3))
  -
  AVERAGE(FILTER(data!B$2:B1000, data!A$2:A1000=$F116, data!D$2:D1000=$G116, data!E$2:E1000=2))
, """")
"),"")</f>
        <v/>
      </c>
      <c r="J116" s="64" t="str">
        <f>IFERROR(__xludf.DUMMYFUNCTION("IFERROR(
  AVERAGE(FILTER(data!B$2:B1000, data!A$2:A1000=$F116, data!D$2:D1000=$G116, data!E$2:E1000=3))
  -
  AVERAGE(FILTER(data!B$2:B1000, data!A$2:A1000=$F116, data!D$2:D1000=$G116, data!E$2:E1000=1))
, """")
"),"")</f>
        <v/>
      </c>
      <c r="K116" s="64" t="str">
        <f>IFERROR(__xludf.DUMMYFUNCTION("IFERROR(
  AVERAGE(FILTER(data!C$2:C1000, data!A$2:A1000=$F116, data!D$2:D1000=$G116, data!E$2:E1000=2))
  -
  AVERAGE(FILTER(data!C$2:C1000, data!A$2:A1000=$F116, data!D$2:D1000=$G116, data!E$2:E1000=1))
, """")
"),"")</f>
        <v/>
      </c>
      <c r="L116" s="64" t="str">
        <f>IFERROR(__xludf.DUMMYFUNCTION("IFERROR(
  AVERAGE(FILTER(data!C$2:C1000, data!A$2:A1000=$F116, data!D$2:D1000=$G116, data!E$2:E1000=3))
  -
  AVERAGE(FILTER(data!C$2:C1000, data!A$2:A1000=$F116, data!D$2:D1000=$G116, data!E$2:E1000=2))
, """")
"),"")</f>
        <v/>
      </c>
      <c r="M116" s="64" t="str">
        <f>IFERROR(__xludf.DUMMYFUNCTION("IFERROR(
  AVERAGE(FILTER(data!C$2:C1000, data!A$2:A1000=$F116, data!D$2:D1000=$G116, data!E$2:E1000=3))
  -
  AVERAGE(FILTER(data!C$2:C1000, data!A$2:A1000=$F116, data!D$2:D1000=$G116, data!E$2:E1000=1))
, """")
"),"")</f>
        <v/>
      </c>
      <c r="N116" s="64" t="str">
        <f t="shared" ref="N116:P116" si="231">IF(H116="",,ABS(H116))
</f>
        <v/>
      </c>
      <c r="O116" s="64" t="str">
        <f t="shared" si="231"/>
        <v/>
      </c>
      <c r="P116" s="64" t="str">
        <f t="shared" si="231"/>
        <v/>
      </c>
      <c r="Q116" s="64" t="str">
        <f t="shared" si="4"/>
        <v/>
      </c>
      <c r="R116" s="64" t="str">
        <f t="shared" ref="R116:S116" si="232">IF(L116="",,ABS(L116))
</f>
        <v/>
      </c>
      <c r="S116" s="64" t="str">
        <f t="shared" si="232"/>
        <v/>
      </c>
      <c r="T116" s="55"/>
      <c r="U116" s="55"/>
      <c r="V116" s="55"/>
      <c r="W116" s="64"/>
      <c r="X116" s="64"/>
      <c r="Y116" s="55"/>
      <c r="Z116" s="55"/>
      <c r="AA116" s="55"/>
      <c r="AB116" s="64"/>
      <c r="AC116" s="64"/>
      <c r="AD116" s="64"/>
      <c r="AE116" s="64"/>
      <c r="AF116" s="64"/>
      <c r="AG116" s="55"/>
      <c r="AH116" s="55"/>
      <c r="AI116" s="64"/>
      <c r="AJ116" s="64"/>
      <c r="AK116" s="64"/>
      <c r="AL116" s="64"/>
      <c r="AM116" s="64"/>
      <c r="AN116" s="64"/>
      <c r="AO116" s="55"/>
      <c r="AP116" s="55"/>
      <c r="AQ116" s="64"/>
      <c r="AR116" s="64"/>
      <c r="AS116" s="64"/>
      <c r="AT116" s="64"/>
      <c r="AU116" s="64"/>
      <c r="AV116" s="55"/>
      <c r="AW116" s="55"/>
      <c r="AX116" s="64"/>
      <c r="AY116" s="64"/>
      <c r="AZ116" s="64"/>
      <c r="BA116" s="64"/>
      <c r="BB116" s="64"/>
      <c r="BC116" s="55"/>
      <c r="BD116" s="55"/>
      <c r="BE116" s="64"/>
      <c r="BF116" s="55"/>
      <c r="BG116" s="64"/>
      <c r="BH116" s="64"/>
      <c r="BI116" s="64"/>
      <c r="BJ116" s="64"/>
      <c r="BK116" s="55"/>
      <c r="BL116" s="55"/>
      <c r="BM116" s="55"/>
      <c r="BN116" s="64"/>
      <c r="BO116" s="64"/>
      <c r="BP116" s="64"/>
      <c r="BQ116" s="64"/>
      <c r="BR116" s="64"/>
      <c r="BS116" s="64"/>
      <c r="BT116" s="64"/>
      <c r="BU116" s="64"/>
      <c r="BV116" s="64"/>
      <c r="BW116" s="55"/>
      <c r="BX116" s="55"/>
      <c r="BY116" s="55"/>
      <c r="BZ116" s="55"/>
      <c r="CA116" s="55"/>
      <c r="CB116" s="55"/>
      <c r="CC116" s="55"/>
      <c r="CD116" s="55"/>
      <c r="CE116" s="55"/>
      <c r="CF116" s="55"/>
      <c r="CG116" s="55"/>
      <c r="CH116" s="55"/>
    </row>
    <row r="117" ht="16.5" customHeight="1">
      <c r="A117" s="55"/>
      <c r="B117" s="55"/>
      <c r="C117" s="55"/>
      <c r="D117" s="55"/>
      <c r="E117" s="55"/>
      <c r="F117" s="55"/>
      <c r="G117" s="55"/>
      <c r="H117" s="64"/>
      <c r="I117" s="64"/>
      <c r="J117" s="64"/>
      <c r="K117" s="64"/>
      <c r="L117" s="64"/>
      <c r="M117" s="64"/>
      <c r="N117" s="64"/>
      <c r="O117" s="64"/>
      <c r="P117" s="64"/>
      <c r="Q117" s="64"/>
      <c r="R117" s="64"/>
      <c r="S117" s="64"/>
      <c r="T117" s="55"/>
      <c r="U117" s="55"/>
      <c r="V117" s="55"/>
      <c r="W117" s="64"/>
      <c r="X117" s="64"/>
      <c r="Y117" s="55"/>
      <c r="Z117" s="55"/>
      <c r="AA117" s="55"/>
      <c r="AB117" s="64"/>
      <c r="AC117" s="64"/>
      <c r="AD117" s="64"/>
      <c r="AE117" s="64"/>
      <c r="AF117" s="64"/>
      <c r="AG117" s="55"/>
      <c r="AH117" s="55"/>
      <c r="AI117" s="64"/>
      <c r="AJ117" s="64"/>
      <c r="AK117" s="64"/>
      <c r="AL117" s="64"/>
      <c r="AM117" s="64"/>
      <c r="AN117" s="64"/>
      <c r="AO117" s="55"/>
      <c r="AP117" s="55"/>
      <c r="AQ117" s="64"/>
      <c r="AR117" s="64"/>
      <c r="AS117" s="64"/>
      <c r="AT117" s="64"/>
      <c r="AU117" s="64"/>
      <c r="AV117" s="55"/>
      <c r="AW117" s="55"/>
      <c r="AX117" s="64"/>
      <c r="AY117" s="64"/>
      <c r="AZ117" s="64"/>
      <c r="BA117" s="64"/>
      <c r="BB117" s="64"/>
      <c r="BC117" s="55"/>
      <c r="BD117" s="55"/>
      <c r="BE117" s="64"/>
      <c r="BF117" s="55"/>
      <c r="BG117" s="64"/>
      <c r="BH117" s="64"/>
      <c r="BI117" s="64"/>
      <c r="BJ117" s="64"/>
      <c r="BK117" s="55"/>
      <c r="BL117" s="55"/>
      <c r="BM117" s="55"/>
      <c r="BN117" s="64"/>
      <c r="BO117" s="64"/>
      <c r="BP117" s="64"/>
      <c r="BQ117" s="64"/>
      <c r="BR117" s="64"/>
      <c r="BS117" s="64"/>
      <c r="BT117" s="64"/>
      <c r="BU117" s="64"/>
      <c r="BV117" s="64"/>
      <c r="BW117" s="55"/>
      <c r="BX117" s="55"/>
      <c r="BY117" s="55"/>
      <c r="BZ117" s="55"/>
      <c r="CA117" s="55"/>
      <c r="CB117" s="55"/>
      <c r="CC117" s="55"/>
      <c r="CD117" s="55"/>
      <c r="CE117" s="55"/>
      <c r="CF117" s="55"/>
      <c r="CG117" s="55"/>
      <c r="CH117" s="55"/>
    </row>
    <row r="118" ht="16.5" customHeight="1">
      <c r="A118" s="55"/>
      <c r="B118" s="55"/>
      <c r="C118" s="55"/>
      <c r="D118" s="55"/>
      <c r="E118" s="55"/>
      <c r="F118" s="55"/>
      <c r="G118" s="55"/>
      <c r="H118" s="64"/>
      <c r="I118" s="64"/>
      <c r="J118" s="64"/>
      <c r="K118" s="64"/>
      <c r="L118" s="64"/>
      <c r="M118" s="64"/>
      <c r="N118" s="64"/>
      <c r="O118" s="64"/>
      <c r="P118" s="64"/>
      <c r="Q118" s="64"/>
      <c r="R118" s="64"/>
      <c r="S118" s="64"/>
      <c r="T118" s="55"/>
      <c r="U118" s="55"/>
      <c r="V118" s="55"/>
      <c r="W118" s="64"/>
      <c r="X118" s="64"/>
      <c r="Y118" s="55"/>
      <c r="Z118" s="55"/>
      <c r="AA118" s="55"/>
      <c r="AB118" s="64"/>
      <c r="AC118" s="64"/>
      <c r="AD118" s="64"/>
      <c r="AE118" s="64"/>
      <c r="AF118" s="64"/>
      <c r="AG118" s="55"/>
      <c r="AH118" s="55"/>
      <c r="AI118" s="64"/>
      <c r="AJ118" s="64"/>
      <c r="AK118" s="64"/>
      <c r="AL118" s="64"/>
      <c r="AM118" s="64"/>
      <c r="AN118" s="64"/>
      <c r="AO118" s="55"/>
      <c r="AP118" s="55"/>
      <c r="AQ118" s="64"/>
      <c r="AR118" s="64"/>
      <c r="AS118" s="64"/>
      <c r="AT118" s="64"/>
      <c r="AU118" s="64"/>
      <c r="AV118" s="55"/>
      <c r="AW118" s="55"/>
      <c r="AX118" s="64"/>
      <c r="AY118" s="64"/>
      <c r="AZ118" s="64"/>
      <c r="BA118" s="64"/>
      <c r="BB118" s="64"/>
      <c r="BC118" s="55"/>
      <c r="BD118" s="55"/>
      <c r="BE118" s="64"/>
      <c r="BF118" s="55"/>
      <c r="BG118" s="64"/>
      <c r="BH118" s="64"/>
      <c r="BI118" s="64"/>
      <c r="BJ118" s="64"/>
      <c r="BK118" s="55"/>
      <c r="BL118" s="55"/>
      <c r="BM118" s="55"/>
      <c r="BN118" s="64"/>
      <c r="BO118" s="64"/>
      <c r="BP118" s="64"/>
      <c r="BQ118" s="64"/>
      <c r="BR118" s="64"/>
      <c r="BS118" s="64"/>
      <c r="BT118" s="64"/>
      <c r="BU118" s="64"/>
      <c r="BV118" s="64"/>
      <c r="BW118" s="55"/>
      <c r="BX118" s="55"/>
      <c r="BY118" s="55"/>
      <c r="BZ118" s="55"/>
      <c r="CA118" s="55"/>
      <c r="CB118" s="55"/>
      <c r="CC118" s="55"/>
      <c r="CD118" s="55"/>
      <c r="CE118" s="55"/>
      <c r="CF118" s="55"/>
      <c r="CG118" s="55"/>
      <c r="CH118" s="55"/>
    </row>
    <row r="119" ht="16.5" customHeight="1">
      <c r="A119" s="55"/>
      <c r="B119" s="55"/>
      <c r="C119" s="55"/>
      <c r="D119" s="55"/>
      <c r="E119" s="55"/>
      <c r="F119" s="55"/>
      <c r="G119" s="55"/>
      <c r="H119" s="64"/>
      <c r="I119" s="64"/>
      <c r="J119" s="64"/>
      <c r="K119" s="64"/>
      <c r="L119" s="64"/>
      <c r="M119" s="64"/>
      <c r="N119" s="64"/>
      <c r="O119" s="64"/>
      <c r="P119" s="64"/>
      <c r="Q119" s="64"/>
      <c r="R119" s="64"/>
      <c r="S119" s="64"/>
      <c r="T119" s="55"/>
      <c r="U119" s="55"/>
      <c r="V119" s="55"/>
      <c r="W119" s="64"/>
      <c r="X119" s="64"/>
      <c r="Y119" s="55"/>
      <c r="Z119" s="55"/>
      <c r="AA119" s="55"/>
      <c r="AB119" s="64"/>
      <c r="AC119" s="64"/>
      <c r="AD119" s="64"/>
      <c r="AE119" s="64"/>
      <c r="AF119" s="64"/>
      <c r="AG119" s="55"/>
      <c r="AH119" s="55"/>
      <c r="AI119" s="64"/>
      <c r="AJ119" s="64"/>
      <c r="AK119" s="64"/>
      <c r="AL119" s="64"/>
      <c r="AM119" s="64"/>
      <c r="AN119" s="64"/>
      <c r="AO119" s="55"/>
      <c r="AP119" s="55"/>
      <c r="AQ119" s="64"/>
      <c r="AR119" s="64"/>
      <c r="AS119" s="64"/>
      <c r="AT119" s="64"/>
      <c r="AU119" s="64"/>
      <c r="AV119" s="55"/>
      <c r="AW119" s="55"/>
      <c r="AX119" s="64"/>
      <c r="AY119" s="64"/>
      <c r="AZ119" s="64"/>
      <c r="BA119" s="64"/>
      <c r="BB119" s="64"/>
      <c r="BC119" s="55"/>
      <c r="BD119" s="55"/>
      <c r="BE119" s="64"/>
      <c r="BF119" s="55"/>
      <c r="BG119" s="64"/>
      <c r="BH119" s="64"/>
      <c r="BI119" s="64"/>
      <c r="BJ119" s="64"/>
      <c r="BK119" s="55"/>
      <c r="BL119" s="55"/>
      <c r="BM119" s="55"/>
      <c r="BN119" s="64"/>
      <c r="BO119" s="64"/>
      <c r="BP119" s="64"/>
      <c r="BQ119" s="64"/>
      <c r="BR119" s="64"/>
      <c r="BS119" s="64"/>
      <c r="BT119" s="64"/>
      <c r="BU119" s="64"/>
      <c r="BV119" s="64"/>
      <c r="BW119" s="55"/>
      <c r="BX119" s="55"/>
      <c r="BY119" s="55"/>
      <c r="BZ119" s="55"/>
      <c r="CA119" s="55"/>
      <c r="CB119" s="55"/>
      <c r="CC119" s="55"/>
      <c r="CD119" s="55"/>
      <c r="CE119" s="55"/>
      <c r="CF119" s="55"/>
      <c r="CG119" s="55"/>
      <c r="CH119" s="55"/>
    </row>
    <row r="120" ht="16.5" customHeight="1">
      <c r="A120" s="55"/>
      <c r="B120" s="55"/>
      <c r="C120" s="55"/>
      <c r="D120" s="55"/>
      <c r="E120" s="55"/>
      <c r="F120" s="55"/>
      <c r="G120" s="55"/>
      <c r="H120" s="64"/>
      <c r="I120" s="64"/>
      <c r="J120" s="64"/>
      <c r="K120" s="64"/>
      <c r="L120" s="64"/>
      <c r="M120" s="64"/>
      <c r="N120" s="64"/>
      <c r="O120" s="64"/>
      <c r="P120" s="64"/>
      <c r="Q120" s="64"/>
      <c r="R120" s="64"/>
      <c r="S120" s="64"/>
      <c r="T120" s="55"/>
      <c r="U120" s="55"/>
      <c r="V120" s="55"/>
      <c r="W120" s="64"/>
      <c r="X120" s="64"/>
      <c r="Y120" s="55"/>
      <c r="Z120" s="55"/>
      <c r="AA120" s="55"/>
      <c r="AB120" s="64"/>
      <c r="AC120" s="64"/>
      <c r="AD120" s="64"/>
      <c r="AE120" s="64"/>
      <c r="AF120" s="64"/>
      <c r="AG120" s="55"/>
      <c r="AH120" s="55"/>
      <c r="AI120" s="64"/>
      <c r="AJ120" s="64"/>
      <c r="AK120" s="64"/>
      <c r="AL120" s="64"/>
      <c r="AM120" s="64"/>
      <c r="AN120" s="64"/>
      <c r="AO120" s="55"/>
      <c r="AP120" s="55"/>
      <c r="AQ120" s="64"/>
      <c r="AR120" s="64"/>
      <c r="AS120" s="64"/>
      <c r="AT120" s="64"/>
      <c r="AU120" s="64"/>
      <c r="AV120" s="55"/>
      <c r="AW120" s="55"/>
      <c r="AX120" s="64"/>
      <c r="AY120" s="64"/>
      <c r="AZ120" s="64"/>
      <c r="BA120" s="64"/>
      <c r="BB120" s="64"/>
      <c r="BC120" s="55"/>
      <c r="BD120" s="55"/>
      <c r="BE120" s="64"/>
      <c r="BF120" s="55"/>
      <c r="BG120" s="64"/>
      <c r="BH120" s="64"/>
      <c r="BI120" s="64"/>
      <c r="BJ120" s="64"/>
      <c r="BK120" s="55"/>
      <c r="BL120" s="55"/>
      <c r="BM120" s="55"/>
      <c r="BN120" s="64"/>
      <c r="BO120" s="64"/>
      <c r="BP120" s="64"/>
      <c r="BQ120" s="64"/>
      <c r="BR120" s="64"/>
      <c r="BS120" s="64"/>
      <c r="BT120" s="64"/>
      <c r="BU120" s="64"/>
      <c r="BV120" s="64"/>
      <c r="BW120" s="55"/>
      <c r="BX120" s="55"/>
      <c r="BY120" s="55"/>
      <c r="BZ120" s="55"/>
      <c r="CA120" s="55"/>
      <c r="CB120" s="55"/>
      <c r="CC120" s="55"/>
      <c r="CD120" s="55"/>
      <c r="CE120" s="55"/>
      <c r="CF120" s="55"/>
      <c r="CG120" s="55"/>
      <c r="CH120" s="55"/>
    </row>
    <row r="121" ht="16.5" customHeight="1">
      <c r="A121" s="55"/>
      <c r="B121" s="55"/>
      <c r="C121" s="55"/>
      <c r="D121" s="55"/>
      <c r="E121" s="55"/>
      <c r="F121" s="55"/>
      <c r="G121" s="55"/>
      <c r="H121" s="64"/>
      <c r="I121" s="64"/>
      <c r="J121" s="64"/>
      <c r="K121" s="64"/>
      <c r="L121" s="64"/>
      <c r="M121" s="64"/>
      <c r="N121" s="64"/>
      <c r="O121" s="64"/>
      <c r="P121" s="64"/>
      <c r="Q121" s="64"/>
      <c r="R121" s="64"/>
      <c r="S121" s="64"/>
      <c r="T121" s="55"/>
      <c r="U121" s="55"/>
      <c r="V121" s="55"/>
      <c r="W121" s="64"/>
      <c r="X121" s="64"/>
      <c r="Y121" s="55"/>
      <c r="Z121" s="55"/>
      <c r="AA121" s="55"/>
      <c r="AB121" s="64"/>
      <c r="AC121" s="64"/>
      <c r="AD121" s="64"/>
      <c r="AE121" s="64"/>
      <c r="AF121" s="64"/>
      <c r="AG121" s="55"/>
      <c r="AH121" s="55"/>
      <c r="AI121" s="64"/>
      <c r="AJ121" s="64"/>
      <c r="AK121" s="64"/>
      <c r="AL121" s="64"/>
      <c r="AM121" s="64"/>
      <c r="AN121" s="64"/>
      <c r="AO121" s="55"/>
      <c r="AP121" s="55"/>
      <c r="AQ121" s="64"/>
      <c r="AR121" s="64"/>
      <c r="AS121" s="64"/>
      <c r="AT121" s="64"/>
      <c r="AU121" s="64"/>
      <c r="AV121" s="55"/>
      <c r="AW121" s="55"/>
      <c r="AX121" s="64"/>
      <c r="AY121" s="64"/>
      <c r="AZ121" s="64"/>
      <c r="BA121" s="64"/>
      <c r="BB121" s="64"/>
      <c r="BC121" s="55"/>
      <c r="BD121" s="55"/>
      <c r="BE121" s="64"/>
      <c r="BF121" s="55"/>
      <c r="BG121" s="64"/>
      <c r="BH121" s="64"/>
      <c r="BI121" s="64"/>
      <c r="BJ121" s="64"/>
      <c r="BK121" s="55"/>
      <c r="BL121" s="55"/>
      <c r="BM121" s="55"/>
      <c r="BN121" s="64"/>
      <c r="BO121" s="64"/>
      <c r="BP121" s="64"/>
      <c r="BQ121" s="64"/>
      <c r="BR121" s="64"/>
      <c r="BS121" s="64"/>
      <c r="BT121" s="64"/>
      <c r="BU121" s="64"/>
      <c r="BV121" s="64"/>
      <c r="BW121" s="55"/>
      <c r="BX121" s="55"/>
      <c r="BY121" s="55"/>
      <c r="BZ121" s="55"/>
      <c r="CA121" s="55"/>
      <c r="CB121" s="55"/>
      <c r="CC121" s="55"/>
      <c r="CD121" s="55"/>
      <c r="CE121" s="55"/>
      <c r="CF121" s="55"/>
      <c r="CG121" s="55"/>
      <c r="CH121" s="55"/>
    </row>
    <row r="122" ht="16.5" customHeight="1">
      <c r="A122" s="55"/>
      <c r="B122" s="55"/>
      <c r="C122" s="55"/>
      <c r="D122" s="55"/>
      <c r="E122" s="55"/>
      <c r="F122" s="55"/>
      <c r="G122" s="55"/>
      <c r="H122" s="64"/>
      <c r="I122" s="64"/>
      <c r="J122" s="64"/>
      <c r="K122" s="64"/>
      <c r="L122" s="64"/>
      <c r="M122" s="64"/>
      <c r="N122" s="64"/>
      <c r="O122" s="64"/>
      <c r="P122" s="64"/>
      <c r="Q122" s="64"/>
      <c r="R122" s="64"/>
      <c r="S122" s="64"/>
      <c r="T122" s="55"/>
      <c r="U122" s="55"/>
      <c r="V122" s="55"/>
      <c r="W122" s="64"/>
      <c r="X122" s="64"/>
      <c r="Y122" s="55"/>
      <c r="Z122" s="55"/>
      <c r="AA122" s="55"/>
      <c r="AB122" s="64"/>
      <c r="AC122" s="64"/>
      <c r="AD122" s="64"/>
      <c r="AE122" s="64"/>
      <c r="AF122" s="64"/>
      <c r="AG122" s="55"/>
      <c r="AH122" s="55"/>
      <c r="AI122" s="64"/>
      <c r="AJ122" s="64"/>
      <c r="AK122" s="64"/>
      <c r="AL122" s="64"/>
      <c r="AM122" s="64"/>
      <c r="AN122" s="64"/>
      <c r="AO122" s="55"/>
      <c r="AP122" s="55"/>
      <c r="AQ122" s="64"/>
      <c r="AR122" s="64"/>
      <c r="AS122" s="64"/>
      <c r="AT122" s="64"/>
      <c r="AU122" s="64"/>
      <c r="AV122" s="55"/>
      <c r="AW122" s="55"/>
      <c r="AX122" s="64"/>
      <c r="AY122" s="64"/>
      <c r="AZ122" s="64"/>
      <c r="BA122" s="64"/>
      <c r="BB122" s="64"/>
      <c r="BC122" s="55"/>
      <c r="BD122" s="55"/>
      <c r="BE122" s="64"/>
      <c r="BF122" s="55"/>
      <c r="BG122" s="64"/>
      <c r="BH122" s="64"/>
      <c r="BI122" s="64"/>
      <c r="BJ122" s="64"/>
      <c r="BK122" s="55"/>
      <c r="BL122" s="55"/>
      <c r="BM122" s="55"/>
      <c r="BN122" s="64"/>
      <c r="BO122" s="64"/>
      <c r="BP122" s="64"/>
      <c r="BQ122" s="64"/>
      <c r="BR122" s="64"/>
      <c r="BS122" s="64"/>
      <c r="BT122" s="64"/>
      <c r="BU122" s="64"/>
      <c r="BV122" s="64"/>
      <c r="BW122" s="55"/>
      <c r="BX122" s="55"/>
      <c r="BY122" s="55"/>
      <c r="BZ122" s="55"/>
      <c r="CA122" s="55"/>
      <c r="CB122" s="55"/>
      <c r="CC122" s="55"/>
      <c r="CD122" s="55"/>
      <c r="CE122" s="55"/>
      <c r="CF122" s="55"/>
      <c r="CG122" s="55"/>
      <c r="CH122" s="55"/>
    </row>
    <row r="123" ht="16.5" customHeight="1">
      <c r="A123" s="55"/>
      <c r="B123" s="55"/>
      <c r="C123" s="55"/>
      <c r="D123" s="55"/>
      <c r="E123" s="55"/>
      <c r="F123" s="55"/>
      <c r="G123" s="55"/>
      <c r="H123" s="64"/>
      <c r="I123" s="64"/>
      <c r="J123" s="64"/>
      <c r="K123" s="64"/>
      <c r="L123" s="64"/>
      <c r="M123" s="64"/>
      <c r="N123" s="64"/>
      <c r="O123" s="64"/>
      <c r="P123" s="64"/>
      <c r="Q123" s="64"/>
      <c r="R123" s="64"/>
      <c r="S123" s="64"/>
      <c r="T123" s="55"/>
      <c r="U123" s="55"/>
      <c r="V123" s="55"/>
      <c r="W123" s="64"/>
      <c r="X123" s="64"/>
      <c r="Y123" s="55"/>
      <c r="Z123" s="55"/>
      <c r="AA123" s="55"/>
      <c r="AB123" s="64"/>
      <c r="AC123" s="64"/>
      <c r="AD123" s="64"/>
      <c r="AE123" s="64"/>
      <c r="AF123" s="64"/>
      <c r="AG123" s="55"/>
      <c r="AH123" s="55"/>
      <c r="AI123" s="64"/>
      <c r="AJ123" s="64"/>
      <c r="AK123" s="64"/>
      <c r="AL123" s="64"/>
      <c r="AM123" s="64"/>
      <c r="AN123" s="64"/>
      <c r="AO123" s="55"/>
      <c r="AP123" s="55"/>
      <c r="AQ123" s="64"/>
      <c r="AR123" s="64"/>
      <c r="AS123" s="64"/>
      <c r="AT123" s="64"/>
      <c r="AU123" s="64"/>
      <c r="AV123" s="55"/>
      <c r="AW123" s="55"/>
      <c r="AX123" s="64"/>
      <c r="AY123" s="64"/>
      <c r="AZ123" s="64"/>
      <c r="BA123" s="64"/>
      <c r="BB123" s="64"/>
      <c r="BC123" s="55"/>
      <c r="BD123" s="55"/>
      <c r="BE123" s="64"/>
      <c r="BF123" s="55"/>
      <c r="BG123" s="64"/>
      <c r="BH123" s="64"/>
      <c r="BI123" s="64"/>
      <c r="BJ123" s="64"/>
      <c r="BK123" s="55"/>
      <c r="BL123" s="55"/>
      <c r="BM123" s="55"/>
      <c r="BN123" s="64"/>
      <c r="BO123" s="64"/>
      <c r="BP123" s="64"/>
      <c r="BQ123" s="64"/>
      <c r="BR123" s="64"/>
      <c r="BS123" s="64"/>
      <c r="BT123" s="64"/>
      <c r="BU123" s="64"/>
      <c r="BV123" s="64"/>
      <c r="BW123" s="55"/>
      <c r="BX123" s="55"/>
      <c r="BY123" s="55"/>
      <c r="BZ123" s="55"/>
      <c r="CA123" s="55"/>
      <c r="CB123" s="55"/>
      <c r="CC123" s="55"/>
      <c r="CD123" s="55"/>
      <c r="CE123" s="55"/>
      <c r="CF123" s="55"/>
      <c r="CG123" s="55"/>
      <c r="CH123" s="55"/>
    </row>
    <row r="124" ht="16.5" customHeight="1">
      <c r="A124" s="55"/>
      <c r="B124" s="55"/>
      <c r="C124" s="55"/>
      <c r="D124" s="55"/>
      <c r="E124" s="55"/>
      <c r="F124" s="55"/>
      <c r="G124" s="55"/>
      <c r="H124" s="64"/>
      <c r="I124" s="64"/>
      <c r="J124" s="64"/>
      <c r="K124" s="64"/>
      <c r="L124" s="64"/>
      <c r="M124" s="64"/>
      <c r="N124" s="64"/>
      <c r="O124" s="64"/>
      <c r="P124" s="64"/>
      <c r="Q124" s="64"/>
      <c r="R124" s="64"/>
      <c r="S124" s="64"/>
      <c r="T124" s="55"/>
      <c r="U124" s="55"/>
      <c r="V124" s="55"/>
      <c r="W124" s="64"/>
      <c r="X124" s="64"/>
      <c r="Y124" s="55"/>
      <c r="Z124" s="55"/>
      <c r="AA124" s="55"/>
      <c r="AB124" s="64"/>
      <c r="AC124" s="64"/>
      <c r="AD124" s="64"/>
      <c r="AE124" s="64"/>
      <c r="AF124" s="64"/>
      <c r="AG124" s="55"/>
      <c r="AH124" s="55"/>
      <c r="AI124" s="64"/>
      <c r="AJ124" s="64"/>
      <c r="AK124" s="64"/>
      <c r="AL124" s="64"/>
      <c r="AM124" s="64"/>
      <c r="AN124" s="64"/>
      <c r="AO124" s="55"/>
      <c r="AP124" s="55"/>
      <c r="AQ124" s="64"/>
      <c r="AR124" s="64"/>
      <c r="AS124" s="64"/>
      <c r="AT124" s="64"/>
      <c r="AU124" s="64"/>
      <c r="AV124" s="55"/>
      <c r="AW124" s="55"/>
      <c r="AX124" s="64"/>
      <c r="AY124" s="64"/>
      <c r="AZ124" s="64"/>
      <c r="BA124" s="64"/>
      <c r="BB124" s="64"/>
      <c r="BC124" s="55"/>
      <c r="BD124" s="55"/>
      <c r="BE124" s="64"/>
      <c r="BF124" s="55"/>
      <c r="BG124" s="64"/>
      <c r="BH124" s="64"/>
      <c r="BI124" s="64"/>
      <c r="BJ124" s="64"/>
      <c r="BK124" s="55"/>
      <c r="BL124" s="55"/>
      <c r="BM124" s="55"/>
      <c r="BN124" s="64"/>
      <c r="BO124" s="64"/>
      <c r="BP124" s="64"/>
      <c r="BQ124" s="64"/>
      <c r="BR124" s="64"/>
      <c r="BS124" s="64"/>
      <c r="BT124" s="64"/>
      <c r="BU124" s="64"/>
      <c r="BV124" s="64"/>
      <c r="BW124" s="55"/>
      <c r="BX124" s="55"/>
      <c r="BY124" s="55"/>
      <c r="BZ124" s="55"/>
      <c r="CA124" s="55"/>
      <c r="CB124" s="55"/>
      <c r="CC124" s="55"/>
      <c r="CD124" s="55"/>
      <c r="CE124" s="55"/>
      <c r="CF124" s="55"/>
      <c r="CG124" s="55"/>
      <c r="CH124" s="55"/>
    </row>
    <row r="125" ht="16.5" customHeight="1">
      <c r="A125" s="55"/>
      <c r="B125" s="55"/>
      <c r="C125" s="55"/>
      <c r="D125" s="55"/>
      <c r="E125" s="55"/>
      <c r="F125" s="55"/>
      <c r="G125" s="55"/>
      <c r="H125" s="64"/>
      <c r="I125" s="64"/>
      <c r="J125" s="64"/>
      <c r="K125" s="64"/>
      <c r="L125" s="64"/>
      <c r="M125" s="64"/>
      <c r="N125" s="64"/>
      <c r="O125" s="64"/>
      <c r="P125" s="64"/>
      <c r="Q125" s="64"/>
      <c r="R125" s="64"/>
      <c r="S125" s="64"/>
      <c r="T125" s="55"/>
      <c r="U125" s="55"/>
      <c r="V125" s="55"/>
      <c r="W125" s="64"/>
      <c r="X125" s="64"/>
      <c r="Y125" s="55"/>
      <c r="Z125" s="55"/>
      <c r="AA125" s="55"/>
      <c r="AB125" s="64"/>
      <c r="AC125" s="64"/>
      <c r="AD125" s="64"/>
      <c r="AE125" s="64"/>
      <c r="AF125" s="64"/>
      <c r="AG125" s="55"/>
      <c r="AH125" s="55"/>
      <c r="AI125" s="64"/>
      <c r="AJ125" s="64"/>
      <c r="AK125" s="64"/>
      <c r="AL125" s="64"/>
      <c r="AM125" s="64"/>
      <c r="AN125" s="64"/>
      <c r="AO125" s="55"/>
      <c r="AP125" s="55"/>
      <c r="AQ125" s="64"/>
      <c r="AR125" s="64"/>
      <c r="AS125" s="64"/>
      <c r="AT125" s="64"/>
      <c r="AU125" s="64"/>
      <c r="AV125" s="55"/>
      <c r="AW125" s="55"/>
      <c r="AX125" s="64"/>
      <c r="AY125" s="64"/>
      <c r="AZ125" s="64"/>
      <c r="BA125" s="64"/>
      <c r="BB125" s="64"/>
      <c r="BC125" s="55"/>
      <c r="BD125" s="55"/>
      <c r="BE125" s="64"/>
      <c r="BF125" s="55"/>
      <c r="BG125" s="64"/>
      <c r="BH125" s="64"/>
      <c r="BI125" s="64"/>
      <c r="BJ125" s="64"/>
      <c r="BK125" s="55"/>
      <c r="BL125" s="55"/>
      <c r="BM125" s="55"/>
      <c r="BN125" s="64"/>
      <c r="BO125" s="64"/>
      <c r="BP125" s="64"/>
      <c r="BQ125" s="64"/>
      <c r="BR125" s="64"/>
      <c r="BS125" s="64"/>
      <c r="BT125" s="64"/>
      <c r="BU125" s="64"/>
      <c r="BV125" s="64"/>
      <c r="BW125" s="55"/>
      <c r="BX125" s="55"/>
      <c r="BY125" s="55"/>
      <c r="BZ125" s="55"/>
      <c r="CA125" s="55"/>
      <c r="CB125" s="55"/>
      <c r="CC125" s="55"/>
      <c r="CD125" s="55"/>
      <c r="CE125" s="55"/>
      <c r="CF125" s="55"/>
      <c r="CG125" s="55"/>
      <c r="CH125" s="55"/>
    </row>
    <row r="126" ht="16.5" customHeight="1">
      <c r="A126" s="55"/>
      <c r="B126" s="55"/>
      <c r="C126" s="55"/>
      <c r="D126" s="55"/>
      <c r="E126" s="55"/>
      <c r="F126" s="55"/>
      <c r="G126" s="55"/>
      <c r="H126" s="64"/>
      <c r="I126" s="64"/>
      <c r="J126" s="64"/>
      <c r="K126" s="64"/>
      <c r="L126" s="64"/>
      <c r="M126" s="64"/>
      <c r="N126" s="64"/>
      <c r="O126" s="64"/>
      <c r="P126" s="64"/>
      <c r="Q126" s="64"/>
      <c r="R126" s="64"/>
      <c r="S126" s="64"/>
      <c r="T126" s="55"/>
      <c r="U126" s="55"/>
      <c r="V126" s="55"/>
      <c r="W126" s="64"/>
      <c r="X126" s="64"/>
      <c r="Y126" s="55"/>
      <c r="Z126" s="55"/>
      <c r="AA126" s="55"/>
      <c r="AB126" s="64"/>
      <c r="AC126" s="64"/>
      <c r="AD126" s="64"/>
      <c r="AE126" s="64"/>
      <c r="AF126" s="64"/>
      <c r="AG126" s="55"/>
      <c r="AH126" s="55"/>
      <c r="AI126" s="64"/>
      <c r="AJ126" s="64"/>
      <c r="AK126" s="64"/>
      <c r="AL126" s="64"/>
      <c r="AM126" s="64"/>
      <c r="AN126" s="64"/>
      <c r="AO126" s="55"/>
      <c r="AP126" s="55"/>
      <c r="AQ126" s="64"/>
      <c r="AR126" s="64"/>
      <c r="AS126" s="64"/>
      <c r="AT126" s="64"/>
      <c r="AU126" s="64"/>
      <c r="AV126" s="55"/>
      <c r="AW126" s="55"/>
      <c r="AX126" s="64"/>
      <c r="AY126" s="64"/>
      <c r="AZ126" s="64"/>
      <c r="BA126" s="64"/>
      <c r="BB126" s="64"/>
      <c r="BC126" s="55"/>
      <c r="BD126" s="55"/>
      <c r="BE126" s="64"/>
      <c r="BF126" s="55"/>
      <c r="BG126" s="64"/>
      <c r="BH126" s="64"/>
      <c r="BI126" s="64"/>
      <c r="BJ126" s="64"/>
      <c r="BK126" s="55"/>
      <c r="BL126" s="55"/>
      <c r="BM126" s="55"/>
      <c r="BN126" s="64"/>
      <c r="BO126" s="64"/>
      <c r="BP126" s="64"/>
      <c r="BQ126" s="64"/>
      <c r="BR126" s="64"/>
      <c r="BS126" s="64"/>
      <c r="BT126" s="64"/>
      <c r="BU126" s="64"/>
      <c r="BV126" s="64"/>
      <c r="BW126" s="55"/>
      <c r="BX126" s="55"/>
      <c r="BY126" s="55"/>
      <c r="BZ126" s="55"/>
      <c r="CA126" s="55"/>
      <c r="CB126" s="55"/>
      <c r="CC126" s="55"/>
      <c r="CD126" s="55"/>
      <c r="CE126" s="55"/>
      <c r="CF126" s="55"/>
      <c r="CG126" s="55"/>
      <c r="CH126" s="55"/>
    </row>
    <row r="127" ht="16.5" customHeight="1">
      <c r="A127" s="55"/>
      <c r="B127" s="55"/>
      <c r="C127" s="55"/>
      <c r="D127" s="55"/>
      <c r="E127" s="55"/>
      <c r="F127" s="55"/>
      <c r="G127" s="55"/>
      <c r="H127" s="64"/>
      <c r="I127" s="64"/>
      <c r="J127" s="64"/>
      <c r="K127" s="64"/>
      <c r="L127" s="64"/>
      <c r="M127" s="64"/>
      <c r="N127" s="64"/>
      <c r="O127" s="64"/>
      <c r="P127" s="64"/>
      <c r="Q127" s="64"/>
      <c r="R127" s="64"/>
      <c r="S127" s="64"/>
      <c r="T127" s="55"/>
      <c r="U127" s="55"/>
      <c r="V127" s="55"/>
      <c r="W127" s="64"/>
      <c r="X127" s="64"/>
      <c r="Y127" s="55"/>
      <c r="Z127" s="55"/>
      <c r="AA127" s="55"/>
      <c r="AB127" s="64"/>
      <c r="AC127" s="64"/>
      <c r="AD127" s="64"/>
      <c r="AE127" s="64"/>
      <c r="AF127" s="64"/>
      <c r="AG127" s="55"/>
      <c r="AH127" s="55"/>
      <c r="AI127" s="64"/>
      <c r="AJ127" s="64"/>
      <c r="AK127" s="64"/>
      <c r="AL127" s="64"/>
      <c r="AM127" s="64"/>
      <c r="AN127" s="64"/>
      <c r="AO127" s="55"/>
      <c r="AP127" s="55"/>
      <c r="AQ127" s="64"/>
      <c r="AR127" s="64"/>
      <c r="AS127" s="64"/>
      <c r="AT127" s="64"/>
      <c r="AU127" s="64"/>
      <c r="AV127" s="55"/>
      <c r="AW127" s="55"/>
      <c r="AX127" s="64"/>
      <c r="AY127" s="64"/>
      <c r="AZ127" s="64"/>
      <c r="BA127" s="64"/>
      <c r="BB127" s="64"/>
      <c r="BC127" s="55"/>
      <c r="BD127" s="55"/>
      <c r="BE127" s="64"/>
      <c r="BF127" s="55"/>
      <c r="BG127" s="64"/>
      <c r="BH127" s="64"/>
      <c r="BI127" s="64"/>
      <c r="BJ127" s="64"/>
      <c r="BK127" s="55"/>
      <c r="BL127" s="55"/>
      <c r="BM127" s="55"/>
      <c r="BN127" s="64"/>
      <c r="BO127" s="64"/>
      <c r="BP127" s="64"/>
      <c r="BQ127" s="64"/>
      <c r="BR127" s="64"/>
      <c r="BS127" s="64"/>
      <c r="BT127" s="64"/>
      <c r="BU127" s="64"/>
      <c r="BV127" s="64"/>
      <c r="BW127" s="55"/>
      <c r="BX127" s="55"/>
      <c r="BY127" s="55"/>
      <c r="BZ127" s="55"/>
      <c r="CA127" s="55"/>
      <c r="CB127" s="55"/>
      <c r="CC127" s="55"/>
      <c r="CD127" s="55"/>
      <c r="CE127" s="55"/>
      <c r="CF127" s="55"/>
      <c r="CG127" s="55"/>
      <c r="CH127" s="55"/>
    </row>
    <row r="128" ht="16.5" customHeight="1">
      <c r="A128" s="55"/>
      <c r="B128" s="55"/>
      <c r="C128" s="55"/>
      <c r="D128" s="55"/>
      <c r="E128" s="55"/>
      <c r="F128" s="55"/>
      <c r="G128" s="55"/>
      <c r="H128" s="64"/>
      <c r="I128" s="64"/>
      <c r="J128" s="64"/>
      <c r="K128" s="64"/>
      <c r="L128" s="64"/>
      <c r="M128" s="64"/>
      <c r="N128" s="64"/>
      <c r="O128" s="64"/>
      <c r="P128" s="64"/>
      <c r="Q128" s="64"/>
      <c r="R128" s="64"/>
      <c r="S128" s="64"/>
      <c r="T128" s="55"/>
      <c r="U128" s="55"/>
      <c r="V128" s="55"/>
      <c r="W128" s="64"/>
      <c r="X128" s="64"/>
      <c r="Y128" s="55"/>
      <c r="Z128" s="55"/>
      <c r="AA128" s="55"/>
      <c r="AB128" s="64"/>
      <c r="AC128" s="64"/>
      <c r="AD128" s="64"/>
      <c r="AE128" s="64"/>
      <c r="AF128" s="64"/>
      <c r="AG128" s="55"/>
      <c r="AH128" s="55"/>
      <c r="AI128" s="64"/>
      <c r="AJ128" s="64"/>
      <c r="AK128" s="64"/>
      <c r="AL128" s="64"/>
      <c r="AM128" s="64"/>
      <c r="AN128" s="64"/>
      <c r="AO128" s="55"/>
      <c r="AP128" s="55"/>
      <c r="AQ128" s="64"/>
      <c r="AR128" s="64"/>
      <c r="AS128" s="64"/>
      <c r="AT128" s="64"/>
      <c r="AU128" s="64"/>
      <c r="AV128" s="55"/>
      <c r="AW128" s="55"/>
      <c r="AX128" s="64"/>
      <c r="AY128" s="64"/>
      <c r="AZ128" s="64"/>
      <c r="BA128" s="64"/>
      <c r="BB128" s="64"/>
      <c r="BC128" s="55"/>
      <c r="BD128" s="55"/>
      <c r="BE128" s="64"/>
      <c r="BF128" s="55"/>
      <c r="BG128" s="64"/>
      <c r="BH128" s="64"/>
      <c r="BI128" s="64"/>
      <c r="BJ128" s="64"/>
      <c r="BK128" s="55"/>
      <c r="BL128" s="55"/>
      <c r="BM128" s="55"/>
      <c r="BN128" s="64"/>
      <c r="BO128" s="64"/>
      <c r="BP128" s="64"/>
      <c r="BQ128" s="64"/>
      <c r="BR128" s="64"/>
      <c r="BS128" s="64"/>
      <c r="BT128" s="64"/>
      <c r="BU128" s="64"/>
      <c r="BV128" s="64"/>
      <c r="BW128" s="55"/>
      <c r="BX128" s="55"/>
      <c r="BY128" s="55"/>
      <c r="BZ128" s="55"/>
      <c r="CA128" s="55"/>
      <c r="CB128" s="55"/>
      <c r="CC128" s="55"/>
      <c r="CD128" s="55"/>
      <c r="CE128" s="55"/>
      <c r="CF128" s="55"/>
      <c r="CG128" s="55"/>
      <c r="CH128" s="55"/>
    </row>
    <row r="129" ht="16.5" customHeight="1">
      <c r="A129" s="55"/>
      <c r="B129" s="55"/>
      <c r="C129" s="55"/>
      <c r="D129" s="55"/>
      <c r="E129" s="55"/>
      <c r="F129" s="55"/>
      <c r="G129" s="55"/>
      <c r="H129" s="64"/>
      <c r="I129" s="64"/>
      <c r="J129" s="64"/>
      <c r="K129" s="64"/>
      <c r="L129" s="64"/>
      <c r="M129" s="64"/>
      <c r="N129" s="64"/>
      <c r="O129" s="64"/>
      <c r="P129" s="64"/>
      <c r="Q129" s="64"/>
      <c r="R129" s="64"/>
      <c r="S129" s="64"/>
      <c r="T129" s="55"/>
      <c r="U129" s="55"/>
      <c r="V129" s="55"/>
      <c r="W129" s="64"/>
      <c r="X129" s="64"/>
      <c r="Y129" s="55"/>
      <c r="Z129" s="55"/>
      <c r="AA129" s="55"/>
      <c r="AB129" s="64"/>
      <c r="AC129" s="64"/>
      <c r="AD129" s="64"/>
      <c r="AE129" s="64"/>
      <c r="AF129" s="64"/>
      <c r="AG129" s="55"/>
      <c r="AH129" s="55"/>
      <c r="AI129" s="64"/>
      <c r="AJ129" s="64"/>
      <c r="AK129" s="64"/>
      <c r="AL129" s="64"/>
      <c r="AM129" s="64"/>
      <c r="AN129" s="64"/>
      <c r="AO129" s="55"/>
      <c r="AP129" s="55"/>
      <c r="AQ129" s="64"/>
      <c r="AR129" s="64"/>
      <c r="AS129" s="64"/>
      <c r="AT129" s="64"/>
      <c r="AU129" s="64"/>
      <c r="AV129" s="55"/>
      <c r="AW129" s="55"/>
      <c r="AX129" s="64"/>
      <c r="AY129" s="64"/>
      <c r="AZ129" s="64"/>
      <c r="BA129" s="64"/>
      <c r="BB129" s="64"/>
      <c r="BC129" s="55"/>
      <c r="BD129" s="55"/>
      <c r="BE129" s="64"/>
      <c r="BF129" s="55"/>
      <c r="BG129" s="64"/>
      <c r="BH129" s="64"/>
      <c r="BI129" s="64"/>
      <c r="BJ129" s="64"/>
      <c r="BK129" s="55"/>
      <c r="BL129" s="55"/>
      <c r="BM129" s="55"/>
      <c r="BN129" s="64"/>
      <c r="BO129" s="64"/>
      <c r="BP129" s="64"/>
      <c r="BQ129" s="64"/>
      <c r="BR129" s="64"/>
      <c r="BS129" s="64"/>
      <c r="BT129" s="64"/>
      <c r="BU129" s="64"/>
      <c r="BV129" s="64"/>
      <c r="BW129" s="55"/>
      <c r="BX129" s="55"/>
      <c r="BY129" s="55"/>
      <c r="BZ129" s="55"/>
      <c r="CA129" s="55"/>
      <c r="CB129" s="55"/>
      <c r="CC129" s="55"/>
      <c r="CD129" s="55"/>
      <c r="CE129" s="55"/>
      <c r="CF129" s="55"/>
      <c r="CG129" s="55"/>
      <c r="CH129" s="55"/>
    </row>
    <row r="130" ht="16.5" customHeight="1">
      <c r="A130" s="55"/>
      <c r="B130" s="55"/>
      <c r="C130" s="55"/>
      <c r="D130" s="55"/>
      <c r="E130" s="55"/>
      <c r="F130" s="55"/>
      <c r="G130" s="55"/>
      <c r="H130" s="64"/>
      <c r="I130" s="64"/>
      <c r="J130" s="64"/>
      <c r="K130" s="64"/>
      <c r="L130" s="64"/>
      <c r="M130" s="64"/>
      <c r="N130" s="64"/>
      <c r="O130" s="64"/>
      <c r="P130" s="64"/>
      <c r="Q130" s="64"/>
      <c r="R130" s="64"/>
      <c r="S130" s="64"/>
      <c r="T130" s="55"/>
      <c r="U130" s="55"/>
      <c r="V130" s="55"/>
      <c r="W130" s="64"/>
      <c r="X130" s="64"/>
      <c r="Y130" s="55"/>
      <c r="Z130" s="55"/>
      <c r="AA130" s="55"/>
      <c r="AB130" s="64"/>
      <c r="AC130" s="64"/>
      <c r="AD130" s="64"/>
      <c r="AE130" s="64"/>
      <c r="AF130" s="64"/>
      <c r="AG130" s="55"/>
      <c r="AH130" s="55"/>
      <c r="AI130" s="64"/>
      <c r="AJ130" s="64"/>
      <c r="AK130" s="64"/>
      <c r="AL130" s="64"/>
      <c r="AM130" s="64"/>
      <c r="AN130" s="64"/>
      <c r="AO130" s="55"/>
      <c r="AP130" s="55"/>
      <c r="AQ130" s="64"/>
      <c r="AR130" s="64"/>
      <c r="AS130" s="64"/>
      <c r="AT130" s="64"/>
      <c r="AU130" s="64"/>
      <c r="AV130" s="55"/>
      <c r="AW130" s="55"/>
      <c r="AX130" s="64"/>
      <c r="AY130" s="64"/>
      <c r="AZ130" s="64"/>
      <c r="BA130" s="64"/>
      <c r="BB130" s="64"/>
      <c r="BC130" s="55"/>
      <c r="BD130" s="55"/>
      <c r="BE130" s="64"/>
      <c r="BF130" s="55"/>
      <c r="BG130" s="64"/>
      <c r="BH130" s="64"/>
      <c r="BI130" s="64"/>
      <c r="BJ130" s="64"/>
      <c r="BK130" s="55"/>
      <c r="BL130" s="55"/>
      <c r="BM130" s="55"/>
      <c r="BN130" s="64"/>
      <c r="BO130" s="64"/>
      <c r="BP130" s="64"/>
      <c r="BQ130" s="64"/>
      <c r="BR130" s="64"/>
      <c r="BS130" s="64"/>
      <c r="BT130" s="64"/>
      <c r="BU130" s="64"/>
      <c r="BV130" s="64"/>
      <c r="BW130" s="55"/>
      <c r="BX130" s="55"/>
      <c r="BY130" s="55"/>
      <c r="BZ130" s="55"/>
      <c r="CA130" s="55"/>
      <c r="CB130" s="55"/>
      <c r="CC130" s="55"/>
      <c r="CD130" s="55"/>
      <c r="CE130" s="55"/>
      <c r="CF130" s="55"/>
      <c r="CG130" s="55"/>
      <c r="CH130" s="55"/>
    </row>
    <row r="131" ht="16.5" customHeight="1">
      <c r="A131" s="55"/>
      <c r="B131" s="55"/>
      <c r="C131" s="55"/>
      <c r="D131" s="55"/>
      <c r="E131" s="55"/>
      <c r="F131" s="55"/>
      <c r="G131" s="55"/>
      <c r="H131" s="64"/>
      <c r="I131" s="64"/>
      <c r="J131" s="64"/>
      <c r="K131" s="64"/>
      <c r="L131" s="64"/>
      <c r="M131" s="64"/>
      <c r="N131" s="64"/>
      <c r="O131" s="64"/>
      <c r="P131" s="64"/>
      <c r="Q131" s="64"/>
      <c r="R131" s="64"/>
      <c r="S131" s="64"/>
      <c r="T131" s="55"/>
      <c r="U131" s="55"/>
      <c r="V131" s="55"/>
      <c r="W131" s="64"/>
      <c r="X131" s="64"/>
      <c r="Y131" s="55"/>
      <c r="Z131" s="55"/>
      <c r="AA131" s="55"/>
      <c r="AB131" s="64"/>
      <c r="AC131" s="64"/>
      <c r="AD131" s="64"/>
      <c r="AE131" s="64"/>
      <c r="AF131" s="64"/>
      <c r="AG131" s="55"/>
      <c r="AH131" s="55"/>
      <c r="AI131" s="64"/>
      <c r="AJ131" s="64"/>
      <c r="AK131" s="64"/>
      <c r="AL131" s="64"/>
      <c r="AM131" s="64"/>
      <c r="AN131" s="64"/>
      <c r="AO131" s="55"/>
      <c r="AP131" s="55"/>
      <c r="AQ131" s="64"/>
      <c r="AR131" s="64"/>
      <c r="AS131" s="64"/>
      <c r="AT131" s="64"/>
      <c r="AU131" s="64"/>
      <c r="AV131" s="55"/>
      <c r="AW131" s="55"/>
      <c r="AX131" s="64"/>
      <c r="AY131" s="64"/>
      <c r="AZ131" s="64"/>
      <c r="BA131" s="64"/>
      <c r="BB131" s="64"/>
      <c r="BC131" s="55"/>
      <c r="BD131" s="55"/>
      <c r="BE131" s="64"/>
      <c r="BF131" s="55"/>
      <c r="BG131" s="64"/>
      <c r="BH131" s="64"/>
      <c r="BI131" s="64"/>
      <c r="BJ131" s="64"/>
      <c r="BK131" s="55"/>
      <c r="BL131" s="55"/>
      <c r="BM131" s="55"/>
      <c r="BN131" s="64"/>
      <c r="BO131" s="64"/>
      <c r="BP131" s="64"/>
      <c r="BQ131" s="64"/>
      <c r="BR131" s="64"/>
      <c r="BS131" s="64"/>
      <c r="BT131" s="64"/>
      <c r="BU131" s="64"/>
      <c r="BV131" s="64"/>
      <c r="BW131" s="55"/>
      <c r="BX131" s="55"/>
      <c r="BY131" s="55"/>
      <c r="BZ131" s="55"/>
      <c r="CA131" s="55"/>
      <c r="CB131" s="55"/>
      <c r="CC131" s="55"/>
      <c r="CD131" s="55"/>
      <c r="CE131" s="55"/>
      <c r="CF131" s="55"/>
      <c r="CG131" s="55"/>
      <c r="CH131" s="55"/>
    </row>
    <row r="132" ht="16.5" customHeight="1">
      <c r="A132" s="55"/>
      <c r="B132" s="55"/>
      <c r="C132" s="55"/>
      <c r="D132" s="55"/>
      <c r="E132" s="55"/>
      <c r="F132" s="55"/>
      <c r="G132" s="55"/>
      <c r="H132" s="64"/>
      <c r="I132" s="64"/>
      <c r="J132" s="64"/>
      <c r="K132" s="64"/>
      <c r="L132" s="64"/>
      <c r="M132" s="64"/>
      <c r="N132" s="64"/>
      <c r="O132" s="64"/>
      <c r="P132" s="64"/>
      <c r="Q132" s="64"/>
      <c r="R132" s="64"/>
      <c r="S132" s="64"/>
      <c r="T132" s="55"/>
      <c r="U132" s="55"/>
      <c r="V132" s="55"/>
      <c r="W132" s="64"/>
      <c r="X132" s="64"/>
      <c r="Y132" s="55"/>
      <c r="Z132" s="55"/>
      <c r="AA132" s="55"/>
      <c r="AB132" s="64"/>
      <c r="AC132" s="64"/>
      <c r="AD132" s="64"/>
      <c r="AE132" s="64"/>
      <c r="AF132" s="64"/>
      <c r="AG132" s="55"/>
      <c r="AH132" s="55"/>
      <c r="AI132" s="64"/>
      <c r="AJ132" s="64"/>
      <c r="AK132" s="64"/>
      <c r="AL132" s="64"/>
      <c r="AM132" s="64"/>
      <c r="AN132" s="64"/>
      <c r="AO132" s="55"/>
      <c r="AP132" s="55"/>
      <c r="AQ132" s="64"/>
      <c r="AR132" s="64"/>
      <c r="AS132" s="64"/>
      <c r="AT132" s="64"/>
      <c r="AU132" s="64"/>
      <c r="AV132" s="55"/>
      <c r="AW132" s="55"/>
      <c r="AX132" s="64"/>
      <c r="AY132" s="64"/>
      <c r="AZ132" s="64"/>
      <c r="BA132" s="64"/>
      <c r="BB132" s="64"/>
      <c r="BC132" s="55"/>
      <c r="BD132" s="55"/>
      <c r="BE132" s="64"/>
      <c r="BF132" s="55"/>
      <c r="BG132" s="64"/>
      <c r="BH132" s="64"/>
      <c r="BI132" s="64"/>
      <c r="BJ132" s="64"/>
      <c r="BK132" s="55"/>
      <c r="BL132" s="55"/>
      <c r="BM132" s="55"/>
      <c r="BN132" s="64"/>
      <c r="BO132" s="64"/>
      <c r="BP132" s="64"/>
      <c r="BQ132" s="64"/>
      <c r="BR132" s="64"/>
      <c r="BS132" s="64"/>
      <c r="BT132" s="64"/>
      <c r="BU132" s="64"/>
      <c r="BV132" s="64"/>
      <c r="BW132" s="55"/>
      <c r="BX132" s="55"/>
      <c r="BY132" s="55"/>
      <c r="BZ132" s="55"/>
      <c r="CA132" s="55"/>
      <c r="CB132" s="55"/>
      <c r="CC132" s="55"/>
      <c r="CD132" s="55"/>
      <c r="CE132" s="55"/>
      <c r="CF132" s="55"/>
      <c r="CG132" s="55"/>
      <c r="CH132" s="55"/>
    </row>
    <row r="133" ht="16.5" customHeight="1">
      <c r="A133" s="55"/>
      <c r="B133" s="55"/>
      <c r="C133" s="55"/>
      <c r="D133" s="55"/>
      <c r="E133" s="55"/>
      <c r="F133" s="55"/>
      <c r="G133" s="55"/>
      <c r="H133" s="64"/>
      <c r="I133" s="64"/>
      <c r="J133" s="64"/>
      <c r="K133" s="64"/>
      <c r="L133" s="64"/>
      <c r="M133" s="64"/>
      <c r="N133" s="64"/>
      <c r="O133" s="64"/>
      <c r="P133" s="64"/>
      <c r="Q133" s="64"/>
      <c r="R133" s="64"/>
      <c r="S133" s="64"/>
      <c r="T133" s="55"/>
      <c r="U133" s="55"/>
      <c r="V133" s="55"/>
      <c r="W133" s="64"/>
      <c r="X133" s="64"/>
      <c r="Y133" s="55"/>
      <c r="Z133" s="55"/>
      <c r="AA133" s="55"/>
      <c r="AB133" s="64"/>
      <c r="AC133" s="64"/>
      <c r="AD133" s="64"/>
      <c r="AE133" s="64"/>
      <c r="AF133" s="64"/>
      <c r="AG133" s="55"/>
      <c r="AH133" s="55"/>
      <c r="AI133" s="64"/>
      <c r="AJ133" s="64"/>
      <c r="AK133" s="64"/>
      <c r="AL133" s="64"/>
      <c r="AM133" s="64"/>
      <c r="AN133" s="64"/>
      <c r="AO133" s="55"/>
      <c r="AP133" s="55"/>
      <c r="AQ133" s="64"/>
      <c r="AR133" s="64"/>
      <c r="AS133" s="64"/>
      <c r="AT133" s="64"/>
      <c r="AU133" s="64"/>
      <c r="AV133" s="55"/>
      <c r="AW133" s="55"/>
      <c r="AX133" s="64"/>
      <c r="AY133" s="64"/>
      <c r="AZ133" s="64"/>
      <c r="BA133" s="64"/>
      <c r="BB133" s="64"/>
      <c r="BC133" s="55"/>
      <c r="BD133" s="55"/>
      <c r="BE133" s="64"/>
      <c r="BF133" s="55"/>
      <c r="BG133" s="64"/>
      <c r="BH133" s="64"/>
      <c r="BI133" s="64"/>
      <c r="BJ133" s="64"/>
      <c r="BK133" s="55"/>
      <c r="BL133" s="55"/>
      <c r="BM133" s="55"/>
      <c r="BN133" s="64"/>
      <c r="BO133" s="64"/>
      <c r="BP133" s="64"/>
      <c r="BQ133" s="64"/>
      <c r="BR133" s="64"/>
      <c r="BS133" s="64"/>
      <c r="BT133" s="64"/>
      <c r="BU133" s="64"/>
      <c r="BV133" s="64"/>
      <c r="BW133" s="55"/>
      <c r="BX133" s="55"/>
      <c r="BY133" s="55"/>
      <c r="BZ133" s="55"/>
      <c r="CA133" s="55"/>
      <c r="CB133" s="55"/>
      <c r="CC133" s="55"/>
      <c r="CD133" s="55"/>
      <c r="CE133" s="55"/>
      <c r="CF133" s="55"/>
      <c r="CG133" s="55"/>
      <c r="CH133" s="55"/>
    </row>
    <row r="134" ht="16.5" customHeight="1">
      <c r="A134" s="55"/>
      <c r="B134" s="55"/>
      <c r="C134" s="55"/>
      <c r="D134" s="55"/>
      <c r="E134" s="55"/>
      <c r="F134" s="55"/>
      <c r="G134" s="55"/>
      <c r="H134" s="64"/>
      <c r="I134" s="64"/>
      <c r="J134" s="64"/>
      <c r="K134" s="64"/>
      <c r="L134" s="64"/>
      <c r="M134" s="64"/>
      <c r="N134" s="64"/>
      <c r="O134" s="64"/>
      <c r="P134" s="64"/>
      <c r="Q134" s="64"/>
      <c r="R134" s="64"/>
      <c r="S134" s="64"/>
      <c r="T134" s="55"/>
      <c r="U134" s="55"/>
      <c r="V134" s="55"/>
      <c r="W134" s="64"/>
      <c r="X134" s="64"/>
      <c r="Y134" s="55"/>
      <c r="Z134" s="55"/>
      <c r="AA134" s="55"/>
      <c r="AB134" s="64"/>
      <c r="AC134" s="64"/>
      <c r="AD134" s="64"/>
      <c r="AE134" s="64"/>
      <c r="AF134" s="64"/>
      <c r="AG134" s="55"/>
      <c r="AH134" s="55"/>
      <c r="AI134" s="64"/>
      <c r="AJ134" s="64"/>
      <c r="AK134" s="64"/>
      <c r="AL134" s="64"/>
      <c r="AM134" s="64"/>
      <c r="AN134" s="64"/>
      <c r="AO134" s="55"/>
      <c r="AP134" s="55"/>
      <c r="AQ134" s="64"/>
      <c r="AR134" s="64"/>
      <c r="AS134" s="64"/>
      <c r="AT134" s="64"/>
      <c r="AU134" s="64"/>
      <c r="AV134" s="55"/>
      <c r="AW134" s="55"/>
      <c r="AX134" s="64"/>
      <c r="AY134" s="64"/>
      <c r="AZ134" s="64"/>
      <c r="BA134" s="64"/>
      <c r="BB134" s="64"/>
      <c r="BC134" s="55"/>
      <c r="BD134" s="55"/>
      <c r="BE134" s="64"/>
      <c r="BF134" s="55"/>
      <c r="BG134" s="64"/>
      <c r="BH134" s="64"/>
      <c r="BI134" s="64"/>
      <c r="BJ134" s="64"/>
      <c r="BK134" s="55"/>
      <c r="BL134" s="55"/>
      <c r="BM134" s="55"/>
      <c r="BN134" s="64"/>
      <c r="BO134" s="64"/>
      <c r="BP134" s="64"/>
      <c r="BQ134" s="64"/>
      <c r="BR134" s="64"/>
      <c r="BS134" s="64"/>
      <c r="BT134" s="64"/>
      <c r="BU134" s="64"/>
      <c r="BV134" s="64"/>
      <c r="BW134" s="55"/>
      <c r="BX134" s="55"/>
      <c r="BY134" s="55"/>
      <c r="BZ134" s="55"/>
      <c r="CA134" s="55"/>
      <c r="CB134" s="55"/>
      <c r="CC134" s="55"/>
      <c r="CD134" s="55"/>
      <c r="CE134" s="55"/>
      <c r="CF134" s="55"/>
      <c r="CG134" s="55"/>
      <c r="CH134" s="55"/>
    </row>
    <row r="135" ht="16.5" customHeight="1">
      <c r="A135" s="55"/>
      <c r="B135" s="55"/>
      <c r="C135" s="55"/>
      <c r="D135" s="55"/>
      <c r="E135" s="55"/>
      <c r="F135" s="55"/>
      <c r="G135" s="55"/>
      <c r="H135" s="64"/>
      <c r="I135" s="64"/>
      <c r="J135" s="64"/>
      <c r="K135" s="64"/>
      <c r="L135" s="64"/>
      <c r="M135" s="64"/>
      <c r="N135" s="64"/>
      <c r="O135" s="64"/>
      <c r="P135" s="64"/>
      <c r="Q135" s="64"/>
      <c r="R135" s="64"/>
      <c r="S135" s="64"/>
      <c r="T135" s="55"/>
      <c r="U135" s="55"/>
      <c r="V135" s="55"/>
      <c r="W135" s="64"/>
      <c r="X135" s="64"/>
      <c r="Y135" s="55"/>
      <c r="Z135" s="55"/>
      <c r="AA135" s="55"/>
      <c r="AB135" s="64"/>
      <c r="AC135" s="64"/>
      <c r="AD135" s="64"/>
      <c r="AE135" s="64"/>
      <c r="AF135" s="64"/>
      <c r="AG135" s="55"/>
      <c r="AH135" s="55"/>
      <c r="AI135" s="64"/>
      <c r="AJ135" s="64"/>
      <c r="AK135" s="64"/>
      <c r="AL135" s="64"/>
      <c r="AM135" s="64"/>
      <c r="AN135" s="64"/>
      <c r="AO135" s="55"/>
      <c r="AP135" s="55"/>
      <c r="AQ135" s="64"/>
      <c r="AR135" s="64"/>
      <c r="AS135" s="64"/>
      <c r="AT135" s="64"/>
      <c r="AU135" s="64"/>
      <c r="AV135" s="55"/>
      <c r="AW135" s="55"/>
      <c r="AX135" s="64"/>
      <c r="AY135" s="64"/>
      <c r="AZ135" s="64"/>
      <c r="BA135" s="64"/>
      <c r="BB135" s="64"/>
      <c r="BC135" s="55"/>
      <c r="BD135" s="55"/>
      <c r="BE135" s="64"/>
      <c r="BF135" s="55"/>
      <c r="BG135" s="64"/>
      <c r="BH135" s="64"/>
      <c r="BI135" s="64"/>
      <c r="BJ135" s="64"/>
      <c r="BK135" s="55"/>
      <c r="BL135" s="55"/>
      <c r="BM135" s="55"/>
      <c r="BN135" s="64"/>
      <c r="BO135" s="64"/>
      <c r="BP135" s="64"/>
      <c r="BQ135" s="64"/>
      <c r="BR135" s="64"/>
      <c r="BS135" s="64"/>
      <c r="BT135" s="64"/>
      <c r="BU135" s="64"/>
      <c r="BV135" s="64"/>
      <c r="BW135" s="55"/>
      <c r="BX135" s="55"/>
      <c r="BY135" s="55"/>
      <c r="BZ135" s="55"/>
      <c r="CA135" s="55"/>
      <c r="CB135" s="55"/>
      <c r="CC135" s="55"/>
      <c r="CD135" s="55"/>
      <c r="CE135" s="55"/>
      <c r="CF135" s="55"/>
      <c r="CG135" s="55"/>
      <c r="CH135" s="55"/>
    </row>
    <row r="136" ht="16.5" customHeight="1">
      <c r="A136" s="55"/>
      <c r="B136" s="55"/>
      <c r="C136" s="55"/>
      <c r="D136" s="55"/>
      <c r="E136" s="55"/>
      <c r="F136" s="55"/>
      <c r="G136" s="55"/>
      <c r="H136" s="64"/>
      <c r="I136" s="64"/>
      <c r="J136" s="64"/>
      <c r="K136" s="64"/>
      <c r="L136" s="64"/>
      <c r="M136" s="64"/>
      <c r="N136" s="64"/>
      <c r="O136" s="64"/>
      <c r="P136" s="64"/>
      <c r="Q136" s="64"/>
      <c r="R136" s="64"/>
      <c r="S136" s="64"/>
      <c r="T136" s="55"/>
      <c r="U136" s="55"/>
      <c r="V136" s="55"/>
      <c r="W136" s="64"/>
      <c r="X136" s="64"/>
      <c r="Y136" s="55"/>
      <c r="Z136" s="55"/>
      <c r="AA136" s="55"/>
      <c r="AB136" s="64"/>
      <c r="AC136" s="64"/>
      <c r="AD136" s="64"/>
      <c r="AE136" s="64"/>
      <c r="AF136" s="64"/>
      <c r="AG136" s="55"/>
      <c r="AH136" s="55"/>
      <c r="AI136" s="64"/>
      <c r="AJ136" s="64"/>
      <c r="AK136" s="64"/>
      <c r="AL136" s="64"/>
      <c r="AM136" s="64"/>
      <c r="AN136" s="64"/>
      <c r="AO136" s="55"/>
      <c r="AP136" s="55"/>
      <c r="AQ136" s="64"/>
      <c r="AR136" s="64"/>
      <c r="AS136" s="64"/>
      <c r="AT136" s="64"/>
      <c r="AU136" s="64"/>
      <c r="AV136" s="55"/>
      <c r="AW136" s="55"/>
      <c r="AX136" s="64"/>
      <c r="AY136" s="64"/>
      <c r="AZ136" s="64"/>
      <c r="BA136" s="64"/>
      <c r="BB136" s="64"/>
      <c r="BC136" s="55"/>
      <c r="BD136" s="55"/>
      <c r="BE136" s="64"/>
      <c r="BF136" s="55"/>
      <c r="BG136" s="64"/>
      <c r="BH136" s="64"/>
      <c r="BI136" s="64"/>
      <c r="BJ136" s="64"/>
      <c r="BK136" s="55"/>
      <c r="BL136" s="55"/>
      <c r="BM136" s="55"/>
      <c r="BN136" s="64"/>
      <c r="BO136" s="64"/>
      <c r="BP136" s="64"/>
      <c r="BQ136" s="64"/>
      <c r="BR136" s="64"/>
      <c r="BS136" s="64"/>
      <c r="BT136" s="64"/>
      <c r="BU136" s="64"/>
      <c r="BV136" s="64"/>
      <c r="BW136" s="55"/>
      <c r="BX136" s="55"/>
      <c r="BY136" s="55"/>
      <c r="BZ136" s="55"/>
      <c r="CA136" s="55"/>
      <c r="CB136" s="55"/>
      <c r="CC136" s="55"/>
      <c r="CD136" s="55"/>
      <c r="CE136" s="55"/>
      <c r="CF136" s="55"/>
      <c r="CG136" s="55"/>
      <c r="CH136" s="55"/>
    </row>
    <row r="137" ht="16.5" customHeight="1">
      <c r="A137" s="55"/>
      <c r="B137" s="55"/>
      <c r="C137" s="55"/>
      <c r="D137" s="55"/>
      <c r="E137" s="55"/>
      <c r="F137" s="55"/>
      <c r="G137" s="55"/>
      <c r="H137" s="64"/>
      <c r="I137" s="64"/>
      <c r="J137" s="64"/>
      <c r="K137" s="64"/>
      <c r="L137" s="64"/>
      <c r="M137" s="64"/>
      <c r="N137" s="64"/>
      <c r="O137" s="64"/>
      <c r="P137" s="64"/>
      <c r="Q137" s="64"/>
      <c r="R137" s="64"/>
      <c r="S137" s="64"/>
      <c r="T137" s="55"/>
      <c r="U137" s="55"/>
      <c r="V137" s="55"/>
      <c r="W137" s="64"/>
      <c r="X137" s="64"/>
      <c r="Y137" s="55"/>
      <c r="Z137" s="55"/>
      <c r="AA137" s="55"/>
      <c r="AB137" s="64"/>
      <c r="AC137" s="64"/>
      <c r="AD137" s="64"/>
      <c r="AE137" s="64"/>
      <c r="AF137" s="64"/>
      <c r="AG137" s="55"/>
      <c r="AH137" s="55"/>
      <c r="AI137" s="64"/>
      <c r="AJ137" s="64"/>
      <c r="AK137" s="64"/>
      <c r="AL137" s="64"/>
      <c r="AM137" s="64"/>
      <c r="AN137" s="64"/>
      <c r="AO137" s="55"/>
      <c r="AP137" s="55"/>
      <c r="AQ137" s="64"/>
      <c r="AR137" s="64"/>
      <c r="AS137" s="64"/>
      <c r="AT137" s="64"/>
      <c r="AU137" s="64"/>
      <c r="AV137" s="55"/>
      <c r="AW137" s="55"/>
      <c r="AX137" s="64"/>
      <c r="AY137" s="64"/>
      <c r="AZ137" s="64"/>
      <c r="BA137" s="64"/>
      <c r="BB137" s="64"/>
      <c r="BC137" s="55"/>
      <c r="BD137" s="55"/>
      <c r="BE137" s="64"/>
      <c r="BF137" s="55"/>
      <c r="BG137" s="64"/>
      <c r="BH137" s="64"/>
      <c r="BI137" s="64"/>
      <c r="BJ137" s="64"/>
      <c r="BK137" s="55"/>
      <c r="BL137" s="55"/>
      <c r="BM137" s="55"/>
      <c r="BN137" s="64"/>
      <c r="BO137" s="64"/>
      <c r="BP137" s="64"/>
      <c r="BQ137" s="64"/>
      <c r="BR137" s="64"/>
      <c r="BS137" s="64"/>
      <c r="BT137" s="64"/>
      <c r="BU137" s="64"/>
      <c r="BV137" s="64"/>
      <c r="BW137" s="55"/>
      <c r="BX137" s="55"/>
      <c r="BY137" s="55"/>
      <c r="BZ137" s="55"/>
      <c r="CA137" s="55"/>
      <c r="CB137" s="55"/>
      <c r="CC137" s="55"/>
      <c r="CD137" s="55"/>
      <c r="CE137" s="55"/>
      <c r="CF137" s="55"/>
      <c r="CG137" s="55"/>
      <c r="CH137" s="55"/>
    </row>
    <row r="138" ht="16.5" customHeight="1">
      <c r="A138" s="55"/>
      <c r="B138" s="55"/>
      <c r="C138" s="55"/>
      <c r="D138" s="55"/>
      <c r="E138" s="55"/>
      <c r="F138" s="55"/>
      <c r="G138" s="55"/>
      <c r="H138" s="64"/>
      <c r="I138" s="64"/>
      <c r="J138" s="64"/>
      <c r="K138" s="64"/>
      <c r="L138" s="64"/>
      <c r="M138" s="64"/>
      <c r="N138" s="64"/>
      <c r="O138" s="64"/>
      <c r="P138" s="64"/>
      <c r="Q138" s="64"/>
      <c r="R138" s="64"/>
      <c r="S138" s="64"/>
      <c r="T138" s="55"/>
      <c r="U138" s="55"/>
      <c r="V138" s="55"/>
      <c r="W138" s="64"/>
      <c r="X138" s="64"/>
      <c r="Y138" s="55"/>
      <c r="Z138" s="55"/>
      <c r="AA138" s="55"/>
      <c r="AB138" s="64"/>
      <c r="AC138" s="64"/>
      <c r="AD138" s="64"/>
      <c r="AE138" s="64"/>
      <c r="AF138" s="64"/>
      <c r="AG138" s="55"/>
      <c r="AH138" s="55"/>
      <c r="AI138" s="64"/>
      <c r="AJ138" s="64"/>
      <c r="AK138" s="64"/>
      <c r="AL138" s="64"/>
      <c r="AM138" s="64"/>
      <c r="AN138" s="64"/>
      <c r="AO138" s="55"/>
      <c r="AP138" s="55"/>
      <c r="AQ138" s="64"/>
      <c r="AR138" s="64"/>
      <c r="AS138" s="64"/>
      <c r="AT138" s="64"/>
      <c r="AU138" s="64"/>
      <c r="AV138" s="55"/>
      <c r="AW138" s="55"/>
      <c r="AX138" s="64"/>
      <c r="AY138" s="64"/>
      <c r="AZ138" s="64"/>
      <c r="BA138" s="64"/>
      <c r="BB138" s="64"/>
      <c r="BC138" s="55"/>
      <c r="BD138" s="55"/>
      <c r="BE138" s="64"/>
      <c r="BF138" s="55"/>
      <c r="BG138" s="64"/>
      <c r="BH138" s="64"/>
      <c r="BI138" s="64"/>
      <c r="BJ138" s="64"/>
      <c r="BK138" s="55"/>
      <c r="BL138" s="55"/>
      <c r="BM138" s="55"/>
      <c r="BN138" s="64"/>
      <c r="BO138" s="64"/>
      <c r="BP138" s="64"/>
      <c r="BQ138" s="64"/>
      <c r="BR138" s="64"/>
      <c r="BS138" s="64"/>
      <c r="BT138" s="64"/>
      <c r="BU138" s="64"/>
      <c r="BV138" s="64"/>
      <c r="BW138" s="55"/>
      <c r="BX138" s="55"/>
      <c r="BY138" s="55"/>
      <c r="BZ138" s="55"/>
      <c r="CA138" s="55"/>
      <c r="CB138" s="55"/>
      <c r="CC138" s="55"/>
      <c r="CD138" s="55"/>
      <c r="CE138" s="55"/>
      <c r="CF138" s="55"/>
      <c r="CG138" s="55"/>
      <c r="CH138" s="55"/>
    </row>
    <row r="139" ht="16.5" customHeight="1">
      <c r="A139" s="55"/>
      <c r="B139" s="55"/>
      <c r="C139" s="55"/>
      <c r="D139" s="55"/>
      <c r="E139" s="55"/>
      <c r="F139" s="55"/>
      <c r="G139" s="55"/>
      <c r="H139" s="64"/>
      <c r="I139" s="64"/>
      <c r="J139" s="64"/>
      <c r="K139" s="64"/>
      <c r="L139" s="64"/>
      <c r="M139" s="64"/>
      <c r="N139" s="64"/>
      <c r="O139" s="64"/>
      <c r="P139" s="64"/>
      <c r="Q139" s="64"/>
      <c r="R139" s="64"/>
      <c r="S139" s="64"/>
      <c r="T139" s="55"/>
      <c r="U139" s="55"/>
      <c r="V139" s="55"/>
      <c r="W139" s="64"/>
      <c r="X139" s="64"/>
      <c r="Y139" s="55"/>
      <c r="Z139" s="55"/>
      <c r="AA139" s="55"/>
      <c r="AB139" s="64"/>
      <c r="AC139" s="64"/>
      <c r="AD139" s="64"/>
      <c r="AE139" s="64"/>
      <c r="AF139" s="64"/>
      <c r="AG139" s="55"/>
      <c r="AH139" s="55"/>
      <c r="AI139" s="64"/>
      <c r="AJ139" s="64"/>
      <c r="AK139" s="64"/>
      <c r="AL139" s="64"/>
      <c r="AM139" s="64"/>
      <c r="AN139" s="64"/>
      <c r="AO139" s="55"/>
      <c r="AP139" s="55"/>
      <c r="AQ139" s="64"/>
      <c r="AR139" s="64"/>
      <c r="AS139" s="64"/>
      <c r="AT139" s="64"/>
      <c r="AU139" s="64"/>
      <c r="AV139" s="55"/>
      <c r="AW139" s="55"/>
      <c r="AX139" s="64"/>
      <c r="AY139" s="64"/>
      <c r="AZ139" s="64"/>
      <c r="BA139" s="64"/>
      <c r="BB139" s="64"/>
      <c r="BC139" s="55"/>
      <c r="BD139" s="55"/>
      <c r="BE139" s="64"/>
      <c r="BF139" s="55"/>
      <c r="BG139" s="64"/>
      <c r="BH139" s="64"/>
      <c r="BI139" s="64"/>
      <c r="BJ139" s="64"/>
      <c r="BK139" s="55"/>
      <c r="BL139" s="55"/>
      <c r="BM139" s="55"/>
      <c r="BN139" s="64"/>
      <c r="BO139" s="64"/>
      <c r="BP139" s="64"/>
      <c r="BQ139" s="64"/>
      <c r="BR139" s="64"/>
      <c r="BS139" s="64"/>
      <c r="BT139" s="64"/>
      <c r="BU139" s="64"/>
      <c r="BV139" s="64"/>
      <c r="BW139" s="55"/>
      <c r="BX139" s="55"/>
      <c r="BY139" s="55"/>
      <c r="BZ139" s="55"/>
      <c r="CA139" s="55"/>
      <c r="CB139" s="55"/>
      <c r="CC139" s="55"/>
      <c r="CD139" s="55"/>
      <c r="CE139" s="55"/>
      <c r="CF139" s="55"/>
      <c r="CG139" s="55"/>
      <c r="CH139" s="55"/>
    </row>
    <row r="140" ht="16.5" customHeight="1">
      <c r="A140" s="55"/>
      <c r="B140" s="55"/>
      <c r="C140" s="55"/>
      <c r="D140" s="55"/>
      <c r="E140" s="55"/>
      <c r="F140" s="55"/>
      <c r="G140" s="55"/>
      <c r="H140" s="64"/>
      <c r="I140" s="64"/>
      <c r="J140" s="64"/>
      <c r="K140" s="64"/>
      <c r="L140" s="64"/>
      <c r="M140" s="64"/>
      <c r="N140" s="64"/>
      <c r="O140" s="64"/>
      <c r="P140" s="64"/>
      <c r="Q140" s="64"/>
      <c r="R140" s="64"/>
      <c r="S140" s="64"/>
      <c r="T140" s="55"/>
      <c r="U140" s="55"/>
      <c r="V140" s="55"/>
      <c r="W140" s="64"/>
      <c r="X140" s="64"/>
      <c r="Y140" s="55"/>
      <c r="Z140" s="55"/>
      <c r="AA140" s="55"/>
      <c r="AB140" s="64"/>
      <c r="AC140" s="64"/>
      <c r="AD140" s="64"/>
      <c r="AE140" s="64"/>
      <c r="AF140" s="64"/>
      <c r="AG140" s="55"/>
      <c r="AH140" s="55"/>
      <c r="AI140" s="64"/>
      <c r="AJ140" s="64"/>
      <c r="AK140" s="64"/>
      <c r="AL140" s="64"/>
      <c r="AM140" s="64"/>
      <c r="AN140" s="64"/>
      <c r="AO140" s="55"/>
      <c r="AP140" s="55"/>
      <c r="AQ140" s="64"/>
      <c r="AR140" s="64"/>
      <c r="AS140" s="64"/>
      <c r="AT140" s="64"/>
      <c r="AU140" s="64"/>
      <c r="AV140" s="55"/>
      <c r="AW140" s="55"/>
      <c r="AX140" s="64"/>
      <c r="AY140" s="64"/>
      <c r="AZ140" s="64"/>
      <c r="BA140" s="64"/>
      <c r="BB140" s="64"/>
      <c r="BC140" s="55"/>
      <c r="BD140" s="55"/>
      <c r="BE140" s="64"/>
      <c r="BF140" s="55"/>
      <c r="BG140" s="64"/>
      <c r="BH140" s="64"/>
      <c r="BI140" s="64"/>
      <c r="BJ140" s="64"/>
      <c r="BK140" s="55"/>
      <c r="BL140" s="55"/>
      <c r="BM140" s="55"/>
      <c r="BN140" s="64"/>
      <c r="BO140" s="64"/>
      <c r="BP140" s="64"/>
      <c r="BQ140" s="64"/>
      <c r="BR140" s="64"/>
      <c r="BS140" s="64"/>
      <c r="BT140" s="64"/>
      <c r="BU140" s="64"/>
      <c r="BV140" s="64"/>
      <c r="BW140" s="55"/>
      <c r="BX140" s="55"/>
      <c r="BY140" s="55"/>
      <c r="BZ140" s="55"/>
      <c r="CA140" s="55"/>
      <c r="CB140" s="55"/>
      <c r="CC140" s="55"/>
      <c r="CD140" s="55"/>
      <c r="CE140" s="55"/>
      <c r="CF140" s="55"/>
      <c r="CG140" s="55"/>
      <c r="CH140" s="55"/>
    </row>
    <row r="141" ht="16.5" customHeight="1">
      <c r="A141" s="55"/>
      <c r="B141" s="55"/>
      <c r="C141" s="55"/>
      <c r="D141" s="55"/>
      <c r="E141" s="55"/>
      <c r="F141" s="55"/>
      <c r="G141" s="55"/>
      <c r="H141" s="64"/>
      <c r="I141" s="64"/>
      <c r="J141" s="64"/>
      <c r="K141" s="64"/>
      <c r="L141" s="64"/>
      <c r="M141" s="64"/>
      <c r="N141" s="64"/>
      <c r="O141" s="64"/>
      <c r="P141" s="64"/>
      <c r="Q141" s="64"/>
      <c r="R141" s="64"/>
      <c r="S141" s="64"/>
      <c r="T141" s="55"/>
      <c r="U141" s="55"/>
      <c r="V141" s="55"/>
      <c r="W141" s="64"/>
      <c r="X141" s="64"/>
      <c r="Y141" s="55"/>
      <c r="Z141" s="55"/>
      <c r="AA141" s="55"/>
      <c r="AB141" s="64"/>
      <c r="AC141" s="64"/>
      <c r="AD141" s="64"/>
      <c r="AE141" s="64"/>
      <c r="AF141" s="64"/>
      <c r="AG141" s="55"/>
      <c r="AH141" s="55"/>
      <c r="AI141" s="64"/>
      <c r="AJ141" s="64"/>
      <c r="AK141" s="64"/>
      <c r="AL141" s="64"/>
      <c r="AM141" s="64"/>
      <c r="AN141" s="64"/>
      <c r="AO141" s="55"/>
      <c r="AP141" s="55"/>
      <c r="AQ141" s="64"/>
      <c r="AR141" s="64"/>
      <c r="AS141" s="64"/>
      <c r="AT141" s="64"/>
      <c r="AU141" s="64"/>
      <c r="AV141" s="55"/>
      <c r="AW141" s="55"/>
      <c r="AX141" s="64"/>
      <c r="AY141" s="64"/>
      <c r="AZ141" s="64"/>
      <c r="BA141" s="64"/>
      <c r="BB141" s="64"/>
      <c r="BC141" s="55"/>
      <c r="BD141" s="55"/>
      <c r="BE141" s="64"/>
      <c r="BF141" s="55"/>
      <c r="BG141" s="64"/>
      <c r="BH141" s="64"/>
      <c r="BI141" s="64"/>
      <c r="BJ141" s="64"/>
      <c r="BK141" s="55"/>
      <c r="BL141" s="55"/>
      <c r="BM141" s="55"/>
      <c r="BN141" s="64"/>
      <c r="BO141" s="64"/>
      <c r="BP141" s="64"/>
      <c r="BQ141" s="64"/>
      <c r="BR141" s="64"/>
      <c r="BS141" s="64"/>
      <c r="BT141" s="64"/>
      <c r="BU141" s="64"/>
      <c r="BV141" s="64"/>
      <c r="BW141" s="55"/>
      <c r="BX141" s="55"/>
      <c r="BY141" s="55"/>
      <c r="BZ141" s="55"/>
      <c r="CA141" s="55"/>
      <c r="CB141" s="55"/>
      <c r="CC141" s="55"/>
      <c r="CD141" s="55"/>
      <c r="CE141" s="55"/>
      <c r="CF141" s="55"/>
      <c r="CG141" s="55"/>
      <c r="CH141" s="55"/>
    </row>
    <row r="142" ht="16.5" customHeight="1">
      <c r="A142" s="55"/>
      <c r="B142" s="55"/>
      <c r="C142" s="55"/>
      <c r="D142" s="55"/>
      <c r="E142" s="55"/>
      <c r="F142" s="55"/>
      <c r="G142" s="55"/>
      <c r="H142" s="64"/>
      <c r="I142" s="64"/>
      <c r="J142" s="64"/>
      <c r="K142" s="64"/>
      <c r="L142" s="64"/>
      <c r="M142" s="64"/>
      <c r="N142" s="64"/>
      <c r="O142" s="64"/>
      <c r="P142" s="64"/>
      <c r="Q142" s="64"/>
      <c r="R142" s="64"/>
      <c r="S142" s="64"/>
      <c r="T142" s="55"/>
      <c r="U142" s="55"/>
      <c r="V142" s="55"/>
      <c r="W142" s="64"/>
      <c r="X142" s="64"/>
      <c r="Y142" s="55"/>
      <c r="Z142" s="55"/>
      <c r="AA142" s="55"/>
      <c r="AB142" s="64"/>
      <c r="AC142" s="64"/>
      <c r="AD142" s="64"/>
      <c r="AE142" s="64"/>
      <c r="AF142" s="64"/>
      <c r="AG142" s="55"/>
      <c r="AH142" s="55"/>
      <c r="AI142" s="64"/>
      <c r="AJ142" s="64"/>
      <c r="AK142" s="64"/>
      <c r="AL142" s="64"/>
      <c r="AM142" s="64"/>
      <c r="AN142" s="64"/>
      <c r="AO142" s="55"/>
      <c r="AP142" s="55"/>
      <c r="AQ142" s="64"/>
      <c r="AR142" s="64"/>
      <c r="AS142" s="64"/>
      <c r="AT142" s="64"/>
      <c r="AU142" s="64"/>
      <c r="AV142" s="55"/>
      <c r="AW142" s="55"/>
      <c r="AX142" s="64"/>
      <c r="AY142" s="64"/>
      <c r="AZ142" s="64"/>
      <c r="BA142" s="64"/>
      <c r="BB142" s="64"/>
      <c r="BC142" s="55"/>
      <c r="BD142" s="55"/>
      <c r="BE142" s="64"/>
      <c r="BF142" s="55"/>
      <c r="BG142" s="64"/>
      <c r="BH142" s="64"/>
      <c r="BI142" s="64"/>
      <c r="BJ142" s="64"/>
      <c r="BK142" s="55"/>
      <c r="BL142" s="55"/>
      <c r="BM142" s="55"/>
      <c r="BN142" s="64"/>
      <c r="BO142" s="64"/>
      <c r="BP142" s="64"/>
      <c r="BQ142" s="64"/>
      <c r="BR142" s="64"/>
      <c r="BS142" s="64"/>
      <c r="BT142" s="64"/>
      <c r="BU142" s="64"/>
      <c r="BV142" s="64"/>
      <c r="BW142" s="55"/>
      <c r="BX142" s="55"/>
      <c r="BY142" s="55"/>
      <c r="BZ142" s="55"/>
      <c r="CA142" s="55"/>
      <c r="CB142" s="55"/>
      <c r="CC142" s="55"/>
      <c r="CD142" s="55"/>
      <c r="CE142" s="55"/>
      <c r="CF142" s="55"/>
      <c r="CG142" s="55"/>
      <c r="CH142" s="55"/>
    </row>
    <row r="143" ht="16.5" customHeight="1">
      <c r="A143" s="55"/>
      <c r="B143" s="55"/>
      <c r="C143" s="55"/>
      <c r="D143" s="55"/>
      <c r="E143" s="55"/>
      <c r="F143" s="55"/>
      <c r="G143" s="55"/>
      <c r="H143" s="64"/>
      <c r="I143" s="64"/>
      <c r="J143" s="64"/>
      <c r="K143" s="64"/>
      <c r="L143" s="64"/>
      <c r="M143" s="64"/>
      <c r="N143" s="64"/>
      <c r="O143" s="64"/>
      <c r="P143" s="64"/>
      <c r="Q143" s="64"/>
      <c r="R143" s="64"/>
      <c r="S143" s="64"/>
      <c r="T143" s="55"/>
      <c r="U143" s="55"/>
      <c r="V143" s="55"/>
      <c r="W143" s="64"/>
      <c r="X143" s="64"/>
      <c r="Y143" s="55"/>
      <c r="Z143" s="55"/>
      <c r="AA143" s="55"/>
      <c r="AB143" s="64"/>
      <c r="AC143" s="64"/>
      <c r="AD143" s="64"/>
      <c r="AE143" s="64"/>
      <c r="AF143" s="64"/>
      <c r="AG143" s="55"/>
      <c r="AH143" s="55"/>
      <c r="AI143" s="64"/>
      <c r="AJ143" s="64"/>
      <c r="AK143" s="64"/>
      <c r="AL143" s="64"/>
      <c r="AM143" s="64"/>
      <c r="AN143" s="64"/>
      <c r="AO143" s="55"/>
      <c r="AP143" s="55"/>
      <c r="AQ143" s="64"/>
      <c r="AR143" s="64"/>
      <c r="AS143" s="64"/>
      <c r="AT143" s="64"/>
      <c r="AU143" s="64"/>
      <c r="AV143" s="55"/>
      <c r="AW143" s="55"/>
      <c r="AX143" s="64"/>
      <c r="AY143" s="64"/>
      <c r="AZ143" s="64"/>
      <c r="BA143" s="64"/>
      <c r="BB143" s="64"/>
      <c r="BC143" s="55"/>
      <c r="BD143" s="55"/>
      <c r="BE143" s="64"/>
      <c r="BF143" s="55"/>
      <c r="BG143" s="64"/>
      <c r="BH143" s="64"/>
      <c r="BI143" s="64"/>
      <c r="BJ143" s="64"/>
      <c r="BK143" s="55"/>
      <c r="BL143" s="55"/>
      <c r="BM143" s="55"/>
      <c r="BN143" s="64"/>
      <c r="BO143" s="64"/>
      <c r="BP143" s="64"/>
      <c r="BQ143" s="64"/>
      <c r="BR143" s="64"/>
      <c r="BS143" s="64"/>
      <c r="BT143" s="64"/>
      <c r="BU143" s="64"/>
      <c r="BV143" s="64"/>
      <c r="BW143" s="55"/>
      <c r="BX143" s="55"/>
      <c r="BY143" s="55"/>
      <c r="BZ143" s="55"/>
      <c r="CA143" s="55"/>
      <c r="CB143" s="55"/>
      <c r="CC143" s="55"/>
      <c r="CD143" s="55"/>
      <c r="CE143" s="55"/>
      <c r="CF143" s="55"/>
      <c r="CG143" s="55"/>
      <c r="CH143" s="55"/>
    </row>
    <row r="144" ht="16.5" customHeight="1">
      <c r="A144" s="55"/>
      <c r="B144" s="55"/>
      <c r="C144" s="55"/>
      <c r="D144" s="55"/>
      <c r="E144" s="55"/>
      <c r="F144" s="55"/>
      <c r="G144" s="55"/>
      <c r="H144" s="64"/>
      <c r="I144" s="64"/>
      <c r="J144" s="64"/>
      <c r="K144" s="64"/>
      <c r="L144" s="64"/>
      <c r="M144" s="64"/>
      <c r="N144" s="64"/>
      <c r="O144" s="64"/>
      <c r="P144" s="64"/>
      <c r="Q144" s="64"/>
      <c r="R144" s="64"/>
      <c r="S144" s="64"/>
      <c r="T144" s="55"/>
      <c r="U144" s="55"/>
      <c r="V144" s="55"/>
      <c r="W144" s="64"/>
      <c r="X144" s="64"/>
      <c r="Y144" s="55"/>
      <c r="Z144" s="55"/>
      <c r="AA144" s="55"/>
      <c r="AB144" s="64"/>
      <c r="AC144" s="64"/>
      <c r="AD144" s="64"/>
      <c r="AE144" s="64"/>
      <c r="AF144" s="64"/>
      <c r="AG144" s="55"/>
      <c r="AH144" s="55"/>
      <c r="AI144" s="64"/>
      <c r="AJ144" s="64"/>
      <c r="AK144" s="64"/>
      <c r="AL144" s="64"/>
      <c r="AM144" s="64"/>
      <c r="AN144" s="64"/>
      <c r="AO144" s="55"/>
      <c r="AP144" s="55"/>
      <c r="AQ144" s="64"/>
      <c r="AR144" s="64"/>
      <c r="AS144" s="64"/>
      <c r="AT144" s="64"/>
      <c r="AU144" s="64"/>
      <c r="AV144" s="55"/>
      <c r="AW144" s="55"/>
      <c r="AX144" s="64"/>
      <c r="AY144" s="64"/>
      <c r="AZ144" s="64"/>
      <c r="BA144" s="64"/>
      <c r="BB144" s="64"/>
      <c r="BC144" s="55"/>
      <c r="BD144" s="55"/>
      <c r="BE144" s="64"/>
      <c r="BF144" s="55"/>
      <c r="BG144" s="64"/>
      <c r="BH144" s="64"/>
      <c r="BI144" s="64"/>
      <c r="BJ144" s="64"/>
      <c r="BK144" s="55"/>
      <c r="BL144" s="55"/>
      <c r="BM144" s="55"/>
      <c r="BN144" s="64"/>
      <c r="BO144" s="64"/>
      <c r="BP144" s="64"/>
      <c r="BQ144" s="64"/>
      <c r="BR144" s="64"/>
      <c r="BS144" s="64"/>
      <c r="BT144" s="64"/>
      <c r="BU144" s="64"/>
      <c r="BV144" s="64"/>
      <c r="BW144" s="55"/>
      <c r="BX144" s="55"/>
      <c r="BY144" s="55"/>
      <c r="BZ144" s="55"/>
      <c r="CA144" s="55"/>
      <c r="CB144" s="55"/>
      <c r="CC144" s="55"/>
      <c r="CD144" s="55"/>
      <c r="CE144" s="55"/>
      <c r="CF144" s="55"/>
      <c r="CG144" s="55"/>
      <c r="CH144" s="55"/>
    </row>
    <row r="145" ht="16.5" customHeight="1">
      <c r="A145" s="55"/>
      <c r="B145" s="55"/>
      <c r="C145" s="55"/>
      <c r="D145" s="55"/>
      <c r="E145" s="55"/>
      <c r="F145" s="55"/>
      <c r="G145" s="55"/>
      <c r="H145" s="64"/>
      <c r="I145" s="64"/>
      <c r="J145" s="64"/>
      <c r="K145" s="64"/>
      <c r="L145" s="64"/>
      <c r="M145" s="64"/>
      <c r="N145" s="64"/>
      <c r="O145" s="64"/>
      <c r="P145" s="64"/>
      <c r="Q145" s="64"/>
      <c r="R145" s="64"/>
      <c r="S145" s="64"/>
      <c r="T145" s="55"/>
      <c r="U145" s="55"/>
      <c r="V145" s="55"/>
      <c r="W145" s="64"/>
      <c r="X145" s="64"/>
      <c r="Y145" s="55"/>
      <c r="Z145" s="55"/>
      <c r="AA145" s="55"/>
      <c r="AB145" s="64"/>
      <c r="AC145" s="64"/>
      <c r="AD145" s="64"/>
      <c r="AE145" s="64"/>
      <c r="AF145" s="64"/>
      <c r="AG145" s="55"/>
      <c r="AH145" s="55"/>
      <c r="AI145" s="64"/>
      <c r="AJ145" s="64"/>
      <c r="AK145" s="64"/>
      <c r="AL145" s="64"/>
      <c r="AM145" s="64"/>
      <c r="AN145" s="64"/>
      <c r="AO145" s="55"/>
      <c r="AP145" s="55"/>
      <c r="AQ145" s="64"/>
      <c r="AR145" s="64"/>
      <c r="AS145" s="64"/>
      <c r="AT145" s="64"/>
      <c r="AU145" s="64"/>
      <c r="AV145" s="55"/>
      <c r="AW145" s="55"/>
      <c r="AX145" s="64"/>
      <c r="AY145" s="64"/>
      <c r="AZ145" s="64"/>
      <c r="BA145" s="64"/>
      <c r="BB145" s="64"/>
      <c r="BC145" s="55"/>
      <c r="BD145" s="55"/>
      <c r="BE145" s="64"/>
      <c r="BF145" s="55"/>
      <c r="BG145" s="64"/>
      <c r="BH145" s="64"/>
      <c r="BI145" s="64"/>
      <c r="BJ145" s="64"/>
      <c r="BK145" s="55"/>
      <c r="BL145" s="55"/>
      <c r="BM145" s="55"/>
      <c r="BN145" s="64"/>
      <c r="BO145" s="64"/>
      <c r="BP145" s="64"/>
      <c r="BQ145" s="64"/>
      <c r="BR145" s="64"/>
      <c r="BS145" s="64"/>
      <c r="BT145" s="64"/>
      <c r="BU145" s="64"/>
      <c r="BV145" s="64"/>
      <c r="BW145" s="55"/>
      <c r="BX145" s="55"/>
      <c r="BY145" s="55"/>
      <c r="BZ145" s="55"/>
      <c r="CA145" s="55"/>
      <c r="CB145" s="55"/>
      <c r="CC145" s="55"/>
      <c r="CD145" s="55"/>
      <c r="CE145" s="55"/>
      <c r="CF145" s="55"/>
      <c r="CG145" s="55"/>
      <c r="CH145" s="55"/>
    </row>
    <row r="146" ht="16.5" customHeight="1">
      <c r="A146" s="55"/>
      <c r="B146" s="55"/>
      <c r="C146" s="55"/>
      <c r="D146" s="55"/>
      <c r="E146" s="55"/>
      <c r="F146" s="55"/>
      <c r="G146" s="55"/>
      <c r="H146" s="64"/>
      <c r="I146" s="64"/>
      <c r="J146" s="64"/>
      <c r="K146" s="64"/>
      <c r="L146" s="64"/>
      <c r="M146" s="64"/>
      <c r="N146" s="64"/>
      <c r="O146" s="64"/>
      <c r="P146" s="64"/>
      <c r="Q146" s="64"/>
      <c r="R146" s="64"/>
      <c r="S146" s="64"/>
      <c r="T146" s="55"/>
      <c r="U146" s="55"/>
      <c r="V146" s="55"/>
      <c r="W146" s="64"/>
      <c r="X146" s="64"/>
      <c r="Y146" s="55"/>
      <c r="Z146" s="55"/>
      <c r="AA146" s="55"/>
      <c r="AB146" s="64"/>
      <c r="AC146" s="64"/>
      <c r="AD146" s="64"/>
      <c r="AE146" s="64"/>
      <c r="AF146" s="64"/>
      <c r="AG146" s="55"/>
      <c r="AH146" s="55"/>
      <c r="AI146" s="64"/>
      <c r="AJ146" s="64"/>
      <c r="AK146" s="64"/>
      <c r="AL146" s="64"/>
      <c r="AM146" s="64"/>
      <c r="AN146" s="64"/>
      <c r="AO146" s="55"/>
      <c r="AP146" s="55"/>
      <c r="AQ146" s="64"/>
      <c r="AR146" s="64"/>
      <c r="AS146" s="64"/>
      <c r="AT146" s="64"/>
      <c r="AU146" s="64"/>
      <c r="AV146" s="55"/>
      <c r="AW146" s="55"/>
      <c r="AX146" s="64"/>
      <c r="AY146" s="64"/>
      <c r="AZ146" s="64"/>
      <c r="BA146" s="64"/>
      <c r="BB146" s="64"/>
      <c r="BC146" s="55"/>
      <c r="BD146" s="55"/>
      <c r="BE146" s="64"/>
      <c r="BF146" s="55"/>
      <c r="BG146" s="64"/>
      <c r="BH146" s="64"/>
      <c r="BI146" s="64"/>
      <c r="BJ146" s="64"/>
      <c r="BK146" s="55"/>
      <c r="BL146" s="55"/>
      <c r="BM146" s="55"/>
      <c r="BN146" s="64"/>
      <c r="BO146" s="64"/>
      <c r="BP146" s="64"/>
      <c r="BQ146" s="64"/>
      <c r="BR146" s="64"/>
      <c r="BS146" s="64"/>
      <c r="BT146" s="64"/>
      <c r="BU146" s="64"/>
      <c r="BV146" s="64"/>
      <c r="BW146" s="55"/>
      <c r="BX146" s="55"/>
      <c r="BY146" s="55"/>
      <c r="BZ146" s="55"/>
      <c r="CA146" s="55"/>
      <c r="CB146" s="55"/>
      <c r="CC146" s="55"/>
      <c r="CD146" s="55"/>
      <c r="CE146" s="55"/>
      <c r="CF146" s="55"/>
      <c r="CG146" s="55"/>
      <c r="CH146" s="55"/>
    </row>
    <row r="147" ht="16.5" customHeight="1">
      <c r="A147" s="55"/>
      <c r="B147" s="55"/>
      <c r="C147" s="55"/>
      <c r="D147" s="55"/>
      <c r="E147" s="55"/>
      <c r="F147" s="55"/>
      <c r="G147" s="55"/>
      <c r="H147" s="64"/>
      <c r="I147" s="64"/>
      <c r="J147" s="64"/>
      <c r="K147" s="64"/>
      <c r="L147" s="64"/>
      <c r="M147" s="64"/>
      <c r="N147" s="64"/>
      <c r="O147" s="64"/>
      <c r="P147" s="64"/>
      <c r="Q147" s="64"/>
      <c r="R147" s="64"/>
      <c r="S147" s="64"/>
      <c r="T147" s="55"/>
      <c r="U147" s="55"/>
      <c r="V147" s="55"/>
      <c r="W147" s="64"/>
      <c r="X147" s="64"/>
      <c r="Y147" s="55"/>
      <c r="Z147" s="55"/>
      <c r="AA147" s="55"/>
      <c r="AB147" s="64"/>
      <c r="AC147" s="64"/>
      <c r="AD147" s="64"/>
      <c r="AE147" s="64"/>
      <c r="AF147" s="64"/>
      <c r="AG147" s="55"/>
      <c r="AH147" s="55"/>
      <c r="AI147" s="64"/>
      <c r="AJ147" s="64"/>
      <c r="AK147" s="64"/>
      <c r="AL147" s="64"/>
      <c r="AM147" s="64"/>
      <c r="AN147" s="64"/>
      <c r="AO147" s="55"/>
      <c r="AP147" s="55"/>
      <c r="AQ147" s="64"/>
      <c r="AR147" s="64"/>
      <c r="AS147" s="64"/>
      <c r="AT147" s="64"/>
      <c r="AU147" s="64"/>
      <c r="AV147" s="55"/>
      <c r="AW147" s="55"/>
      <c r="AX147" s="64"/>
      <c r="AY147" s="64"/>
      <c r="AZ147" s="64"/>
      <c r="BA147" s="64"/>
      <c r="BB147" s="64"/>
      <c r="BC147" s="55"/>
      <c r="BD147" s="55"/>
      <c r="BE147" s="64"/>
      <c r="BF147" s="55"/>
      <c r="BG147" s="64"/>
      <c r="BH147" s="64"/>
      <c r="BI147" s="64"/>
      <c r="BJ147" s="64"/>
      <c r="BK147" s="55"/>
      <c r="BL147" s="55"/>
      <c r="BM147" s="55"/>
      <c r="BN147" s="64"/>
      <c r="BO147" s="64"/>
      <c r="BP147" s="64"/>
      <c r="BQ147" s="64"/>
      <c r="BR147" s="64"/>
      <c r="BS147" s="64"/>
      <c r="BT147" s="64"/>
      <c r="BU147" s="64"/>
      <c r="BV147" s="64"/>
      <c r="BW147" s="55"/>
      <c r="BX147" s="55"/>
      <c r="BY147" s="55"/>
      <c r="BZ147" s="55"/>
      <c r="CA147" s="55"/>
      <c r="CB147" s="55"/>
      <c r="CC147" s="55"/>
      <c r="CD147" s="55"/>
      <c r="CE147" s="55"/>
      <c r="CF147" s="55"/>
      <c r="CG147" s="55"/>
      <c r="CH147" s="55"/>
    </row>
    <row r="148" ht="16.5" customHeight="1">
      <c r="A148" s="55"/>
      <c r="B148" s="55"/>
      <c r="C148" s="55"/>
      <c r="D148" s="55"/>
      <c r="E148" s="55"/>
      <c r="F148" s="55"/>
      <c r="G148" s="55"/>
      <c r="H148" s="64"/>
      <c r="I148" s="64"/>
      <c r="J148" s="64"/>
      <c r="K148" s="64"/>
      <c r="L148" s="64"/>
      <c r="M148" s="64"/>
      <c r="N148" s="64"/>
      <c r="O148" s="64"/>
      <c r="P148" s="64"/>
      <c r="Q148" s="64"/>
      <c r="R148" s="64"/>
      <c r="S148" s="64"/>
      <c r="T148" s="55"/>
      <c r="U148" s="55"/>
      <c r="V148" s="55"/>
      <c r="W148" s="64"/>
      <c r="X148" s="64"/>
      <c r="Y148" s="55"/>
      <c r="Z148" s="55"/>
      <c r="AA148" s="55"/>
      <c r="AB148" s="64"/>
      <c r="AC148" s="64"/>
      <c r="AD148" s="64"/>
      <c r="AE148" s="64"/>
      <c r="AF148" s="64"/>
      <c r="AG148" s="55"/>
      <c r="AH148" s="55"/>
      <c r="AI148" s="64"/>
      <c r="AJ148" s="64"/>
      <c r="AK148" s="64"/>
      <c r="AL148" s="64"/>
      <c r="AM148" s="64"/>
      <c r="AN148" s="64"/>
      <c r="AO148" s="55"/>
      <c r="AP148" s="55"/>
      <c r="AQ148" s="64"/>
      <c r="AR148" s="64"/>
      <c r="AS148" s="64"/>
      <c r="AT148" s="64"/>
      <c r="AU148" s="64"/>
      <c r="AV148" s="55"/>
      <c r="AW148" s="55"/>
      <c r="AX148" s="64"/>
      <c r="AY148" s="64"/>
      <c r="AZ148" s="64"/>
      <c r="BA148" s="64"/>
      <c r="BB148" s="64"/>
      <c r="BC148" s="55"/>
      <c r="BD148" s="55"/>
      <c r="BE148" s="64"/>
      <c r="BF148" s="55"/>
      <c r="BG148" s="64"/>
      <c r="BH148" s="64"/>
      <c r="BI148" s="64"/>
      <c r="BJ148" s="64"/>
      <c r="BK148" s="55"/>
      <c r="BL148" s="55"/>
      <c r="BM148" s="55"/>
      <c r="BN148" s="64"/>
      <c r="BO148" s="64"/>
      <c r="BP148" s="64"/>
      <c r="BQ148" s="64"/>
      <c r="BR148" s="64"/>
      <c r="BS148" s="64"/>
      <c r="BT148" s="64"/>
      <c r="BU148" s="64"/>
      <c r="BV148" s="64"/>
      <c r="BW148" s="55"/>
      <c r="BX148" s="55"/>
      <c r="BY148" s="55"/>
      <c r="BZ148" s="55"/>
      <c r="CA148" s="55"/>
      <c r="CB148" s="55"/>
      <c r="CC148" s="55"/>
      <c r="CD148" s="55"/>
      <c r="CE148" s="55"/>
      <c r="CF148" s="55"/>
      <c r="CG148" s="55"/>
      <c r="CH148" s="55"/>
    </row>
    <row r="149" ht="16.5" customHeight="1">
      <c r="A149" s="55"/>
      <c r="B149" s="55"/>
      <c r="C149" s="55"/>
      <c r="D149" s="55"/>
      <c r="E149" s="55"/>
      <c r="F149" s="55"/>
      <c r="G149" s="55"/>
      <c r="H149" s="64"/>
      <c r="I149" s="64"/>
      <c r="J149" s="64"/>
      <c r="K149" s="64"/>
      <c r="L149" s="64"/>
      <c r="M149" s="64"/>
      <c r="N149" s="64"/>
      <c r="O149" s="64"/>
      <c r="P149" s="64"/>
      <c r="Q149" s="64"/>
      <c r="R149" s="64"/>
      <c r="S149" s="64"/>
      <c r="T149" s="55"/>
      <c r="U149" s="55"/>
      <c r="V149" s="55"/>
      <c r="W149" s="64"/>
      <c r="X149" s="64"/>
      <c r="Y149" s="55"/>
      <c r="Z149" s="55"/>
      <c r="AA149" s="55"/>
      <c r="AB149" s="64"/>
      <c r="AC149" s="64"/>
      <c r="AD149" s="64"/>
      <c r="AE149" s="64"/>
      <c r="AF149" s="64"/>
      <c r="AG149" s="55"/>
      <c r="AH149" s="55"/>
      <c r="AI149" s="64"/>
      <c r="AJ149" s="64"/>
      <c r="AK149" s="64"/>
      <c r="AL149" s="64"/>
      <c r="AM149" s="64"/>
      <c r="AN149" s="64"/>
      <c r="AO149" s="55"/>
      <c r="AP149" s="55"/>
      <c r="AQ149" s="64"/>
      <c r="AR149" s="64"/>
      <c r="AS149" s="64"/>
      <c r="AT149" s="64"/>
      <c r="AU149" s="64"/>
      <c r="AV149" s="55"/>
      <c r="AW149" s="55"/>
      <c r="AX149" s="64"/>
      <c r="AY149" s="64"/>
      <c r="AZ149" s="64"/>
      <c r="BA149" s="64"/>
      <c r="BB149" s="64"/>
      <c r="BC149" s="55"/>
      <c r="BD149" s="55"/>
      <c r="BE149" s="64"/>
      <c r="BF149" s="55"/>
      <c r="BG149" s="64"/>
      <c r="BH149" s="64"/>
      <c r="BI149" s="64"/>
      <c r="BJ149" s="64"/>
      <c r="BK149" s="55"/>
      <c r="BL149" s="55"/>
      <c r="BM149" s="55"/>
      <c r="BN149" s="64"/>
      <c r="BO149" s="64"/>
      <c r="BP149" s="64"/>
      <c r="BQ149" s="64"/>
      <c r="BR149" s="64"/>
      <c r="BS149" s="64"/>
      <c r="BT149" s="64"/>
      <c r="BU149" s="64"/>
      <c r="BV149" s="64"/>
      <c r="BW149" s="55"/>
      <c r="BX149" s="55"/>
      <c r="BY149" s="55"/>
      <c r="BZ149" s="55"/>
      <c r="CA149" s="55"/>
      <c r="CB149" s="55"/>
      <c r="CC149" s="55"/>
      <c r="CD149" s="55"/>
      <c r="CE149" s="55"/>
      <c r="CF149" s="55"/>
      <c r="CG149" s="55"/>
      <c r="CH149" s="55"/>
    </row>
    <row r="150" ht="16.5" customHeight="1">
      <c r="A150" s="55"/>
      <c r="B150" s="55"/>
      <c r="C150" s="55"/>
      <c r="D150" s="55"/>
      <c r="E150" s="55"/>
      <c r="F150" s="55"/>
      <c r="G150" s="55"/>
      <c r="H150" s="64"/>
      <c r="I150" s="64"/>
      <c r="J150" s="64"/>
      <c r="K150" s="64"/>
      <c r="L150" s="64"/>
      <c r="M150" s="64"/>
      <c r="N150" s="64"/>
      <c r="O150" s="64"/>
      <c r="P150" s="64"/>
      <c r="Q150" s="64"/>
      <c r="R150" s="64"/>
      <c r="S150" s="64"/>
      <c r="T150" s="55"/>
      <c r="U150" s="55"/>
      <c r="V150" s="55"/>
      <c r="W150" s="64"/>
      <c r="X150" s="64"/>
      <c r="Y150" s="55"/>
      <c r="Z150" s="55"/>
      <c r="AA150" s="55"/>
      <c r="AB150" s="64"/>
      <c r="AC150" s="64"/>
      <c r="AD150" s="64"/>
      <c r="AE150" s="64"/>
      <c r="AF150" s="64"/>
      <c r="AG150" s="55"/>
      <c r="AH150" s="55"/>
      <c r="AI150" s="64"/>
      <c r="AJ150" s="64"/>
      <c r="AK150" s="64"/>
      <c r="AL150" s="64"/>
      <c r="AM150" s="64"/>
      <c r="AN150" s="64"/>
      <c r="AO150" s="55"/>
      <c r="AP150" s="55"/>
      <c r="AQ150" s="64"/>
      <c r="AR150" s="64"/>
      <c r="AS150" s="64"/>
      <c r="AT150" s="64"/>
      <c r="AU150" s="64"/>
      <c r="AV150" s="55"/>
      <c r="AW150" s="55"/>
      <c r="AX150" s="64"/>
      <c r="AY150" s="64"/>
      <c r="AZ150" s="64"/>
      <c r="BA150" s="64"/>
      <c r="BB150" s="64"/>
      <c r="BC150" s="55"/>
      <c r="BD150" s="55"/>
      <c r="BE150" s="64"/>
      <c r="BF150" s="55"/>
      <c r="BG150" s="64"/>
      <c r="BH150" s="64"/>
      <c r="BI150" s="64"/>
      <c r="BJ150" s="64"/>
      <c r="BK150" s="55"/>
      <c r="BL150" s="55"/>
      <c r="BM150" s="55"/>
      <c r="BN150" s="64"/>
      <c r="BO150" s="64"/>
      <c r="BP150" s="64"/>
      <c r="BQ150" s="64"/>
      <c r="BR150" s="64"/>
      <c r="BS150" s="64"/>
      <c r="BT150" s="64"/>
      <c r="BU150" s="64"/>
      <c r="BV150" s="64"/>
      <c r="BW150" s="55"/>
      <c r="BX150" s="55"/>
      <c r="BY150" s="55"/>
      <c r="BZ150" s="55"/>
      <c r="CA150" s="55"/>
      <c r="CB150" s="55"/>
      <c r="CC150" s="55"/>
      <c r="CD150" s="55"/>
      <c r="CE150" s="55"/>
      <c r="CF150" s="55"/>
      <c r="CG150" s="55"/>
      <c r="CH150" s="55"/>
    </row>
    <row r="151" ht="16.5" customHeight="1">
      <c r="A151" s="55"/>
      <c r="B151" s="55"/>
      <c r="C151" s="55"/>
      <c r="D151" s="55"/>
      <c r="E151" s="55"/>
      <c r="F151" s="55"/>
      <c r="G151" s="55"/>
      <c r="H151" s="64"/>
      <c r="I151" s="64"/>
      <c r="J151" s="64"/>
      <c r="K151" s="64"/>
      <c r="L151" s="64"/>
      <c r="M151" s="64"/>
      <c r="N151" s="64"/>
      <c r="O151" s="64"/>
      <c r="P151" s="64"/>
      <c r="Q151" s="64"/>
      <c r="R151" s="64"/>
      <c r="S151" s="64"/>
      <c r="T151" s="55"/>
      <c r="U151" s="55"/>
      <c r="V151" s="55"/>
      <c r="W151" s="64"/>
      <c r="X151" s="64"/>
      <c r="Y151" s="55"/>
      <c r="Z151" s="55"/>
      <c r="AA151" s="55"/>
      <c r="AB151" s="64"/>
      <c r="AC151" s="64"/>
      <c r="AD151" s="64"/>
      <c r="AE151" s="64"/>
      <c r="AF151" s="64"/>
      <c r="AG151" s="55"/>
      <c r="AH151" s="55"/>
      <c r="AI151" s="64"/>
      <c r="AJ151" s="64"/>
      <c r="AK151" s="64"/>
      <c r="AL151" s="64"/>
      <c r="AM151" s="64"/>
      <c r="AN151" s="64"/>
      <c r="AO151" s="55"/>
      <c r="AP151" s="55"/>
      <c r="AQ151" s="64"/>
      <c r="AR151" s="64"/>
      <c r="AS151" s="64"/>
      <c r="AT151" s="64"/>
      <c r="AU151" s="64"/>
      <c r="AV151" s="55"/>
      <c r="AW151" s="55"/>
      <c r="AX151" s="64"/>
      <c r="AY151" s="64"/>
      <c r="AZ151" s="64"/>
      <c r="BA151" s="64"/>
      <c r="BB151" s="64"/>
      <c r="BC151" s="55"/>
      <c r="BD151" s="55"/>
      <c r="BE151" s="64"/>
      <c r="BF151" s="55"/>
      <c r="BG151" s="64"/>
      <c r="BH151" s="64"/>
      <c r="BI151" s="64"/>
      <c r="BJ151" s="64"/>
      <c r="BK151" s="55"/>
      <c r="BL151" s="55"/>
      <c r="BM151" s="55"/>
      <c r="BN151" s="64"/>
      <c r="BO151" s="64"/>
      <c r="BP151" s="64"/>
      <c r="BQ151" s="64"/>
      <c r="BR151" s="64"/>
      <c r="BS151" s="64"/>
      <c r="BT151" s="64"/>
      <c r="BU151" s="64"/>
      <c r="BV151" s="64"/>
      <c r="BW151" s="55"/>
      <c r="BX151" s="55"/>
      <c r="BY151" s="55"/>
      <c r="BZ151" s="55"/>
      <c r="CA151" s="55"/>
      <c r="CB151" s="55"/>
      <c r="CC151" s="55"/>
      <c r="CD151" s="55"/>
      <c r="CE151" s="55"/>
      <c r="CF151" s="55"/>
      <c r="CG151" s="55"/>
      <c r="CH151" s="55"/>
    </row>
    <row r="152" ht="16.5" customHeight="1">
      <c r="A152" s="55"/>
      <c r="B152" s="55"/>
      <c r="C152" s="55"/>
      <c r="D152" s="55"/>
      <c r="E152" s="55"/>
      <c r="F152" s="55"/>
      <c r="G152" s="55"/>
      <c r="H152" s="64"/>
      <c r="I152" s="64"/>
      <c r="J152" s="64"/>
      <c r="K152" s="64"/>
      <c r="L152" s="64"/>
      <c r="M152" s="64"/>
      <c r="N152" s="64"/>
      <c r="O152" s="64"/>
      <c r="P152" s="64"/>
      <c r="Q152" s="64"/>
      <c r="R152" s="64"/>
      <c r="S152" s="64"/>
      <c r="T152" s="55"/>
      <c r="U152" s="55"/>
      <c r="V152" s="55"/>
      <c r="W152" s="64"/>
      <c r="X152" s="64"/>
      <c r="Y152" s="55"/>
      <c r="Z152" s="55"/>
      <c r="AA152" s="55"/>
      <c r="AB152" s="64"/>
      <c r="AC152" s="64"/>
      <c r="AD152" s="64"/>
      <c r="AE152" s="64"/>
      <c r="AF152" s="64"/>
      <c r="AG152" s="55"/>
      <c r="AH152" s="55"/>
      <c r="AI152" s="64"/>
      <c r="AJ152" s="64"/>
      <c r="AK152" s="64"/>
      <c r="AL152" s="64"/>
      <c r="AM152" s="64"/>
      <c r="AN152" s="64"/>
      <c r="AO152" s="55"/>
      <c r="AP152" s="55"/>
      <c r="AQ152" s="64"/>
      <c r="AR152" s="64"/>
      <c r="AS152" s="64"/>
      <c r="AT152" s="64"/>
      <c r="AU152" s="64"/>
      <c r="AV152" s="55"/>
      <c r="AW152" s="55"/>
      <c r="AX152" s="64"/>
      <c r="AY152" s="64"/>
      <c r="AZ152" s="64"/>
      <c r="BA152" s="64"/>
      <c r="BB152" s="64"/>
      <c r="BC152" s="55"/>
      <c r="BD152" s="55"/>
      <c r="BE152" s="64"/>
      <c r="BF152" s="55"/>
      <c r="BG152" s="64"/>
      <c r="BH152" s="64"/>
      <c r="BI152" s="64"/>
      <c r="BJ152" s="64"/>
      <c r="BK152" s="55"/>
      <c r="BL152" s="55"/>
      <c r="BM152" s="55"/>
      <c r="BN152" s="64"/>
      <c r="BO152" s="64"/>
      <c r="BP152" s="64"/>
      <c r="BQ152" s="64"/>
      <c r="BR152" s="64"/>
      <c r="BS152" s="64"/>
      <c r="BT152" s="64"/>
      <c r="BU152" s="64"/>
      <c r="BV152" s="64"/>
      <c r="BW152" s="55"/>
      <c r="BX152" s="55"/>
      <c r="BY152" s="55"/>
      <c r="BZ152" s="55"/>
      <c r="CA152" s="55"/>
      <c r="CB152" s="55"/>
      <c r="CC152" s="55"/>
      <c r="CD152" s="55"/>
      <c r="CE152" s="55"/>
      <c r="CF152" s="55"/>
      <c r="CG152" s="55"/>
      <c r="CH152" s="55"/>
    </row>
    <row r="153" ht="16.5" customHeight="1">
      <c r="A153" s="55"/>
      <c r="B153" s="55"/>
      <c r="C153" s="55"/>
      <c r="D153" s="55"/>
      <c r="E153" s="55"/>
      <c r="F153" s="55"/>
      <c r="G153" s="55"/>
      <c r="H153" s="64"/>
      <c r="I153" s="64"/>
      <c r="J153" s="64"/>
      <c r="K153" s="64"/>
      <c r="L153" s="64"/>
      <c r="M153" s="64"/>
      <c r="N153" s="64"/>
      <c r="O153" s="64"/>
      <c r="P153" s="64"/>
      <c r="Q153" s="64"/>
      <c r="R153" s="64"/>
      <c r="S153" s="64"/>
      <c r="T153" s="55"/>
      <c r="U153" s="55"/>
      <c r="V153" s="55"/>
      <c r="W153" s="64"/>
      <c r="X153" s="64"/>
      <c r="Y153" s="55"/>
      <c r="Z153" s="55"/>
      <c r="AA153" s="55"/>
      <c r="AB153" s="64"/>
      <c r="AC153" s="64"/>
      <c r="AD153" s="64"/>
      <c r="AE153" s="64"/>
      <c r="AF153" s="64"/>
      <c r="AG153" s="55"/>
      <c r="AH153" s="55"/>
      <c r="AI153" s="64"/>
      <c r="AJ153" s="64"/>
      <c r="AK153" s="64"/>
      <c r="AL153" s="64"/>
      <c r="AM153" s="64"/>
      <c r="AN153" s="64"/>
      <c r="AO153" s="55"/>
      <c r="AP153" s="55"/>
      <c r="AQ153" s="64"/>
      <c r="AR153" s="64"/>
      <c r="AS153" s="64"/>
      <c r="AT153" s="64"/>
      <c r="AU153" s="64"/>
      <c r="AV153" s="55"/>
      <c r="AW153" s="55"/>
      <c r="AX153" s="64"/>
      <c r="AY153" s="64"/>
      <c r="AZ153" s="64"/>
      <c r="BA153" s="64"/>
      <c r="BB153" s="64"/>
      <c r="BC153" s="55"/>
      <c r="BD153" s="55"/>
      <c r="BE153" s="64"/>
      <c r="BF153" s="55"/>
      <c r="BG153" s="64"/>
      <c r="BH153" s="64"/>
      <c r="BI153" s="64"/>
      <c r="BJ153" s="64"/>
      <c r="BK153" s="55"/>
      <c r="BL153" s="55"/>
      <c r="BM153" s="55"/>
      <c r="BN153" s="64"/>
      <c r="BO153" s="64"/>
      <c r="BP153" s="64"/>
      <c r="BQ153" s="64"/>
      <c r="BR153" s="64"/>
      <c r="BS153" s="64"/>
      <c r="BT153" s="64"/>
      <c r="BU153" s="64"/>
      <c r="BV153" s="64"/>
      <c r="BW153" s="55"/>
      <c r="BX153" s="55"/>
      <c r="BY153" s="55"/>
      <c r="BZ153" s="55"/>
      <c r="CA153" s="55"/>
      <c r="CB153" s="55"/>
      <c r="CC153" s="55"/>
      <c r="CD153" s="55"/>
      <c r="CE153" s="55"/>
      <c r="CF153" s="55"/>
      <c r="CG153" s="55"/>
      <c r="CH153" s="55"/>
    </row>
    <row r="154" ht="16.5" customHeight="1">
      <c r="A154" s="55"/>
      <c r="B154" s="55"/>
      <c r="C154" s="55"/>
      <c r="D154" s="55"/>
      <c r="E154" s="55"/>
      <c r="F154" s="55"/>
      <c r="G154" s="55"/>
      <c r="H154" s="64"/>
      <c r="I154" s="64"/>
      <c r="J154" s="64"/>
      <c r="K154" s="64"/>
      <c r="L154" s="64"/>
      <c r="M154" s="64"/>
      <c r="N154" s="64"/>
      <c r="O154" s="64"/>
      <c r="P154" s="64"/>
      <c r="Q154" s="64"/>
      <c r="R154" s="64"/>
      <c r="S154" s="64"/>
      <c r="T154" s="55"/>
      <c r="U154" s="55"/>
      <c r="V154" s="55"/>
      <c r="W154" s="64"/>
      <c r="X154" s="64"/>
      <c r="Y154" s="55"/>
      <c r="Z154" s="55"/>
      <c r="AA154" s="55"/>
      <c r="AB154" s="64"/>
      <c r="AC154" s="64"/>
      <c r="AD154" s="64"/>
      <c r="AE154" s="64"/>
      <c r="AF154" s="64"/>
      <c r="AG154" s="55"/>
      <c r="AH154" s="55"/>
      <c r="AI154" s="64"/>
      <c r="AJ154" s="64"/>
      <c r="AK154" s="64"/>
      <c r="AL154" s="64"/>
      <c r="AM154" s="64"/>
      <c r="AN154" s="64"/>
      <c r="AO154" s="55"/>
      <c r="AP154" s="55"/>
      <c r="AQ154" s="64"/>
      <c r="AR154" s="64"/>
      <c r="AS154" s="64"/>
      <c r="AT154" s="64"/>
      <c r="AU154" s="64"/>
      <c r="AV154" s="55"/>
      <c r="AW154" s="55"/>
      <c r="AX154" s="64"/>
      <c r="AY154" s="64"/>
      <c r="AZ154" s="64"/>
      <c r="BA154" s="64"/>
      <c r="BB154" s="64"/>
      <c r="BC154" s="55"/>
      <c r="BD154" s="55"/>
      <c r="BE154" s="64"/>
      <c r="BF154" s="55"/>
      <c r="BG154" s="64"/>
      <c r="BH154" s="64"/>
      <c r="BI154" s="64"/>
      <c r="BJ154" s="64"/>
      <c r="BK154" s="55"/>
      <c r="BL154" s="55"/>
      <c r="BM154" s="55"/>
      <c r="BN154" s="64"/>
      <c r="BO154" s="64"/>
      <c r="BP154" s="64"/>
      <c r="BQ154" s="64"/>
      <c r="BR154" s="64"/>
      <c r="BS154" s="64"/>
      <c r="BT154" s="64"/>
      <c r="BU154" s="64"/>
      <c r="BV154" s="64"/>
      <c r="BW154" s="55"/>
      <c r="BX154" s="55"/>
      <c r="BY154" s="55"/>
      <c r="BZ154" s="55"/>
      <c r="CA154" s="55"/>
      <c r="CB154" s="55"/>
      <c r="CC154" s="55"/>
      <c r="CD154" s="55"/>
      <c r="CE154" s="55"/>
      <c r="CF154" s="55"/>
      <c r="CG154" s="55"/>
      <c r="CH154" s="55"/>
    </row>
    <row r="155" ht="16.5" customHeight="1">
      <c r="A155" s="55"/>
      <c r="B155" s="55"/>
      <c r="C155" s="55"/>
      <c r="D155" s="55"/>
      <c r="E155" s="55"/>
      <c r="F155" s="55"/>
      <c r="G155" s="55"/>
      <c r="H155" s="64"/>
      <c r="I155" s="64"/>
      <c r="J155" s="64"/>
      <c r="K155" s="64"/>
      <c r="L155" s="64"/>
      <c r="M155" s="64"/>
      <c r="N155" s="64"/>
      <c r="O155" s="64"/>
      <c r="P155" s="64"/>
      <c r="Q155" s="64"/>
      <c r="R155" s="64"/>
      <c r="S155" s="64"/>
      <c r="T155" s="55"/>
      <c r="U155" s="55"/>
      <c r="V155" s="55"/>
      <c r="W155" s="64"/>
      <c r="X155" s="64"/>
      <c r="Y155" s="55"/>
      <c r="Z155" s="55"/>
      <c r="AA155" s="55"/>
      <c r="AB155" s="64"/>
      <c r="AC155" s="64"/>
      <c r="AD155" s="64"/>
      <c r="AE155" s="64"/>
      <c r="AF155" s="64"/>
      <c r="AG155" s="55"/>
      <c r="AH155" s="55"/>
      <c r="AI155" s="64"/>
      <c r="AJ155" s="64"/>
      <c r="AK155" s="64"/>
      <c r="AL155" s="64"/>
      <c r="AM155" s="64"/>
      <c r="AN155" s="64"/>
      <c r="AO155" s="55"/>
      <c r="AP155" s="55"/>
      <c r="AQ155" s="64"/>
      <c r="AR155" s="64"/>
      <c r="AS155" s="64"/>
      <c r="AT155" s="64"/>
      <c r="AU155" s="64"/>
      <c r="AV155" s="55"/>
      <c r="AW155" s="55"/>
      <c r="AX155" s="64"/>
      <c r="AY155" s="64"/>
      <c r="AZ155" s="64"/>
      <c r="BA155" s="64"/>
      <c r="BB155" s="64"/>
      <c r="BC155" s="55"/>
      <c r="BD155" s="55"/>
      <c r="BE155" s="64"/>
      <c r="BF155" s="55"/>
      <c r="BG155" s="64"/>
      <c r="BH155" s="64"/>
      <c r="BI155" s="64"/>
      <c r="BJ155" s="64"/>
      <c r="BK155" s="55"/>
      <c r="BL155" s="55"/>
      <c r="BM155" s="55"/>
      <c r="BN155" s="64"/>
      <c r="BO155" s="64"/>
      <c r="BP155" s="64"/>
      <c r="BQ155" s="64"/>
      <c r="BR155" s="64"/>
      <c r="BS155" s="64"/>
      <c r="BT155" s="64"/>
      <c r="BU155" s="64"/>
      <c r="BV155" s="64"/>
      <c r="BW155" s="55"/>
      <c r="BX155" s="55"/>
      <c r="BY155" s="55"/>
      <c r="BZ155" s="55"/>
      <c r="CA155" s="55"/>
      <c r="CB155" s="55"/>
      <c r="CC155" s="55"/>
      <c r="CD155" s="55"/>
      <c r="CE155" s="55"/>
      <c r="CF155" s="55"/>
      <c r="CG155" s="55"/>
      <c r="CH155" s="55"/>
    </row>
    <row r="156" ht="16.5" customHeight="1">
      <c r="A156" s="55"/>
      <c r="B156" s="55"/>
      <c r="C156" s="55"/>
      <c r="D156" s="55"/>
      <c r="E156" s="55"/>
      <c r="F156" s="55"/>
      <c r="G156" s="55"/>
      <c r="H156" s="64"/>
      <c r="I156" s="64"/>
      <c r="J156" s="64"/>
      <c r="K156" s="64"/>
      <c r="L156" s="64"/>
      <c r="M156" s="64"/>
      <c r="N156" s="64"/>
      <c r="O156" s="64"/>
      <c r="P156" s="64"/>
      <c r="Q156" s="64"/>
      <c r="R156" s="64"/>
      <c r="S156" s="64"/>
      <c r="T156" s="55"/>
      <c r="U156" s="55"/>
      <c r="V156" s="55"/>
      <c r="W156" s="64"/>
      <c r="X156" s="64"/>
      <c r="Y156" s="55"/>
      <c r="Z156" s="55"/>
      <c r="AA156" s="55"/>
      <c r="AB156" s="64"/>
      <c r="AC156" s="64"/>
      <c r="AD156" s="64"/>
      <c r="AE156" s="64"/>
      <c r="AF156" s="64"/>
      <c r="AG156" s="55"/>
      <c r="AH156" s="55"/>
      <c r="AI156" s="64"/>
      <c r="AJ156" s="64"/>
      <c r="AK156" s="64"/>
      <c r="AL156" s="64"/>
      <c r="AM156" s="64"/>
      <c r="AN156" s="64"/>
      <c r="AO156" s="55"/>
      <c r="AP156" s="55"/>
      <c r="AQ156" s="64"/>
      <c r="AR156" s="64"/>
      <c r="AS156" s="64"/>
      <c r="AT156" s="64"/>
      <c r="AU156" s="64"/>
      <c r="AV156" s="55"/>
      <c r="AW156" s="55"/>
      <c r="AX156" s="64"/>
      <c r="AY156" s="64"/>
      <c r="AZ156" s="64"/>
      <c r="BA156" s="64"/>
      <c r="BB156" s="64"/>
      <c r="BC156" s="55"/>
      <c r="BD156" s="55"/>
      <c r="BE156" s="64"/>
      <c r="BF156" s="55"/>
      <c r="BG156" s="64"/>
      <c r="BH156" s="64"/>
      <c r="BI156" s="64"/>
      <c r="BJ156" s="64"/>
      <c r="BK156" s="55"/>
      <c r="BL156" s="55"/>
      <c r="BM156" s="55"/>
      <c r="BN156" s="64"/>
      <c r="BO156" s="64"/>
      <c r="BP156" s="64"/>
      <c r="BQ156" s="64"/>
      <c r="BR156" s="64"/>
      <c r="BS156" s="64"/>
      <c r="BT156" s="64"/>
      <c r="BU156" s="64"/>
      <c r="BV156" s="64"/>
      <c r="BW156" s="55"/>
      <c r="BX156" s="55"/>
      <c r="BY156" s="55"/>
      <c r="BZ156" s="55"/>
      <c r="CA156" s="55"/>
      <c r="CB156" s="55"/>
      <c r="CC156" s="55"/>
      <c r="CD156" s="55"/>
      <c r="CE156" s="55"/>
      <c r="CF156" s="55"/>
      <c r="CG156" s="55"/>
      <c r="CH156" s="55"/>
    </row>
    <row r="157" ht="16.5" customHeight="1">
      <c r="A157" s="55"/>
      <c r="B157" s="55"/>
      <c r="C157" s="55"/>
      <c r="D157" s="55"/>
      <c r="E157" s="55"/>
      <c r="F157" s="55"/>
      <c r="G157" s="55"/>
      <c r="H157" s="64"/>
      <c r="I157" s="64"/>
      <c r="J157" s="64"/>
      <c r="K157" s="64"/>
      <c r="L157" s="64"/>
      <c r="M157" s="64"/>
      <c r="N157" s="64"/>
      <c r="O157" s="64"/>
      <c r="P157" s="64"/>
      <c r="Q157" s="64"/>
      <c r="R157" s="64"/>
      <c r="S157" s="64"/>
      <c r="T157" s="55"/>
      <c r="U157" s="55"/>
      <c r="V157" s="55"/>
      <c r="W157" s="64"/>
      <c r="X157" s="64"/>
      <c r="Y157" s="55"/>
      <c r="Z157" s="55"/>
      <c r="AA157" s="55"/>
      <c r="AB157" s="64"/>
      <c r="AC157" s="64"/>
      <c r="AD157" s="64"/>
      <c r="AE157" s="64"/>
      <c r="AF157" s="64"/>
      <c r="AG157" s="55"/>
      <c r="AH157" s="55"/>
      <c r="AI157" s="64"/>
      <c r="AJ157" s="64"/>
      <c r="AK157" s="64"/>
      <c r="AL157" s="64"/>
      <c r="AM157" s="64"/>
      <c r="AN157" s="64"/>
      <c r="AO157" s="55"/>
      <c r="AP157" s="55"/>
      <c r="AQ157" s="64"/>
      <c r="AR157" s="64"/>
      <c r="AS157" s="64"/>
      <c r="AT157" s="64"/>
      <c r="AU157" s="64"/>
      <c r="AV157" s="55"/>
      <c r="AW157" s="55"/>
      <c r="AX157" s="64"/>
      <c r="AY157" s="64"/>
      <c r="AZ157" s="64"/>
      <c r="BA157" s="64"/>
      <c r="BB157" s="64"/>
      <c r="BC157" s="55"/>
      <c r="BD157" s="55"/>
      <c r="BE157" s="64"/>
      <c r="BF157" s="55"/>
      <c r="BG157" s="64"/>
      <c r="BH157" s="64"/>
      <c r="BI157" s="64"/>
      <c r="BJ157" s="64"/>
      <c r="BK157" s="55"/>
      <c r="BL157" s="55"/>
      <c r="BM157" s="55"/>
      <c r="BN157" s="64"/>
      <c r="BO157" s="64"/>
      <c r="BP157" s="64"/>
      <c r="BQ157" s="64"/>
      <c r="BR157" s="64"/>
      <c r="BS157" s="64"/>
      <c r="BT157" s="64"/>
      <c r="BU157" s="64"/>
      <c r="BV157" s="64"/>
      <c r="BW157" s="55"/>
      <c r="BX157" s="55"/>
      <c r="BY157" s="55"/>
      <c r="BZ157" s="55"/>
      <c r="CA157" s="55"/>
      <c r="CB157" s="55"/>
      <c r="CC157" s="55"/>
      <c r="CD157" s="55"/>
      <c r="CE157" s="55"/>
      <c r="CF157" s="55"/>
      <c r="CG157" s="55"/>
      <c r="CH157" s="55"/>
    </row>
    <row r="158" ht="16.5" customHeight="1">
      <c r="A158" s="55"/>
      <c r="B158" s="55"/>
      <c r="C158" s="55"/>
      <c r="D158" s="55"/>
      <c r="E158" s="55"/>
      <c r="F158" s="55"/>
      <c r="G158" s="55"/>
      <c r="H158" s="64"/>
      <c r="I158" s="64"/>
      <c r="J158" s="64"/>
      <c r="K158" s="64"/>
      <c r="L158" s="64"/>
      <c r="M158" s="64"/>
      <c r="N158" s="64"/>
      <c r="O158" s="64"/>
      <c r="P158" s="64"/>
      <c r="Q158" s="64"/>
      <c r="R158" s="64"/>
      <c r="S158" s="64"/>
      <c r="T158" s="55"/>
      <c r="U158" s="55"/>
      <c r="V158" s="55"/>
      <c r="W158" s="64"/>
      <c r="X158" s="64"/>
      <c r="Y158" s="55"/>
      <c r="Z158" s="55"/>
      <c r="AA158" s="55"/>
      <c r="AB158" s="64"/>
      <c r="AC158" s="64"/>
      <c r="AD158" s="64"/>
      <c r="AE158" s="64"/>
      <c r="AF158" s="64"/>
      <c r="AG158" s="55"/>
      <c r="AH158" s="55"/>
      <c r="AI158" s="64"/>
      <c r="AJ158" s="64"/>
      <c r="AK158" s="64"/>
      <c r="AL158" s="64"/>
      <c r="AM158" s="64"/>
      <c r="AN158" s="64"/>
      <c r="AO158" s="55"/>
      <c r="AP158" s="55"/>
      <c r="AQ158" s="64"/>
      <c r="AR158" s="64"/>
      <c r="AS158" s="64"/>
      <c r="AT158" s="64"/>
      <c r="AU158" s="64"/>
      <c r="AV158" s="55"/>
      <c r="AW158" s="55"/>
      <c r="AX158" s="64"/>
      <c r="AY158" s="64"/>
      <c r="AZ158" s="64"/>
      <c r="BA158" s="64"/>
      <c r="BB158" s="64"/>
      <c r="BC158" s="55"/>
      <c r="BD158" s="55"/>
      <c r="BE158" s="64"/>
      <c r="BF158" s="55"/>
      <c r="BG158" s="64"/>
      <c r="BH158" s="64"/>
      <c r="BI158" s="64"/>
      <c r="BJ158" s="64"/>
      <c r="BK158" s="55"/>
      <c r="BL158" s="55"/>
      <c r="BM158" s="55"/>
      <c r="BN158" s="64"/>
      <c r="BO158" s="64"/>
      <c r="BP158" s="64"/>
      <c r="BQ158" s="64"/>
      <c r="BR158" s="64"/>
      <c r="BS158" s="64"/>
      <c r="BT158" s="64"/>
      <c r="BU158" s="64"/>
      <c r="BV158" s="64"/>
      <c r="BW158" s="55"/>
      <c r="BX158" s="55"/>
      <c r="BY158" s="55"/>
      <c r="BZ158" s="55"/>
      <c r="CA158" s="55"/>
      <c r="CB158" s="55"/>
      <c r="CC158" s="55"/>
      <c r="CD158" s="55"/>
      <c r="CE158" s="55"/>
      <c r="CF158" s="55"/>
      <c r="CG158" s="55"/>
      <c r="CH158" s="55"/>
    </row>
    <row r="159" ht="16.5" customHeight="1">
      <c r="A159" s="55"/>
      <c r="B159" s="55"/>
      <c r="C159" s="55"/>
      <c r="D159" s="55"/>
      <c r="E159" s="55"/>
      <c r="F159" s="55"/>
      <c r="G159" s="55"/>
      <c r="H159" s="64"/>
      <c r="I159" s="64"/>
      <c r="J159" s="64"/>
      <c r="K159" s="64"/>
      <c r="L159" s="64"/>
      <c r="M159" s="64"/>
      <c r="N159" s="64"/>
      <c r="O159" s="64"/>
      <c r="P159" s="64"/>
      <c r="Q159" s="64"/>
      <c r="R159" s="64"/>
      <c r="S159" s="64"/>
      <c r="T159" s="55"/>
      <c r="U159" s="55"/>
      <c r="V159" s="55"/>
      <c r="W159" s="64"/>
      <c r="X159" s="64"/>
      <c r="Y159" s="55"/>
      <c r="Z159" s="55"/>
      <c r="AA159" s="55"/>
      <c r="AB159" s="64"/>
      <c r="AC159" s="64"/>
      <c r="AD159" s="64"/>
      <c r="AE159" s="64"/>
      <c r="AF159" s="64"/>
      <c r="AG159" s="55"/>
      <c r="AH159" s="55"/>
      <c r="AI159" s="64"/>
      <c r="AJ159" s="64"/>
      <c r="AK159" s="64"/>
      <c r="AL159" s="64"/>
      <c r="AM159" s="64"/>
      <c r="AN159" s="64"/>
      <c r="AO159" s="55"/>
      <c r="AP159" s="55"/>
      <c r="AQ159" s="64"/>
      <c r="AR159" s="64"/>
      <c r="AS159" s="64"/>
      <c r="AT159" s="64"/>
      <c r="AU159" s="64"/>
      <c r="AV159" s="55"/>
      <c r="AW159" s="55"/>
      <c r="AX159" s="64"/>
      <c r="AY159" s="64"/>
      <c r="AZ159" s="64"/>
      <c r="BA159" s="64"/>
      <c r="BB159" s="64"/>
      <c r="BC159" s="55"/>
      <c r="BD159" s="55"/>
      <c r="BE159" s="64"/>
      <c r="BF159" s="55"/>
      <c r="BG159" s="64"/>
      <c r="BH159" s="64"/>
      <c r="BI159" s="64"/>
      <c r="BJ159" s="64"/>
      <c r="BK159" s="55"/>
      <c r="BL159" s="55"/>
      <c r="BM159" s="55"/>
      <c r="BN159" s="64"/>
      <c r="BO159" s="64"/>
      <c r="BP159" s="64"/>
      <c r="BQ159" s="64"/>
      <c r="BR159" s="64"/>
      <c r="BS159" s="64"/>
      <c r="BT159" s="64"/>
      <c r="BU159" s="64"/>
      <c r="BV159" s="64"/>
      <c r="BW159" s="55"/>
      <c r="BX159" s="55"/>
      <c r="BY159" s="55"/>
      <c r="BZ159" s="55"/>
      <c r="CA159" s="55"/>
      <c r="CB159" s="55"/>
      <c r="CC159" s="55"/>
      <c r="CD159" s="55"/>
      <c r="CE159" s="55"/>
      <c r="CF159" s="55"/>
      <c r="CG159" s="55"/>
      <c r="CH159" s="55"/>
    </row>
    <row r="160" ht="16.5" customHeight="1">
      <c r="A160" s="55"/>
      <c r="B160" s="55"/>
      <c r="C160" s="55"/>
      <c r="D160" s="55"/>
      <c r="E160" s="55"/>
      <c r="F160" s="55"/>
      <c r="G160" s="55"/>
      <c r="H160" s="64"/>
      <c r="I160" s="64"/>
      <c r="J160" s="64"/>
      <c r="K160" s="64"/>
      <c r="L160" s="64"/>
      <c r="M160" s="64"/>
      <c r="N160" s="64"/>
      <c r="O160" s="64"/>
      <c r="P160" s="64"/>
      <c r="Q160" s="64"/>
      <c r="R160" s="64"/>
      <c r="S160" s="64"/>
      <c r="T160" s="55"/>
      <c r="U160" s="55"/>
      <c r="V160" s="55"/>
      <c r="W160" s="64"/>
      <c r="X160" s="64"/>
      <c r="Y160" s="55"/>
      <c r="Z160" s="55"/>
      <c r="AA160" s="55"/>
      <c r="AB160" s="64"/>
      <c r="AC160" s="64"/>
      <c r="AD160" s="64"/>
      <c r="AE160" s="64"/>
      <c r="AF160" s="64"/>
      <c r="AG160" s="55"/>
      <c r="AH160" s="55"/>
      <c r="AI160" s="64"/>
      <c r="AJ160" s="64"/>
      <c r="AK160" s="64"/>
      <c r="AL160" s="64"/>
      <c r="AM160" s="64"/>
      <c r="AN160" s="64"/>
      <c r="AO160" s="55"/>
      <c r="AP160" s="55"/>
      <c r="AQ160" s="64"/>
      <c r="AR160" s="64"/>
      <c r="AS160" s="64"/>
      <c r="AT160" s="64"/>
      <c r="AU160" s="64"/>
      <c r="AV160" s="55"/>
      <c r="AW160" s="55"/>
      <c r="AX160" s="64"/>
      <c r="AY160" s="64"/>
      <c r="AZ160" s="64"/>
      <c r="BA160" s="64"/>
      <c r="BB160" s="64"/>
      <c r="BC160" s="55"/>
      <c r="BD160" s="55"/>
      <c r="BE160" s="64"/>
      <c r="BF160" s="55"/>
      <c r="BG160" s="64"/>
      <c r="BH160" s="64"/>
      <c r="BI160" s="64"/>
      <c r="BJ160" s="64"/>
      <c r="BK160" s="55"/>
      <c r="BL160" s="55"/>
      <c r="BM160" s="55"/>
      <c r="BN160" s="64"/>
      <c r="BO160" s="64"/>
      <c r="BP160" s="64"/>
      <c r="BQ160" s="64"/>
      <c r="BR160" s="64"/>
      <c r="BS160" s="64"/>
      <c r="BT160" s="64"/>
      <c r="BU160" s="64"/>
      <c r="BV160" s="64"/>
      <c r="BW160" s="55"/>
      <c r="BX160" s="55"/>
      <c r="BY160" s="55"/>
      <c r="BZ160" s="55"/>
      <c r="CA160" s="55"/>
      <c r="CB160" s="55"/>
      <c r="CC160" s="55"/>
      <c r="CD160" s="55"/>
      <c r="CE160" s="55"/>
      <c r="CF160" s="55"/>
      <c r="CG160" s="55"/>
      <c r="CH160" s="55"/>
    </row>
    <row r="161" ht="16.5" customHeight="1">
      <c r="A161" s="55"/>
      <c r="B161" s="55"/>
      <c r="C161" s="55"/>
      <c r="D161" s="55"/>
      <c r="E161" s="55"/>
      <c r="F161" s="55"/>
      <c r="G161" s="55"/>
      <c r="H161" s="64"/>
      <c r="I161" s="64"/>
      <c r="J161" s="64"/>
      <c r="K161" s="64"/>
      <c r="L161" s="64"/>
      <c r="M161" s="64"/>
      <c r="N161" s="64"/>
      <c r="O161" s="64"/>
      <c r="P161" s="64"/>
      <c r="Q161" s="64"/>
      <c r="R161" s="64"/>
      <c r="S161" s="64"/>
      <c r="T161" s="55"/>
      <c r="U161" s="55"/>
      <c r="V161" s="55"/>
      <c r="W161" s="64"/>
      <c r="X161" s="64"/>
      <c r="Y161" s="55"/>
      <c r="Z161" s="55"/>
      <c r="AA161" s="55"/>
      <c r="AB161" s="64"/>
      <c r="AC161" s="64"/>
      <c r="AD161" s="64"/>
      <c r="AE161" s="64"/>
      <c r="AF161" s="64"/>
      <c r="AG161" s="55"/>
      <c r="AH161" s="55"/>
      <c r="AI161" s="64"/>
      <c r="AJ161" s="64"/>
      <c r="AK161" s="64"/>
      <c r="AL161" s="64"/>
      <c r="AM161" s="64"/>
      <c r="AN161" s="64"/>
      <c r="AO161" s="55"/>
      <c r="AP161" s="55"/>
      <c r="AQ161" s="64"/>
      <c r="AR161" s="64"/>
      <c r="AS161" s="64"/>
      <c r="AT161" s="64"/>
      <c r="AU161" s="64"/>
      <c r="AV161" s="55"/>
      <c r="AW161" s="55"/>
      <c r="AX161" s="64"/>
      <c r="AY161" s="64"/>
      <c r="AZ161" s="64"/>
      <c r="BA161" s="64"/>
      <c r="BB161" s="64"/>
      <c r="BC161" s="55"/>
      <c r="BD161" s="55"/>
      <c r="BE161" s="64"/>
      <c r="BF161" s="55"/>
      <c r="BG161" s="64"/>
      <c r="BH161" s="64"/>
      <c r="BI161" s="64"/>
      <c r="BJ161" s="64"/>
      <c r="BK161" s="55"/>
      <c r="BL161" s="55"/>
      <c r="BM161" s="55"/>
      <c r="BN161" s="64"/>
      <c r="BO161" s="64"/>
      <c r="BP161" s="64"/>
      <c r="BQ161" s="64"/>
      <c r="BR161" s="64"/>
      <c r="BS161" s="64"/>
      <c r="BT161" s="64"/>
      <c r="BU161" s="64"/>
      <c r="BV161" s="64"/>
      <c r="BW161" s="55"/>
      <c r="BX161" s="55"/>
      <c r="BY161" s="55"/>
      <c r="BZ161" s="55"/>
      <c r="CA161" s="55"/>
      <c r="CB161" s="55"/>
      <c r="CC161" s="55"/>
      <c r="CD161" s="55"/>
      <c r="CE161" s="55"/>
      <c r="CF161" s="55"/>
      <c r="CG161" s="55"/>
      <c r="CH161" s="55"/>
    </row>
    <row r="162" ht="16.5" customHeight="1">
      <c r="A162" s="55"/>
      <c r="B162" s="55"/>
      <c r="C162" s="55"/>
      <c r="D162" s="55"/>
      <c r="E162" s="55"/>
      <c r="F162" s="55"/>
      <c r="G162" s="55"/>
      <c r="H162" s="64"/>
      <c r="I162" s="64"/>
      <c r="J162" s="64"/>
      <c r="K162" s="64"/>
      <c r="L162" s="64"/>
      <c r="M162" s="64"/>
      <c r="N162" s="64"/>
      <c r="O162" s="64"/>
      <c r="P162" s="64"/>
      <c r="Q162" s="64"/>
      <c r="R162" s="64"/>
      <c r="S162" s="64"/>
      <c r="T162" s="55"/>
      <c r="U162" s="55"/>
      <c r="V162" s="55"/>
      <c r="W162" s="64"/>
      <c r="X162" s="64"/>
      <c r="Y162" s="55"/>
      <c r="Z162" s="55"/>
      <c r="AA162" s="55"/>
      <c r="AB162" s="64"/>
      <c r="AC162" s="64"/>
      <c r="AD162" s="64"/>
      <c r="AE162" s="64"/>
      <c r="AF162" s="64"/>
      <c r="AG162" s="55"/>
      <c r="AH162" s="55"/>
      <c r="AI162" s="64"/>
      <c r="AJ162" s="64"/>
      <c r="AK162" s="64"/>
      <c r="AL162" s="64"/>
      <c r="AM162" s="64"/>
      <c r="AN162" s="64"/>
      <c r="AO162" s="55"/>
      <c r="AP162" s="55"/>
      <c r="AQ162" s="64"/>
      <c r="AR162" s="64"/>
      <c r="AS162" s="64"/>
      <c r="AT162" s="64"/>
      <c r="AU162" s="64"/>
      <c r="AV162" s="55"/>
      <c r="AW162" s="55"/>
      <c r="AX162" s="64"/>
      <c r="AY162" s="64"/>
      <c r="AZ162" s="64"/>
      <c r="BA162" s="64"/>
      <c r="BB162" s="64"/>
      <c r="BC162" s="55"/>
      <c r="BD162" s="55"/>
      <c r="BE162" s="64"/>
      <c r="BF162" s="55"/>
      <c r="BG162" s="64"/>
      <c r="BH162" s="64"/>
      <c r="BI162" s="64"/>
      <c r="BJ162" s="64"/>
      <c r="BK162" s="55"/>
      <c r="BL162" s="55"/>
      <c r="BM162" s="55"/>
      <c r="BN162" s="64"/>
      <c r="BO162" s="64"/>
      <c r="BP162" s="64"/>
      <c r="BQ162" s="64"/>
      <c r="BR162" s="64"/>
      <c r="BS162" s="64"/>
      <c r="BT162" s="64"/>
      <c r="BU162" s="64"/>
      <c r="BV162" s="64"/>
      <c r="BW162" s="55"/>
      <c r="BX162" s="55"/>
      <c r="BY162" s="55"/>
      <c r="BZ162" s="55"/>
      <c r="CA162" s="55"/>
      <c r="CB162" s="55"/>
      <c r="CC162" s="55"/>
      <c r="CD162" s="55"/>
      <c r="CE162" s="55"/>
      <c r="CF162" s="55"/>
      <c r="CG162" s="55"/>
      <c r="CH162" s="55"/>
    </row>
    <row r="163" ht="16.5" customHeight="1">
      <c r="A163" s="55"/>
      <c r="B163" s="55"/>
      <c r="C163" s="55"/>
      <c r="D163" s="55"/>
      <c r="E163" s="55"/>
      <c r="F163" s="55"/>
      <c r="G163" s="55"/>
      <c r="H163" s="64"/>
      <c r="I163" s="64"/>
      <c r="J163" s="64"/>
      <c r="K163" s="64"/>
      <c r="L163" s="64"/>
      <c r="M163" s="64"/>
      <c r="N163" s="64"/>
      <c r="O163" s="64"/>
      <c r="P163" s="64"/>
      <c r="Q163" s="64"/>
      <c r="R163" s="64"/>
      <c r="S163" s="64"/>
      <c r="T163" s="55"/>
      <c r="U163" s="55"/>
      <c r="V163" s="55"/>
      <c r="W163" s="64"/>
      <c r="X163" s="64"/>
      <c r="Y163" s="55"/>
      <c r="Z163" s="55"/>
      <c r="AA163" s="55"/>
      <c r="AB163" s="64"/>
      <c r="AC163" s="64"/>
      <c r="AD163" s="64"/>
      <c r="AE163" s="64"/>
      <c r="AF163" s="64"/>
      <c r="AG163" s="55"/>
      <c r="AH163" s="55"/>
      <c r="AI163" s="64"/>
      <c r="AJ163" s="64"/>
      <c r="AK163" s="64"/>
      <c r="AL163" s="64"/>
      <c r="AM163" s="64"/>
      <c r="AN163" s="64"/>
      <c r="AO163" s="55"/>
      <c r="AP163" s="55"/>
      <c r="AQ163" s="64"/>
      <c r="AR163" s="64"/>
      <c r="AS163" s="64"/>
      <c r="AT163" s="64"/>
      <c r="AU163" s="64"/>
      <c r="AV163" s="55"/>
      <c r="AW163" s="55"/>
      <c r="AX163" s="64"/>
      <c r="AY163" s="64"/>
      <c r="AZ163" s="64"/>
      <c r="BA163" s="64"/>
      <c r="BB163" s="64"/>
      <c r="BC163" s="55"/>
      <c r="BD163" s="55"/>
      <c r="BE163" s="64"/>
      <c r="BF163" s="55"/>
      <c r="BG163" s="64"/>
      <c r="BH163" s="64"/>
      <c r="BI163" s="64"/>
      <c r="BJ163" s="64"/>
      <c r="BK163" s="55"/>
      <c r="BL163" s="55"/>
      <c r="BM163" s="55"/>
      <c r="BN163" s="64"/>
      <c r="BO163" s="64"/>
      <c r="BP163" s="64"/>
      <c r="BQ163" s="64"/>
      <c r="BR163" s="64"/>
      <c r="BS163" s="64"/>
      <c r="BT163" s="64"/>
      <c r="BU163" s="64"/>
      <c r="BV163" s="64"/>
      <c r="BW163" s="55"/>
      <c r="BX163" s="55"/>
      <c r="BY163" s="55"/>
      <c r="BZ163" s="55"/>
      <c r="CA163" s="55"/>
      <c r="CB163" s="55"/>
      <c r="CC163" s="55"/>
      <c r="CD163" s="55"/>
      <c r="CE163" s="55"/>
      <c r="CF163" s="55"/>
      <c r="CG163" s="55"/>
      <c r="CH163" s="55"/>
    </row>
    <row r="164" ht="16.5" customHeight="1">
      <c r="A164" s="55"/>
      <c r="B164" s="55"/>
      <c r="C164" s="55"/>
      <c r="D164" s="55"/>
      <c r="E164" s="55"/>
      <c r="F164" s="55"/>
      <c r="G164" s="55"/>
      <c r="H164" s="64"/>
      <c r="I164" s="64"/>
      <c r="J164" s="64"/>
      <c r="K164" s="64"/>
      <c r="L164" s="64"/>
      <c r="M164" s="64"/>
      <c r="N164" s="64"/>
      <c r="O164" s="64"/>
      <c r="P164" s="64"/>
      <c r="Q164" s="64"/>
      <c r="R164" s="64"/>
      <c r="S164" s="64"/>
      <c r="T164" s="55"/>
      <c r="U164" s="55"/>
      <c r="V164" s="55"/>
      <c r="W164" s="64"/>
      <c r="X164" s="64"/>
      <c r="Y164" s="55"/>
      <c r="Z164" s="55"/>
      <c r="AA164" s="55"/>
      <c r="AB164" s="64"/>
      <c r="AC164" s="64"/>
      <c r="AD164" s="64"/>
      <c r="AE164" s="64"/>
      <c r="AF164" s="64"/>
      <c r="AG164" s="55"/>
      <c r="AH164" s="55"/>
      <c r="AI164" s="64"/>
      <c r="AJ164" s="64"/>
      <c r="AK164" s="64"/>
      <c r="AL164" s="64"/>
      <c r="AM164" s="64"/>
      <c r="AN164" s="64"/>
      <c r="AO164" s="55"/>
      <c r="AP164" s="55"/>
      <c r="AQ164" s="64"/>
      <c r="AR164" s="64"/>
      <c r="AS164" s="64"/>
      <c r="AT164" s="64"/>
      <c r="AU164" s="64"/>
      <c r="AV164" s="55"/>
      <c r="AW164" s="55"/>
      <c r="AX164" s="64"/>
      <c r="AY164" s="64"/>
      <c r="AZ164" s="64"/>
      <c r="BA164" s="64"/>
      <c r="BB164" s="64"/>
      <c r="BC164" s="55"/>
      <c r="BD164" s="55"/>
      <c r="BE164" s="64"/>
      <c r="BF164" s="55"/>
      <c r="BG164" s="64"/>
      <c r="BH164" s="64"/>
      <c r="BI164" s="64"/>
      <c r="BJ164" s="64"/>
      <c r="BK164" s="55"/>
      <c r="BL164" s="55"/>
      <c r="BM164" s="55"/>
      <c r="BN164" s="64"/>
      <c r="BO164" s="64"/>
      <c r="BP164" s="64"/>
      <c r="BQ164" s="64"/>
      <c r="BR164" s="64"/>
      <c r="BS164" s="64"/>
      <c r="BT164" s="64"/>
      <c r="BU164" s="64"/>
      <c r="BV164" s="64"/>
      <c r="BW164" s="55"/>
      <c r="BX164" s="55"/>
      <c r="BY164" s="55"/>
      <c r="BZ164" s="55"/>
      <c r="CA164" s="55"/>
      <c r="CB164" s="55"/>
      <c r="CC164" s="55"/>
      <c r="CD164" s="55"/>
      <c r="CE164" s="55"/>
      <c r="CF164" s="55"/>
      <c r="CG164" s="55"/>
      <c r="CH164" s="55"/>
    </row>
    <row r="165" ht="16.5" customHeight="1">
      <c r="A165" s="55"/>
      <c r="B165" s="55"/>
      <c r="C165" s="55"/>
      <c r="D165" s="55"/>
      <c r="E165" s="55"/>
      <c r="F165" s="55"/>
      <c r="G165" s="55"/>
      <c r="H165" s="64"/>
      <c r="I165" s="64"/>
      <c r="J165" s="64"/>
      <c r="K165" s="64"/>
      <c r="L165" s="64"/>
      <c r="M165" s="64"/>
      <c r="N165" s="64"/>
      <c r="O165" s="64"/>
      <c r="P165" s="64"/>
      <c r="Q165" s="64"/>
      <c r="R165" s="64"/>
      <c r="S165" s="64"/>
      <c r="T165" s="55"/>
      <c r="U165" s="55"/>
      <c r="V165" s="55"/>
      <c r="W165" s="64"/>
      <c r="X165" s="64"/>
      <c r="Y165" s="55"/>
      <c r="Z165" s="55"/>
      <c r="AA165" s="55"/>
      <c r="AB165" s="64"/>
      <c r="AC165" s="64"/>
      <c r="AD165" s="64"/>
      <c r="AE165" s="64"/>
      <c r="AF165" s="64"/>
      <c r="AG165" s="55"/>
      <c r="AH165" s="55"/>
      <c r="AI165" s="64"/>
      <c r="AJ165" s="64"/>
      <c r="AK165" s="64"/>
      <c r="AL165" s="64"/>
      <c r="AM165" s="64"/>
      <c r="AN165" s="64"/>
      <c r="AO165" s="55"/>
      <c r="AP165" s="55"/>
      <c r="AQ165" s="64"/>
      <c r="AR165" s="64"/>
      <c r="AS165" s="64"/>
      <c r="AT165" s="64"/>
      <c r="AU165" s="64"/>
      <c r="AV165" s="55"/>
      <c r="AW165" s="55"/>
      <c r="AX165" s="64"/>
      <c r="AY165" s="64"/>
      <c r="AZ165" s="64"/>
      <c r="BA165" s="64"/>
      <c r="BB165" s="64"/>
      <c r="BC165" s="55"/>
      <c r="BD165" s="55"/>
      <c r="BE165" s="64"/>
      <c r="BF165" s="55"/>
      <c r="BG165" s="64"/>
      <c r="BH165" s="64"/>
      <c r="BI165" s="64"/>
      <c r="BJ165" s="64"/>
      <c r="BK165" s="55"/>
      <c r="BL165" s="55"/>
      <c r="BM165" s="55"/>
      <c r="BN165" s="64"/>
      <c r="BO165" s="64"/>
      <c r="BP165" s="64"/>
      <c r="BQ165" s="64"/>
      <c r="BR165" s="64"/>
      <c r="BS165" s="64"/>
      <c r="BT165" s="64"/>
      <c r="BU165" s="64"/>
      <c r="BV165" s="64"/>
      <c r="BW165" s="55"/>
      <c r="BX165" s="55"/>
      <c r="BY165" s="55"/>
      <c r="BZ165" s="55"/>
      <c r="CA165" s="55"/>
      <c r="CB165" s="55"/>
      <c r="CC165" s="55"/>
      <c r="CD165" s="55"/>
      <c r="CE165" s="55"/>
      <c r="CF165" s="55"/>
      <c r="CG165" s="55"/>
      <c r="CH165" s="55"/>
    </row>
    <row r="166" ht="16.5" customHeight="1">
      <c r="A166" s="55"/>
      <c r="B166" s="55"/>
      <c r="C166" s="55"/>
      <c r="D166" s="55"/>
      <c r="E166" s="55"/>
      <c r="F166" s="55"/>
      <c r="G166" s="55"/>
      <c r="H166" s="64"/>
      <c r="I166" s="64"/>
      <c r="J166" s="64"/>
      <c r="K166" s="64"/>
      <c r="L166" s="64"/>
      <c r="M166" s="64"/>
      <c r="N166" s="64"/>
      <c r="O166" s="64"/>
      <c r="P166" s="64"/>
      <c r="Q166" s="64"/>
      <c r="R166" s="64"/>
      <c r="S166" s="64"/>
      <c r="T166" s="55"/>
      <c r="U166" s="55"/>
      <c r="V166" s="55"/>
      <c r="W166" s="64"/>
      <c r="X166" s="64"/>
      <c r="Y166" s="55"/>
      <c r="Z166" s="55"/>
      <c r="AA166" s="55"/>
      <c r="AB166" s="64"/>
      <c r="AC166" s="64"/>
      <c r="AD166" s="64"/>
      <c r="AE166" s="64"/>
      <c r="AF166" s="64"/>
      <c r="AG166" s="55"/>
      <c r="AH166" s="55"/>
      <c r="AI166" s="64"/>
      <c r="AJ166" s="64"/>
      <c r="AK166" s="64"/>
      <c r="AL166" s="64"/>
      <c r="AM166" s="64"/>
      <c r="AN166" s="64"/>
      <c r="AO166" s="55"/>
      <c r="AP166" s="55"/>
      <c r="AQ166" s="64"/>
      <c r="AR166" s="64"/>
      <c r="AS166" s="64"/>
      <c r="AT166" s="64"/>
      <c r="AU166" s="64"/>
      <c r="AV166" s="55"/>
      <c r="AW166" s="55"/>
      <c r="AX166" s="64"/>
      <c r="AY166" s="64"/>
      <c r="AZ166" s="64"/>
      <c r="BA166" s="64"/>
      <c r="BB166" s="64"/>
      <c r="BC166" s="55"/>
      <c r="BD166" s="55"/>
      <c r="BE166" s="64"/>
      <c r="BF166" s="55"/>
      <c r="BG166" s="64"/>
      <c r="BH166" s="64"/>
      <c r="BI166" s="64"/>
      <c r="BJ166" s="64"/>
      <c r="BK166" s="55"/>
      <c r="BL166" s="55"/>
      <c r="BM166" s="55"/>
      <c r="BN166" s="64"/>
      <c r="BO166" s="64"/>
      <c r="BP166" s="64"/>
      <c r="BQ166" s="64"/>
      <c r="BR166" s="64"/>
      <c r="BS166" s="64"/>
      <c r="BT166" s="64"/>
      <c r="BU166" s="64"/>
      <c r="BV166" s="64"/>
      <c r="BW166" s="55"/>
      <c r="BX166" s="55"/>
      <c r="BY166" s="55"/>
      <c r="BZ166" s="55"/>
      <c r="CA166" s="55"/>
      <c r="CB166" s="55"/>
      <c r="CC166" s="55"/>
      <c r="CD166" s="55"/>
      <c r="CE166" s="55"/>
      <c r="CF166" s="55"/>
      <c r="CG166" s="55"/>
      <c r="CH166" s="55"/>
    </row>
    <row r="167" ht="16.5" customHeight="1">
      <c r="A167" s="55"/>
      <c r="B167" s="55"/>
      <c r="C167" s="55"/>
      <c r="D167" s="55"/>
      <c r="E167" s="55"/>
      <c r="F167" s="55"/>
      <c r="G167" s="55"/>
      <c r="H167" s="64"/>
      <c r="I167" s="64"/>
      <c r="J167" s="64"/>
      <c r="K167" s="64"/>
      <c r="L167" s="64"/>
      <c r="M167" s="64"/>
      <c r="N167" s="64"/>
      <c r="O167" s="64"/>
      <c r="P167" s="64"/>
      <c r="Q167" s="64"/>
      <c r="R167" s="64"/>
      <c r="S167" s="64"/>
      <c r="T167" s="55"/>
      <c r="U167" s="55"/>
      <c r="V167" s="55"/>
      <c r="W167" s="64"/>
      <c r="X167" s="64"/>
      <c r="Y167" s="55"/>
      <c r="Z167" s="55"/>
      <c r="AA167" s="55"/>
      <c r="AB167" s="64"/>
      <c r="AC167" s="64"/>
      <c r="AD167" s="64"/>
      <c r="AE167" s="64"/>
      <c r="AF167" s="64"/>
      <c r="AG167" s="55"/>
      <c r="AH167" s="55"/>
      <c r="AI167" s="64"/>
      <c r="AJ167" s="64"/>
      <c r="AK167" s="64"/>
      <c r="AL167" s="64"/>
      <c r="AM167" s="64"/>
      <c r="AN167" s="64"/>
      <c r="AO167" s="55"/>
      <c r="AP167" s="55"/>
      <c r="AQ167" s="64"/>
      <c r="AR167" s="64"/>
      <c r="AS167" s="64"/>
      <c r="AT167" s="64"/>
      <c r="AU167" s="64"/>
      <c r="AV167" s="55"/>
      <c r="AW167" s="55"/>
      <c r="AX167" s="64"/>
      <c r="AY167" s="64"/>
      <c r="AZ167" s="64"/>
      <c r="BA167" s="64"/>
      <c r="BB167" s="64"/>
      <c r="BC167" s="55"/>
      <c r="BD167" s="55"/>
      <c r="BE167" s="64"/>
      <c r="BF167" s="55"/>
      <c r="BG167" s="64"/>
      <c r="BH167" s="64"/>
      <c r="BI167" s="64"/>
      <c r="BJ167" s="64"/>
      <c r="BK167" s="55"/>
      <c r="BL167" s="55"/>
      <c r="BM167" s="55"/>
      <c r="BN167" s="64"/>
      <c r="BO167" s="64"/>
      <c r="BP167" s="64"/>
      <c r="BQ167" s="64"/>
      <c r="BR167" s="64"/>
      <c r="BS167" s="64"/>
      <c r="BT167" s="64"/>
      <c r="BU167" s="64"/>
      <c r="BV167" s="64"/>
      <c r="BW167" s="55"/>
      <c r="BX167" s="55"/>
      <c r="BY167" s="55"/>
      <c r="BZ167" s="55"/>
      <c r="CA167" s="55"/>
      <c r="CB167" s="55"/>
      <c r="CC167" s="55"/>
      <c r="CD167" s="55"/>
      <c r="CE167" s="55"/>
      <c r="CF167" s="55"/>
      <c r="CG167" s="55"/>
      <c r="CH167" s="55"/>
    </row>
    <row r="168" ht="16.5" customHeight="1">
      <c r="A168" s="55"/>
      <c r="B168" s="55"/>
      <c r="C168" s="55"/>
      <c r="D168" s="55"/>
      <c r="E168" s="55"/>
      <c r="F168" s="55"/>
      <c r="G168" s="55"/>
      <c r="H168" s="64"/>
      <c r="I168" s="64"/>
      <c r="J168" s="64"/>
      <c r="K168" s="64"/>
      <c r="L168" s="64"/>
      <c r="M168" s="64"/>
      <c r="N168" s="64"/>
      <c r="O168" s="64"/>
      <c r="P168" s="64"/>
      <c r="Q168" s="64"/>
      <c r="R168" s="64"/>
      <c r="S168" s="64"/>
      <c r="T168" s="55"/>
      <c r="U168" s="55"/>
      <c r="V168" s="55"/>
      <c r="W168" s="64"/>
      <c r="X168" s="64"/>
      <c r="Y168" s="55"/>
      <c r="Z168" s="55"/>
      <c r="AA168" s="55"/>
      <c r="AB168" s="64"/>
      <c r="AC168" s="64"/>
      <c r="AD168" s="64"/>
      <c r="AE168" s="64"/>
      <c r="AF168" s="64"/>
      <c r="AG168" s="55"/>
      <c r="AH168" s="55"/>
      <c r="AI168" s="64"/>
      <c r="AJ168" s="64"/>
      <c r="AK168" s="64"/>
      <c r="AL168" s="64"/>
      <c r="AM168" s="64"/>
      <c r="AN168" s="64"/>
      <c r="AO168" s="55"/>
      <c r="AP168" s="55"/>
      <c r="AQ168" s="64"/>
      <c r="AR168" s="64"/>
      <c r="AS168" s="64"/>
      <c r="AT168" s="64"/>
      <c r="AU168" s="64"/>
      <c r="AV168" s="55"/>
      <c r="AW168" s="55"/>
      <c r="AX168" s="64"/>
      <c r="AY168" s="64"/>
      <c r="AZ168" s="64"/>
      <c r="BA168" s="64"/>
      <c r="BB168" s="64"/>
      <c r="BC168" s="55"/>
      <c r="BD168" s="55"/>
      <c r="BE168" s="64"/>
      <c r="BF168" s="55"/>
      <c r="BG168" s="64"/>
      <c r="BH168" s="64"/>
      <c r="BI168" s="64"/>
      <c r="BJ168" s="64"/>
      <c r="BK168" s="55"/>
      <c r="BL168" s="55"/>
      <c r="BM168" s="55"/>
      <c r="BN168" s="64"/>
      <c r="BO168" s="64"/>
      <c r="BP168" s="64"/>
      <c r="BQ168" s="64"/>
      <c r="BR168" s="64"/>
      <c r="BS168" s="64"/>
      <c r="BT168" s="64"/>
      <c r="BU168" s="64"/>
      <c r="BV168" s="64"/>
      <c r="BW168" s="55"/>
      <c r="BX168" s="55"/>
      <c r="BY168" s="55"/>
      <c r="BZ168" s="55"/>
      <c r="CA168" s="55"/>
      <c r="CB168" s="55"/>
      <c r="CC168" s="55"/>
      <c r="CD168" s="55"/>
      <c r="CE168" s="55"/>
      <c r="CF168" s="55"/>
      <c r="CG168" s="55"/>
      <c r="CH168" s="55"/>
    </row>
    <row r="169" ht="16.5" customHeight="1">
      <c r="A169" s="55"/>
      <c r="B169" s="55"/>
      <c r="C169" s="55"/>
      <c r="D169" s="55"/>
      <c r="E169" s="55"/>
      <c r="F169" s="55"/>
      <c r="G169" s="55"/>
      <c r="H169" s="64"/>
      <c r="I169" s="64"/>
      <c r="J169" s="64"/>
      <c r="K169" s="64"/>
      <c r="L169" s="64"/>
      <c r="M169" s="64"/>
      <c r="N169" s="64"/>
      <c r="O169" s="64"/>
      <c r="P169" s="64"/>
      <c r="Q169" s="64"/>
      <c r="R169" s="64"/>
      <c r="S169" s="64"/>
      <c r="T169" s="55"/>
      <c r="U169" s="55"/>
      <c r="V169" s="55"/>
      <c r="W169" s="64"/>
      <c r="X169" s="64"/>
      <c r="Y169" s="55"/>
      <c r="Z169" s="55"/>
      <c r="AA169" s="55"/>
      <c r="AB169" s="64"/>
      <c r="AC169" s="64"/>
      <c r="AD169" s="64"/>
      <c r="AE169" s="64"/>
      <c r="AF169" s="64"/>
      <c r="AG169" s="55"/>
      <c r="AH169" s="55"/>
      <c r="AI169" s="64"/>
      <c r="AJ169" s="64"/>
      <c r="AK169" s="64"/>
      <c r="AL169" s="64"/>
      <c r="AM169" s="64"/>
      <c r="AN169" s="64"/>
      <c r="AO169" s="55"/>
      <c r="AP169" s="55"/>
      <c r="AQ169" s="64"/>
      <c r="AR169" s="64"/>
      <c r="AS169" s="64"/>
      <c r="AT169" s="64"/>
      <c r="AU169" s="64"/>
      <c r="AV169" s="55"/>
      <c r="AW169" s="55"/>
      <c r="AX169" s="64"/>
      <c r="AY169" s="64"/>
      <c r="AZ169" s="64"/>
      <c r="BA169" s="64"/>
      <c r="BB169" s="64"/>
      <c r="BC169" s="55"/>
      <c r="BD169" s="55"/>
      <c r="BE169" s="64"/>
      <c r="BF169" s="55"/>
      <c r="BG169" s="64"/>
      <c r="BH169" s="64"/>
      <c r="BI169" s="64"/>
      <c r="BJ169" s="64"/>
      <c r="BK169" s="55"/>
      <c r="BL169" s="55"/>
      <c r="BM169" s="55"/>
      <c r="BN169" s="64"/>
      <c r="BO169" s="64"/>
      <c r="BP169" s="64"/>
      <c r="BQ169" s="64"/>
      <c r="BR169" s="64"/>
      <c r="BS169" s="64"/>
      <c r="BT169" s="64"/>
      <c r="BU169" s="64"/>
      <c r="BV169" s="64"/>
      <c r="BW169" s="55"/>
      <c r="BX169" s="55"/>
      <c r="BY169" s="55"/>
      <c r="BZ169" s="55"/>
      <c r="CA169" s="55"/>
      <c r="CB169" s="55"/>
      <c r="CC169" s="55"/>
      <c r="CD169" s="55"/>
      <c r="CE169" s="55"/>
      <c r="CF169" s="55"/>
      <c r="CG169" s="55"/>
      <c r="CH169" s="55"/>
    </row>
    <row r="170" ht="16.5" customHeight="1">
      <c r="A170" s="55"/>
      <c r="B170" s="55"/>
      <c r="C170" s="55"/>
      <c r="D170" s="55"/>
      <c r="E170" s="55"/>
      <c r="F170" s="55"/>
      <c r="G170" s="55"/>
      <c r="H170" s="64"/>
      <c r="I170" s="64"/>
      <c r="J170" s="64"/>
      <c r="K170" s="64"/>
      <c r="L170" s="64"/>
      <c r="M170" s="64"/>
      <c r="N170" s="64"/>
      <c r="O170" s="64"/>
      <c r="P170" s="64"/>
      <c r="Q170" s="64"/>
      <c r="R170" s="64"/>
      <c r="S170" s="64"/>
      <c r="T170" s="55"/>
      <c r="U170" s="55"/>
      <c r="V170" s="55"/>
      <c r="W170" s="64"/>
      <c r="X170" s="64"/>
      <c r="Y170" s="55"/>
      <c r="Z170" s="55"/>
      <c r="AA170" s="55"/>
      <c r="AB170" s="64"/>
      <c r="AC170" s="64"/>
      <c r="AD170" s="64"/>
      <c r="AE170" s="64"/>
      <c r="AF170" s="64"/>
      <c r="AG170" s="55"/>
      <c r="AH170" s="55"/>
      <c r="AI170" s="64"/>
      <c r="AJ170" s="64"/>
      <c r="AK170" s="64"/>
      <c r="AL170" s="64"/>
      <c r="AM170" s="64"/>
      <c r="AN170" s="64"/>
      <c r="AO170" s="55"/>
      <c r="AP170" s="55"/>
      <c r="AQ170" s="64"/>
      <c r="AR170" s="64"/>
      <c r="AS170" s="64"/>
      <c r="AT170" s="64"/>
      <c r="AU170" s="64"/>
      <c r="AV170" s="55"/>
      <c r="AW170" s="55"/>
      <c r="AX170" s="64"/>
      <c r="AY170" s="64"/>
      <c r="AZ170" s="64"/>
      <c r="BA170" s="64"/>
      <c r="BB170" s="64"/>
      <c r="BC170" s="55"/>
      <c r="BD170" s="55"/>
      <c r="BE170" s="64"/>
      <c r="BF170" s="55"/>
      <c r="BG170" s="64"/>
      <c r="BH170" s="64"/>
      <c r="BI170" s="64"/>
      <c r="BJ170" s="64"/>
      <c r="BK170" s="55"/>
      <c r="BL170" s="55"/>
      <c r="BM170" s="55"/>
      <c r="BN170" s="64"/>
      <c r="BO170" s="64"/>
      <c r="BP170" s="64"/>
      <c r="BQ170" s="64"/>
      <c r="BR170" s="64"/>
      <c r="BS170" s="64"/>
      <c r="BT170" s="64"/>
      <c r="BU170" s="64"/>
      <c r="BV170" s="64"/>
      <c r="BW170" s="55"/>
      <c r="BX170" s="55"/>
      <c r="BY170" s="55"/>
      <c r="BZ170" s="55"/>
      <c r="CA170" s="55"/>
      <c r="CB170" s="55"/>
      <c r="CC170" s="55"/>
      <c r="CD170" s="55"/>
      <c r="CE170" s="55"/>
      <c r="CF170" s="55"/>
      <c r="CG170" s="55"/>
      <c r="CH170" s="55"/>
    </row>
    <row r="171" ht="16.5" customHeight="1">
      <c r="A171" s="55"/>
      <c r="B171" s="55"/>
      <c r="C171" s="55"/>
      <c r="D171" s="55"/>
      <c r="E171" s="55"/>
      <c r="F171" s="55"/>
      <c r="G171" s="55"/>
      <c r="H171" s="64"/>
      <c r="I171" s="64"/>
      <c r="J171" s="64"/>
      <c r="K171" s="64"/>
      <c r="L171" s="64"/>
      <c r="M171" s="64"/>
      <c r="N171" s="64"/>
      <c r="O171" s="64"/>
      <c r="P171" s="64"/>
      <c r="Q171" s="64"/>
      <c r="R171" s="64"/>
      <c r="S171" s="64"/>
      <c r="T171" s="55"/>
      <c r="U171" s="55"/>
      <c r="V171" s="55"/>
      <c r="W171" s="64"/>
      <c r="X171" s="64"/>
      <c r="Y171" s="55"/>
      <c r="Z171" s="55"/>
      <c r="AA171" s="55"/>
      <c r="AB171" s="64"/>
      <c r="AC171" s="64"/>
      <c r="AD171" s="64"/>
      <c r="AE171" s="64"/>
      <c r="AF171" s="64"/>
      <c r="AG171" s="55"/>
      <c r="AH171" s="55"/>
      <c r="AI171" s="64"/>
      <c r="AJ171" s="64"/>
      <c r="AK171" s="64"/>
      <c r="AL171" s="64"/>
      <c r="AM171" s="64"/>
      <c r="AN171" s="64"/>
      <c r="AO171" s="55"/>
      <c r="AP171" s="55"/>
      <c r="AQ171" s="64"/>
      <c r="AR171" s="64"/>
      <c r="AS171" s="64"/>
      <c r="AT171" s="64"/>
      <c r="AU171" s="64"/>
      <c r="AV171" s="55"/>
      <c r="AW171" s="55"/>
      <c r="AX171" s="64"/>
      <c r="AY171" s="64"/>
      <c r="AZ171" s="64"/>
      <c r="BA171" s="64"/>
      <c r="BB171" s="64"/>
      <c r="BC171" s="55"/>
      <c r="BD171" s="55"/>
      <c r="BE171" s="64"/>
      <c r="BF171" s="55"/>
      <c r="BG171" s="64"/>
      <c r="BH171" s="64"/>
      <c r="BI171" s="64"/>
      <c r="BJ171" s="64"/>
      <c r="BK171" s="55"/>
      <c r="BL171" s="55"/>
      <c r="BM171" s="55"/>
      <c r="BN171" s="64"/>
      <c r="BO171" s="64"/>
      <c r="BP171" s="64"/>
      <c r="BQ171" s="64"/>
      <c r="BR171" s="64"/>
      <c r="BS171" s="64"/>
      <c r="BT171" s="64"/>
      <c r="BU171" s="64"/>
      <c r="BV171" s="64"/>
      <c r="BW171" s="55"/>
      <c r="BX171" s="55"/>
      <c r="BY171" s="55"/>
      <c r="BZ171" s="55"/>
      <c r="CA171" s="55"/>
      <c r="CB171" s="55"/>
      <c r="CC171" s="55"/>
      <c r="CD171" s="55"/>
      <c r="CE171" s="55"/>
      <c r="CF171" s="55"/>
      <c r="CG171" s="55"/>
      <c r="CH171" s="55"/>
    </row>
    <row r="172" ht="16.5" customHeight="1">
      <c r="A172" s="55"/>
      <c r="B172" s="55"/>
      <c r="C172" s="55"/>
      <c r="D172" s="55"/>
      <c r="E172" s="55"/>
      <c r="F172" s="55"/>
      <c r="G172" s="55"/>
      <c r="H172" s="64"/>
      <c r="I172" s="64"/>
      <c r="J172" s="64"/>
      <c r="K172" s="64"/>
      <c r="L172" s="64"/>
      <c r="M172" s="64"/>
      <c r="N172" s="64"/>
      <c r="O172" s="64"/>
      <c r="P172" s="64"/>
      <c r="Q172" s="64"/>
      <c r="R172" s="64"/>
      <c r="S172" s="64"/>
      <c r="T172" s="55"/>
      <c r="U172" s="55"/>
      <c r="V172" s="55"/>
      <c r="W172" s="64"/>
      <c r="X172" s="64"/>
      <c r="Y172" s="55"/>
      <c r="Z172" s="55"/>
      <c r="AA172" s="55"/>
      <c r="AB172" s="64"/>
      <c r="AC172" s="64"/>
      <c r="AD172" s="64"/>
      <c r="AE172" s="64"/>
      <c r="AF172" s="64"/>
      <c r="AG172" s="55"/>
      <c r="AH172" s="55"/>
      <c r="AI172" s="64"/>
      <c r="AJ172" s="64"/>
      <c r="AK172" s="64"/>
      <c r="AL172" s="64"/>
      <c r="AM172" s="64"/>
      <c r="AN172" s="64"/>
      <c r="AO172" s="55"/>
      <c r="AP172" s="55"/>
      <c r="AQ172" s="64"/>
      <c r="AR172" s="64"/>
      <c r="AS172" s="64"/>
      <c r="AT172" s="64"/>
      <c r="AU172" s="64"/>
      <c r="AV172" s="55"/>
      <c r="AW172" s="55"/>
      <c r="AX172" s="64"/>
      <c r="AY172" s="64"/>
      <c r="AZ172" s="64"/>
      <c r="BA172" s="64"/>
      <c r="BB172" s="64"/>
      <c r="BC172" s="55"/>
      <c r="BD172" s="55"/>
      <c r="BE172" s="64"/>
      <c r="BF172" s="55"/>
      <c r="BG172" s="64"/>
      <c r="BH172" s="64"/>
      <c r="BI172" s="64"/>
      <c r="BJ172" s="64"/>
      <c r="BK172" s="55"/>
      <c r="BL172" s="55"/>
      <c r="BM172" s="55"/>
      <c r="BN172" s="64"/>
      <c r="BO172" s="64"/>
      <c r="BP172" s="64"/>
      <c r="BQ172" s="64"/>
      <c r="BR172" s="64"/>
      <c r="BS172" s="64"/>
      <c r="BT172" s="64"/>
      <c r="BU172" s="64"/>
      <c r="BV172" s="64"/>
      <c r="BW172" s="55"/>
      <c r="BX172" s="55"/>
      <c r="BY172" s="55"/>
      <c r="BZ172" s="55"/>
      <c r="CA172" s="55"/>
      <c r="CB172" s="55"/>
      <c r="CC172" s="55"/>
      <c r="CD172" s="55"/>
      <c r="CE172" s="55"/>
      <c r="CF172" s="55"/>
      <c r="CG172" s="55"/>
      <c r="CH172" s="55"/>
    </row>
    <row r="173" ht="16.5" customHeight="1">
      <c r="A173" s="55"/>
      <c r="B173" s="55"/>
      <c r="C173" s="55"/>
      <c r="D173" s="55"/>
      <c r="E173" s="55"/>
      <c r="F173" s="55"/>
      <c r="G173" s="55"/>
      <c r="H173" s="64"/>
      <c r="I173" s="64"/>
      <c r="J173" s="64"/>
      <c r="K173" s="64"/>
      <c r="L173" s="64"/>
      <c r="M173" s="64"/>
      <c r="N173" s="64"/>
      <c r="O173" s="64"/>
      <c r="P173" s="64"/>
      <c r="Q173" s="64"/>
      <c r="R173" s="64"/>
      <c r="S173" s="64"/>
      <c r="T173" s="55"/>
      <c r="U173" s="55"/>
      <c r="V173" s="55"/>
      <c r="W173" s="64"/>
      <c r="X173" s="64"/>
      <c r="Y173" s="55"/>
      <c r="Z173" s="55"/>
      <c r="AA173" s="55"/>
      <c r="AB173" s="64"/>
      <c r="AC173" s="64"/>
      <c r="AD173" s="64"/>
      <c r="AE173" s="64"/>
      <c r="AF173" s="64"/>
      <c r="AG173" s="55"/>
      <c r="AH173" s="55"/>
      <c r="AI173" s="64"/>
      <c r="AJ173" s="64"/>
      <c r="AK173" s="64"/>
      <c r="AL173" s="64"/>
      <c r="AM173" s="64"/>
      <c r="AN173" s="64"/>
      <c r="AO173" s="55"/>
      <c r="AP173" s="55"/>
      <c r="AQ173" s="64"/>
      <c r="AR173" s="64"/>
      <c r="AS173" s="64"/>
      <c r="AT173" s="64"/>
      <c r="AU173" s="64"/>
      <c r="AV173" s="55"/>
      <c r="AW173" s="55"/>
      <c r="AX173" s="64"/>
      <c r="AY173" s="64"/>
      <c r="AZ173" s="64"/>
      <c r="BA173" s="64"/>
      <c r="BB173" s="64"/>
      <c r="BC173" s="55"/>
      <c r="BD173" s="55"/>
      <c r="BE173" s="64"/>
      <c r="BF173" s="55"/>
      <c r="BG173" s="64"/>
      <c r="BH173" s="64"/>
      <c r="BI173" s="64"/>
      <c r="BJ173" s="64"/>
      <c r="BK173" s="55"/>
      <c r="BL173" s="55"/>
      <c r="BM173" s="55"/>
      <c r="BN173" s="64"/>
      <c r="BO173" s="64"/>
      <c r="BP173" s="64"/>
      <c r="BQ173" s="64"/>
      <c r="BR173" s="64"/>
      <c r="BS173" s="64"/>
      <c r="BT173" s="64"/>
      <c r="BU173" s="64"/>
      <c r="BV173" s="64"/>
      <c r="BW173" s="55"/>
      <c r="BX173" s="55"/>
      <c r="BY173" s="55"/>
      <c r="BZ173" s="55"/>
      <c r="CA173" s="55"/>
      <c r="CB173" s="55"/>
      <c r="CC173" s="55"/>
      <c r="CD173" s="55"/>
      <c r="CE173" s="55"/>
      <c r="CF173" s="55"/>
      <c r="CG173" s="55"/>
      <c r="CH173" s="55"/>
    </row>
    <row r="174" ht="16.5" customHeight="1">
      <c r="A174" s="55"/>
      <c r="B174" s="55"/>
      <c r="C174" s="55"/>
      <c r="D174" s="55"/>
      <c r="E174" s="55"/>
      <c r="F174" s="55"/>
      <c r="G174" s="55"/>
      <c r="H174" s="64"/>
      <c r="I174" s="64"/>
      <c r="J174" s="64"/>
      <c r="K174" s="64"/>
      <c r="L174" s="64"/>
      <c r="M174" s="64"/>
      <c r="N174" s="64"/>
      <c r="O174" s="64"/>
      <c r="P174" s="64"/>
      <c r="Q174" s="64"/>
      <c r="R174" s="64"/>
      <c r="S174" s="64"/>
      <c r="T174" s="55"/>
      <c r="U174" s="55"/>
      <c r="V174" s="55"/>
      <c r="W174" s="64"/>
      <c r="X174" s="64"/>
      <c r="Y174" s="55"/>
      <c r="Z174" s="55"/>
      <c r="AA174" s="55"/>
      <c r="AB174" s="64"/>
      <c r="AC174" s="64"/>
      <c r="AD174" s="64"/>
      <c r="AE174" s="64"/>
      <c r="AF174" s="64"/>
      <c r="AG174" s="55"/>
      <c r="AH174" s="55"/>
      <c r="AI174" s="64"/>
      <c r="AJ174" s="64"/>
      <c r="AK174" s="64"/>
      <c r="AL174" s="64"/>
      <c r="AM174" s="64"/>
      <c r="AN174" s="64"/>
      <c r="AO174" s="55"/>
      <c r="AP174" s="55"/>
      <c r="AQ174" s="64"/>
      <c r="AR174" s="64"/>
      <c r="AS174" s="64"/>
      <c r="AT174" s="64"/>
      <c r="AU174" s="64"/>
      <c r="AV174" s="55"/>
      <c r="AW174" s="55"/>
      <c r="AX174" s="64"/>
      <c r="AY174" s="64"/>
      <c r="AZ174" s="64"/>
      <c r="BA174" s="64"/>
      <c r="BB174" s="64"/>
      <c r="BC174" s="55"/>
      <c r="BD174" s="55"/>
      <c r="BE174" s="64"/>
      <c r="BF174" s="55"/>
      <c r="BG174" s="64"/>
      <c r="BH174" s="64"/>
      <c r="BI174" s="64"/>
      <c r="BJ174" s="64"/>
      <c r="BK174" s="55"/>
      <c r="BL174" s="55"/>
      <c r="BM174" s="55"/>
      <c r="BN174" s="64"/>
      <c r="BO174" s="64"/>
      <c r="BP174" s="64"/>
      <c r="BQ174" s="64"/>
      <c r="BR174" s="64"/>
      <c r="BS174" s="64"/>
      <c r="BT174" s="64"/>
      <c r="BU174" s="64"/>
      <c r="BV174" s="64"/>
      <c r="BW174" s="55"/>
      <c r="BX174" s="55"/>
      <c r="BY174" s="55"/>
      <c r="BZ174" s="55"/>
      <c r="CA174" s="55"/>
      <c r="CB174" s="55"/>
      <c r="CC174" s="55"/>
      <c r="CD174" s="55"/>
      <c r="CE174" s="55"/>
      <c r="CF174" s="55"/>
      <c r="CG174" s="55"/>
      <c r="CH174" s="55"/>
    </row>
    <row r="175" ht="16.5" customHeight="1">
      <c r="A175" s="55"/>
      <c r="B175" s="55"/>
      <c r="C175" s="55"/>
      <c r="D175" s="55"/>
      <c r="E175" s="55"/>
      <c r="F175" s="55"/>
      <c r="G175" s="55"/>
      <c r="H175" s="64"/>
      <c r="I175" s="64"/>
      <c r="J175" s="64"/>
      <c r="K175" s="64"/>
      <c r="L175" s="64"/>
      <c r="M175" s="64"/>
      <c r="N175" s="64"/>
      <c r="O175" s="64"/>
      <c r="P175" s="64"/>
      <c r="Q175" s="64"/>
      <c r="R175" s="64"/>
      <c r="S175" s="64"/>
      <c r="T175" s="55"/>
      <c r="U175" s="55"/>
      <c r="V175" s="55"/>
      <c r="W175" s="64"/>
      <c r="X175" s="64"/>
      <c r="Y175" s="55"/>
      <c r="Z175" s="55"/>
      <c r="AA175" s="55"/>
      <c r="AB175" s="64"/>
      <c r="AC175" s="64"/>
      <c r="AD175" s="64"/>
      <c r="AE175" s="64"/>
      <c r="AF175" s="64"/>
      <c r="AG175" s="55"/>
      <c r="AH175" s="55"/>
      <c r="AI175" s="64"/>
      <c r="AJ175" s="64"/>
      <c r="AK175" s="64"/>
      <c r="AL175" s="64"/>
      <c r="AM175" s="64"/>
      <c r="AN175" s="64"/>
      <c r="AO175" s="55"/>
      <c r="AP175" s="55"/>
      <c r="AQ175" s="64"/>
      <c r="AR175" s="64"/>
      <c r="AS175" s="64"/>
      <c r="AT175" s="64"/>
      <c r="AU175" s="64"/>
      <c r="AV175" s="55"/>
      <c r="AW175" s="55"/>
      <c r="AX175" s="64"/>
      <c r="AY175" s="64"/>
      <c r="AZ175" s="64"/>
      <c r="BA175" s="64"/>
      <c r="BB175" s="64"/>
      <c r="BC175" s="55"/>
      <c r="BD175" s="55"/>
      <c r="BE175" s="64"/>
      <c r="BF175" s="55"/>
      <c r="BG175" s="64"/>
      <c r="BH175" s="64"/>
      <c r="BI175" s="64"/>
      <c r="BJ175" s="64"/>
      <c r="BK175" s="55"/>
      <c r="BL175" s="55"/>
      <c r="BM175" s="55"/>
      <c r="BN175" s="64"/>
      <c r="BO175" s="64"/>
      <c r="BP175" s="64"/>
      <c r="BQ175" s="64"/>
      <c r="BR175" s="64"/>
      <c r="BS175" s="64"/>
      <c r="BT175" s="64"/>
      <c r="BU175" s="64"/>
      <c r="BV175" s="64"/>
      <c r="BW175" s="55"/>
      <c r="BX175" s="55"/>
      <c r="BY175" s="55"/>
      <c r="BZ175" s="55"/>
      <c r="CA175" s="55"/>
      <c r="CB175" s="55"/>
      <c r="CC175" s="55"/>
      <c r="CD175" s="55"/>
      <c r="CE175" s="55"/>
      <c r="CF175" s="55"/>
      <c r="CG175" s="55"/>
      <c r="CH175" s="55"/>
    </row>
    <row r="176" ht="16.5" customHeight="1">
      <c r="A176" s="55"/>
      <c r="B176" s="55"/>
      <c r="C176" s="55"/>
      <c r="D176" s="55"/>
      <c r="E176" s="55"/>
      <c r="F176" s="55"/>
      <c r="G176" s="55"/>
      <c r="H176" s="64"/>
      <c r="I176" s="64"/>
      <c r="J176" s="64"/>
      <c r="K176" s="64"/>
      <c r="L176" s="64"/>
      <c r="M176" s="64"/>
      <c r="N176" s="64"/>
      <c r="O176" s="64"/>
      <c r="P176" s="64"/>
      <c r="Q176" s="64"/>
      <c r="R176" s="64"/>
      <c r="S176" s="64"/>
      <c r="T176" s="55"/>
      <c r="U176" s="55"/>
      <c r="V176" s="55"/>
      <c r="W176" s="64"/>
      <c r="X176" s="64"/>
      <c r="Y176" s="55"/>
      <c r="Z176" s="55"/>
      <c r="AA176" s="55"/>
      <c r="AB176" s="64"/>
      <c r="AC176" s="64"/>
      <c r="AD176" s="64"/>
      <c r="AE176" s="64"/>
      <c r="AF176" s="64"/>
      <c r="AG176" s="55"/>
      <c r="AH176" s="55"/>
      <c r="AI176" s="64"/>
      <c r="AJ176" s="64"/>
      <c r="AK176" s="64"/>
      <c r="AL176" s="64"/>
      <c r="AM176" s="64"/>
      <c r="AN176" s="64"/>
      <c r="AO176" s="55"/>
      <c r="AP176" s="55"/>
      <c r="AQ176" s="64"/>
      <c r="AR176" s="64"/>
      <c r="AS176" s="64"/>
      <c r="AT176" s="64"/>
      <c r="AU176" s="64"/>
      <c r="AV176" s="55"/>
      <c r="AW176" s="55"/>
      <c r="AX176" s="64"/>
      <c r="AY176" s="64"/>
      <c r="AZ176" s="64"/>
      <c r="BA176" s="64"/>
      <c r="BB176" s="64"/>
      <c r="BC176" s="55"/>
      <c r="BD176" s="55"/>
      <c r="BE176" s="64"/>
      <c r="BF176" s="55"/>
      <c r="BG176" s="64"/>
      <c r="BH176" s="64"/>
      <c r="BI176" s="64"/>
      <c r="BJ176" s="64"/>
      <c r="BK176" s="55"/>
      <c r="BL176" s="55"/>
      <c r="BM176" s="55"/>
      <c r="BN176" s="64"/>
      <c r="BO176" s="64"/>
      <c r="BP176" s="64"/>
      <c r="BQ176" s="64"/>
      <c r="BR176" s="64"/>
      <c r="BS176" s="64"/>
      <c r="BT176" s="64"/>
      <c r="BU176" s="64"/>
      <c r="BV176" s="64"/>
      <c r="BW176" s="55"/>
      <c r="BX176" s="55"/>
      <c r="BY176" s="55"/>
      <c r="BZ176" s="55"/>
      <c r="CA176" s="55"/>
      <c r="CB176" s="55"/>
      <c r="CC176" s="55"/>
      <c r="CD176" s="55"/>
      <c r="CE176" s="55"/>
      <c r="CF176" s="55"/>
      <c r="CG176" s="55"/>
      <c r="CH176" s="55"/>
    </row>
    <row r="177" ht="16.5" customHeight="1">
      <c r="A177" s="55"/>
      <c r="B177" s="55"/>
      <c r="C177" s="55"/>
      <c r="D177" s="55"/>
      <c r="E177" s="55"/>
      <c r="F177" s="55"/>
      <c r="G177" s="55"/>
      <c r="H177" s="64"/>
      <c r="I177" s="64"/>
      <c r="J177" s="64"/>
      <c r="K177" s="64"/>
      <c r="L177" s="64"/>
      <c r="M177" s="64"/>
      <c r="N177" s="64"/>
      <c r="O177" s="64"/>
      <c r="P177" s="64"/>
      <c r="Q177" s="64"/>
      <c r="R177" s="64"/>
      <c r="S177" s="64"/>
      <c r="T177" s="55"/>
      <c r="U177" s="55"/>
      <c r="V177" s="55"/>
      <c r="W177" s="64"/>
      <c r="X177" s="64"/>
      <c r="Y177" s="55"/>
      <c r="Z177" s="55"/>
      <c r="AA177" s="55"/>
      <c r="AB177" s="64"/>
      <c r="AC177" s="64"/>
      <c r="AD177" s="64"/>
      <c r="AE177" s="64"/>
      <c r="AF177" s="64"/>
      <c r="AG177" s="55"/>
      <c r="AH177" s="55"/>
      <c r="AI177" s="64"/>
      <c r="AJ177" s="64"/>
      <c r="AK177" s="64"/>
      <c r="AL177" s="64"/>
      <c r="AM177" s="64"/>
      <c r="AN177" s="64"/>
      <c r="AO177" s="55"/>
      <c r="AP177" s="55"/>
      <c r="AQ177" s="64"/>
      <c r="AR177" s="64"/>
      <c r="AS177" s="64"/>
      <c r="AT177" s="64"/>
      <c r="AU177" s="64"/>
      <c r="AV177" s="55"/>
      <c r="AW177" s="55"/>
      <c r="AX177" s="64"/>
      <c r="AY177" s="64"/>
      <c r="AZ177" s="64"/>
      <c r="BA177" s="64"/>
      <c r="BB177" s="64"/>
      <c r="BC177" s="55"/>
      <c r="BD177" s="55"/>
      <c r="BE177" s="64"/>
      <c r="BF177" s="55"/>
      <c r="BG177" s="64"/>
      <c r="BH177" s="64"/>
      <c r="BI177" s="64"/>
      <c r="BJ177" s="64"/>
      <c r="BK177" s="55"/>
      <c r="BL177" s="55"/>
      <c r="BM177" s="55"/>
      <c r="BN177" s="64"/>
      <c r="BO177" s="64"/>
      <c r="BP177" s="64"/>
      <c r="BQ177" s="64"/>
      <c r="BR177" s="64"/>
      <c r="BS177" s="64"/>
      <c r="BT177" s="64"/>
      <c r="BU177" s="64"/>
      <c r="BV177" s="64"/>
      <c r="BW177" s="55"/>
      <c r="BX177" s="55"/>
      <c r="BY177" s="55"/>
      <c r="BZ177" s="55"/>
      <c r="CA177" s="55"/>
      <c r="CB177" s="55"/>
      <c r="CC177" s="55"/>
      <c r="CD177" s="55"/>
      <c r="CE177" s="55"/>
      <c r="CF177" s="55"/>
      <c r="CG177" s="55"/>
      <c r="CH177" s="55"/>
    </row>
    <row r="178" ht="16.5" customHeight="1">
      <c r="A178" s="55"/>
      <c r="B178" s="55"/>
      <c r="C178" s="55"/>
      <c r="D178" s="55"/>
      <c r="E178" s="55"/>
      <c r="F178" s="55"/>
      <c r="G178" s="55"/>
      <c r="H178" s="64"/>
      <c r="I178" s="64"/>
      <c r="J178" s="64"/>
      <c r="K178" s="64"/>
      <c r="L178" s="64"/>
      <c r="M178" s="64"/>
      <c r="N178" s="64"/>
      <c r="O178" s="64"/>
      <c r="P178" s="64"/>
      <c r="Q178" s="64"/>
      <c r="R178" s="64"/>
      <c r="S178" s="64"/>
      <c r="T178" s="55"/>
      <c r="U178" s="55"/>
      <c r="V178" s="55"/>
      <c r="W178" s="64"/>
      <c r="X178" s="64"/>
      <c r="Y178" s="55"/>
      <c r="Z178" s="55"/>
      <c r="AA178" s="55"/>
      <c r="AB178" s="64"/>
      <c r="AC178" s="64"/>
      <c r="AD178" s="64"/>
      <c r="AE178" s="64"/>
      <c r="AF178" s="64"/>
      <c r="AG178" s="55"/>
      <c r="AH178" s="55"/>
      <c r="AI178" s="64"/>
      <c r="AJ178" s="64"/>
      <c r="AK178" s="64"/>
      <c r="AL178" s="64"/>
      <c r="AM178" s="64"/>
      <c r="AN178" s="64"/>
      <c r="AO178" s="55"/>
      <c r="AP178" s="55"/>
      <c r="AQ178" s="64"/>
      <c r="AR178" s="64"/>
      <c r="AS178" s="64"/>
      <c r="AT178" s="64"/>
      <c r="AU178" s="64"/>
      <c r="AV178" s="55"/>
      <c r="AW178" s="55"/>
      <c r="AX178" s="64"/>
      <c r="AY178" s="64"/>
      <c r="AZ178" s="64"/>
      <c r="BA178" s="64"/>
      <c r="BB178" s="64"/>
      <c r="BC178" s="55"/>
      <c r="BD178" s="55"/>
      <c r="BE178" s="64"/>
      <c r="BF178" s="55"/>
      <c r="BG178" s="64"/>
      <c r="BH178" s="64"/>
      <c r="BI178" s="64"/>
      <c r="BJ178" s="64"/>
      <c r="BK178" s="55"/>
      <c r="BL178" s="55"/>
      <c r="BM178" s="55"/>
      <c r="BN178" s="64"/>
      <c r="BO178" s="64"/>
      <c r="BP178" s="64"/>
      <c r="BQ178" s="64"/>
      <c r="BR178" s="64"/>
      <c r="BS178" s="64"/>
      <c r="BT178" s="64"/>
      <c r="BU178" s="64"/>
      <c r="BV178" s="64"/>
      <c r="BW178" s="55"/>
      <c r="BX178" s="55"/>
      <c r="BY178" s="55"/>
      <c r="BZ178" s="55"/>
      <c r="CA178" s="55"/>
      <c r="CB178" s="55"/>
      <c r="CC178" s="55"/>
      <c r="CD178" s="55"/>
      <c r="CE178" s="55"/>
      <c r="CF178" s="55"/>
      <c r="CG178" s="55"/>
      <c r="CH178" s="55"/>
    </row>
    <row r="179" ht="16.5" customHeight="1">
      <c r="A179" s="55"/>
      <c r="B179" s="55"/>
      <c r="C179" s="55"/>
      <c r="D179" s="55"/>
      <c r="E179" s="55"/>
      <c r="F179" s="55"/>
      <c r="G179" s="55"/>
      <c r="H179" s="64"/>
      <c r="I179" s="64"/>
      <c r="J179" s="64"/>
      <c r="K179" s="64"/>
      <c r="L179" s="64"/>
      <c r="M179" s="64"/>
      <c r="N179" s="64"/>
      <c r="O179" s="64"/>
      <c r="P179" s="64"/>
      <c r="Q179" s="64"/>
      <c r="R179" s="64"/>
      <c r="S179" s="64"/>
      <c r="T179" s="55"/>
      <c r="U179" s="55"/>
      <c r="V179" s="55"/>
      <c r="W179" s="64"/>
      <c r="X179" s="64"/>
      <c r="Y179" s="55"/>
      <c r="Z179" s="55"/>
      <c r="AA179" s="55"/>
      <c r="AB179" s="64"/>
      <c r="AC179" s="64"/>
      <c r="AD179" s="64"/>
      <c r="AE179" s="64"/>
      <c r="AF179" s="64"/>
      <c r="AG179" s="55"/>
      <c r="AH179" s="55"/>
      <c r="AI179" s="64"/>
      <c r="AJ179" s="64"/>
      <c r="AK179" s="64"/>
      <c r="AL179" s="64"/>
      <c r="AM179" s="64"/>
      <c r="AN179" s="64"/>
      <c r="AO179" s="55"/>
      <c r="AP179" s="55"/>
      <c r="AQ179" s="64"/>
      <c r="AR179" s="64"/>
      <c r="AS179" s="64"/>
      <c r="AT179" s="64"/>
      <c r="AU179" s="64"/>
      <c r="AV179" s="55"/>
      <c r="AW179" s="55"/>
      <c r="AX179" s="64"/>
      <c r="AY179" s="64"/>
      <c r="AZ179" s="64"/>
      <c r="BA179" s="64"/>
      <c r="BB179" s="64"/>
      <c r="BC179" s="55"/>
      <c r="BD179" s="55"/>
      <c r="BE179" s="64"/>
      <c r="BF179" s="55"/>
      <c r="BG179" s="64"/>
      <c r="BH179" s="64"/>
      <c r="BI179" s="64"/>
      <c r="BJ179" s="64"/>
      <c r="BK179" s="55"/>
      <c r="BL179" s="55"/>
      <c r="BM179" s="55"/>
      <c r="BN179" s="64"/>
      <c r="BO179" s="64"/>
      <c r="BP179" s="64"/>
      <c r="BQ179" s="64"/>
      <c r="BR179" s="64"/>
      <c r="BS179" s="64"/>
      <c r="BT179" s="64"/>
      <c r="BU179" s="64"/>
      <c r="BV179" s="64"/>
      <c r="BW179" s="55"/>
      <c r="BX179" s="55"/>
      <c r="BY179" s="55"/>
      <c r="BZ179" s="55"/>
      <c r="CA179" s="55"/>
      <c r="CB179" s="55"/>
      <c r="CC179" s="55"/>
      <c r="CD179" s="55"/>
      <c r="CE179" s="55"/>
      <c r="CF179" s="55"/>
      <c r="CG179" s="55"/>
      <c r="CH179" s="55"/>
    </row>
    <row r="180" ht="16.5" customHeight="1">
      <c r="A180" s="55"/>
      <c r="B180" s="55"/>
      <c r="C180" s="55"/>
      <c r="D180" s="55"/>
      <c r="E180" s="55"/>
      <c r="F180" s="55"/>
      <c r="G180" s="55"/>
      <c r="H180" s="64"/>
      <c r="I180" s="64"/>
      <c r="J180" s="64"/>
      <c r="K180" s="64"/>
      <c r="L180" s="64"/>
      <c r="M180" s="64"/>
      <c r="N180" s="64"/>
      <c r="O180" s="64"/>
      <c r="P180" s="64"/>
      <c r="Q180" s="64"/>
      <c r="R180" s="64"/>
      <c r="S180" s="64"/>
      <c r="T180" s="55"/>
      <c r="U180" s="55"/>
      <c r="V180" s="55"/>
      <c r="W180" s="64"/>
      <c r="X180" s="64"/>
      <c r="Y180" s="55"/>
      <c r="Z180" s="55"/>
      <c r="AA180" s="55"/>
      <c r="AB180" s="64"/>
      <c r="AC180" s="64"/>
      <c r="AD180" s="64"/>
      <c r="AE180" s="64"/>
      <c r="AF180" s="64"/>
      <c r="AG180" s="55"/>
      <c r="AH180" s="55"/>
      <c r="AI180" s="64"/>
      <c r="AJ180" s="64"/>
      <c r="AK180" s="64"/>
      <c r="AL180" s="64"/>
      <c r="AM180" s="64"/>
      <c r="AN180" s="64"/>
      <c r="AO180" s="55"/>
      <c r="AP180" s="55"/>
      <c r="AQ180" s="64"/>
      <c r="AR180" s="64"/>
      <c r="AS180" s="64"/>
      <c r="AT180" s="64"/>
      <c r="AU180" s="64"/>
      <c r="AV180" s="55"/>
      <c r="AW180" s="55"/>
      <c r="AX180" s="64"/>
      <c r="AY180" s="64"/>
      <c r="AZ180" s="64"/>
      <c r="BA180" s="64"/>
      <c r="BB180" s="64"/>
      <c r="BC180" s="55"/>
      <c r="BD180" s="55"/>
      <c r="BE180" s="64"/>
      <c r="BF180" s="55"/>
      <c r="BG180" s="64"/>
      <c r="BH180" s="64"/>
      <c r="BI180" s="64"/>
      <c r="BJ180" s="64"/>
      <c r="BK180" s="55"/>
      <c r="BL180" s="55"/>
      <c r="BM180" s="55"/>
      <c r="BN180" s="64"/>
      <c r="BO180" s="64"/>
      <c r="BP180" s="64"/>
      <c r="BQ180" s="64"/>
      <c r="BR180" s="64"/>
      <c r="BS180" s="64"/>
      <c r="BT180" s="64"/>
      <c r="BU180" s="64"/>
      <c r="BV180" s="64"/>
      <c r="BW180" s="55"/>
      <c r="BX180" s="55"/>
      <c r="BY180" s="55"/>
      <c r="BZ180" s="55"/>
      <c r="CA180" s="55"/>
      <c r="CB180" s="55"/>
      <c r="CC180" s="55"/>
      <c r="CD180" s="55"/>
      <c r="CE180" s="55"/>
      <c r="CF180" s="55"/>
      <c r="CG180" s="55"/>
      <c r="CH180" s="55"/>
    </row>
    <row r="181" ht="16.5" customHeight="1">
      <c r="A181" s="55"/>
      <c r="B181" s="55"/>
      <c r="C181" s="55"/>
      <c r="D181" s="55"/>
      <c r="E181" s="55"/>
      <c r="F181" s="55"/>
      <c r="G181" s="55"/>
      <c r="H181" s="64"/>
      <c r="I181" s="64"/>
      <c r="J181" s="64"/>
      <c r="K181" s="64"/>
      <c r="L181" s="64"/>
      <c r="M181" s="64"/>
      <c r="N181" s="64"/>
      <c r="O181" s="64"/>
      <c r="P181" s="64"/>
      <c r="Q181" s="64"/>
      <c r="R181" s="64"/>
      <c r="S181" s="64"/>
      <c r="T181" s="55"/>
      <c r="U181" s="55"/>
      <c r="V181" s="55"/>
      <c r="W181" s="64"/>
      <c r="X181" s="64"/>
      <c r="Y181" s="55"/>
      <c r="Z181" s="55"/>
      <c r="AA181" s="55"/>
      <c r="AB181" s="64"/>
      <c r="AC181" s="64"/>
      <c r="AD181" s="64"/>
      <c r="AE181" s="64"/>
      <c r="AF181" s="64"/>
      <c r="AG181" s="55"/>
      <c r="AH181" s="55"/>
      <c r="AI181" s="64"/>
      <c r="AJ181" s="64"/>
      <c r="AK181" s="64"/>
      <c r="AL181" s="64"/>
      <c r="AM181" s="64"/>
      <c r="AN181" s="64"/>
      <c r="AO181" s="55"/>
      <c r="AP181" s="55"/>
      <c r="AQ181" s="64"/>
      <c r="AR181" s="64"/>
      <c r="AS181" s="64"/>
      <c r="AT181" s="64"/>
      <c r="AU181" s="64"/>
      <c r="AV181" s="55"/>
      <c r="AW181" s="55"/>
      <c r="AX181" s="64"/>
      <c r="AY181" s="64"/>
      <c r="AZ181" s="64"/>
      <c r="BA181" s="64"/>
      <c r="BB181" s="64"/>
      <c r="BC181" s="55"/>
      <c r="BD181" s="55"/>
      <c r="BE181" s="64"/>
      <c r="BF181" s="55"/>
      <c r="BG181" s="64"/>
      <c r="BH181" s="64"/>
      <c r="BI181" s="64"/>
      <c r="BJ181" s="64"/>
      <c r="BK181" s="55"/>
      <c r="BL181" s="55"/>
      <c r="BM181" s="55"/>
      <c r="BN181" s="64"/>
      <c r="BO181" s="64"/>
      <c r="BP181" s="64"/>
      <c r="BQ181" s="64"/>
      <c r="BR181" s="64"/>
      <c r="BS181" s="64"/>
      <c r="BT181" s="64"/>
      <c r="BU181" s="64"/>
      <c r="BV181" s="64"/>
      <c r="BW181" s="55"/>
      <c r="BX181" s="55"/>
      <c r="BY181" s="55"/>
      <c r="BZ181" s="55"/>
      <c r="CA181" s="55"/>
      <c r="CB181" s="55"/>
      <c r="CC181" s="55"/>
      <c r="CD181" s="55"/>
      <c r="CE181" s="55"/>
      <c r="CF181" s="55"/>
      <c r="CG181" s="55"/>
      <c r="CH181" s="55"/>
    </row>
    <row r="182" ht="16.5" customHeight="1">
      <c r="A182" s="55"/>
      <c r="B182" s="55"/>
      <c r="C182" s="55"/>
      <c r="D182" s="55"/>
      <c r="E182" s="55"/>
      <c r="F182" s="55"/>
      <c r="G182" s="55"/>
      <c r="H182" s="64"/>
      <c r="I182" s="64"/>
      <c r="J182" s="64"/>
      <c r="K182" s="64"/>
      <c r="L182" s="64"/>
      <c r="M182" s="64"/>
      <c r="N182" s="64"/>
      <c r="O182" s="64"/>
      <c r="P182" s="64"/>
      <c r="Q182" s="64"/>
      <c r="R182" s="64"/>
      <c r="S182" s="64"/>
      <c r="T182" s="55"/>
      <c r="U182" s="55"/>
      <c r="V182" s="55"/>
      <c r="W182" s="64"/>
      <c r="X182" s="64"/>
      <c r="Y182" s="55"/>
      <c r="Z182" s="55"/>
      <c r="AA182" s="55"/>
      <c r="AB182" s="64"/>
      <c r="AC182" s="64"/>
      <c r="AD182" s="64"/>
      <c r="AE182" s="64"/>
      <c r="AF182" s="64"/>
      <c r="AG182" s="55"/>
      <c r="AH182" s="55"/>
      <c r="AI182" s="64"/>
      <c r="AJ182" s="64"/>
      <c r="AK182" s="64"/>
      <c r="AL182" s="64"/>
      <c r="AM182" s="64"/>
      <c r="AN182" s="64"/>
      <c r="AO182" s="55"/>
      <c r="AP182" s="55"/>
      <c r="AQ182" s="64"/>
      <c r="AR182" s="64"/>
      <c r="AS182" s="64"/>
      <c r="AT182" s="64"/>
      <c r="AU182" s="64"/>
      <c r="AV182" s="55"/>
      <c r="AW182" s="55"/>
      <c r="AX182" s="64"/>
      <c r="AY182" s="64"/>
      <c r="AZ182" s="64"/>
      <c r="BA182" s="64"/>
      <c r="BB182" s="64"/>
      <c r="BC182" s="55"/>
      <c r="BD182" s="55"/>
      <c r="BE182" s="64"/>
      <c r="BF182" s="55"/>
      <c r="BG182" s="64"/>
      <c r="BH182" s="64"/>
      <c r="BI182" s="64"/>
      <c r="BJ182" s="64"/>
      <c r="BK182" s="55"/>
      <c r="BL182" s="55"/>
      <c r="BM182" s="55"/>
      <c r="BN182" s="64"/>
      <c r="BO182" s="64"/>
      <c r="BP182" s="64"/>
      <c r="BQ182" s="64"/>
      <c r="BR182" s="64"/>
      <c r="BS182" s="64"/>
      <c r="BT182" s="64"/>
      <c r="BU182" s="64"/>
      <c r="BV182" s="64"/>
      <c r="BW182" s="55"/>
      <c r="BX182" s="55"/>
      <c r="BY182" s="55"/>
      <c r="BZ182" s="55"/>
      <c r="CA182" s="55"/>
      <c r="CB182" s="55"/>
      <c r="CC182" s="55"/>
      <c r="CD182" s="55"/>
      <c r="CE182" s="55"/>
      <c r="CF182" s="55"/>
      <c r="CG182" s="55"/>
      <c r="CH182" s="55"/>
    </row>
    <row r="183" ht="16.5" customHeight="1">
      <c r="A183" s="55"/>
      <c r="B183" s="55"/>
      <c r="C183" s="55"/>
      <c r="D183" s="55"/>
      <c r="E183" s="55"/>
      <c r="F183" s="55"/>
      <c r="G183" s="55"/>
      <c r="H183" s="64"/>
      <c r="I183" s="64"/>
      <c r="J183" s="64"/>
      <c r="K183" s="64"/>
      <c r="L183" s="64"/>
      <c r="M183" s="64"/>
      <c r="N183" s="64"/>
      <c r="O183" s="64"/>
      <c r="P183" s="64"/>
      <c r="Q183" s="64"/>
      <c r="R183" s="64"/>
      <c r="S183" s="64"/>
      <c r="T183" s="55"/>
      <c r="U183" s="55"/>
      <c r="V183" s="55"/>
      <c r="W183" s="64"/>
      <c r="X183" s="64"/>
      <c r="Y183" s="55"/>
      <c r="Z183" s="55"/>
      <c r="AA183" s="55"/>
      <c r="AB183" s="64"/>
      <c r="AC183" s="64"/>
      <c r="AD183" s="64"/>
      <c r="AE183" s="64"/>
      <c r="AF183" s="64"/>
      <c r="AG183" s="55"/>
      <c r="AH183" s="55"/>
      <c r="AI183" s="64"/>
      <c r="AJ183" s="64"/>
      <c r="AK183" s="64"/>
      <c r="AL183" s="64"/>
      <c r="AM183" s="64"/>
      <c r="AN183" s="64"/>
      <c r="AO183" s="55"/>
      <c r="AP183" s="55"/>
      <c r="AQ183" s="64"/>
      <c r="AR183" s="64"/>
      <c r="AS183" s="64"/>
      <c r="AT183" s="64"/>
      <c r="AU183" s="64"/>
      <c r="AV183" s="55"/>
      <c r="AW183" s="55"/>
      <c r="AX183" s="64"/>
      <c r="AY183" s="64"/>
      <c r="AZ183" s="64"/>
      <c r="BA183" s="64"/>
      <c r="BB183" s="64"/>
      <c r="BC183" s="55"/>
      <c r="BD183" s="55"/>
      <c r="BE183" s="64"/>
      <c r="BF183" s="55"/>
      <c r="BG183" s="64"/>
      <c r="BH183" s="64"/>
      <c r="BI183" s="64"/>
      <c r="BJ183" s="64"/>
      <c r="BK183" s="55"/>
      <c r="BL183" s="55"/>
      <c r="BM183" s="55"/>
      <c r="BN183" s="64"/>
      <c r="BO183" s="64"/>
      <c r="BP183" s="64"/>
      <c r="BQ183" s="64"/>
      <c r="BR183" s="64"/>
      <c r="BS183" s="64"/>
      <c r="BT183" s="64"/>
      <c r="BU183" s="64"/>
      <c r="BV183" s="64"/>
      <c r="BW183" s="55"/>
      <c r="BX183" s="55"/>
      <c r="BY183" s="55"/>
      <c r="BZ183" s="55"/>
      <c r="CA183" s="55"/>
      <c r="CB183" s="55"/>
      <c r="CC183" s="55"/>
      <c r="CD183" s="55"/>
      <c r="CE183" s="55"/>
      <c r="CF183" s="55"/>
      <c r="CG183" s="55"/>
      <c r="CH183" s="55"/>
    </row>
    <row r="184" ht="16.5" customHeight="1">
      <c r="A184" s="55"/>
      <c r="B184" s="55"/>
      <c r="C184" s="55"/>
      <c r="D184" s="55"/>
      <c r="E184" s="55"/>
      <c r="F184" s="55"/>
      <c r="G184" s="55"/>
      <c r="H184" s="64"/>
      <c r="I184" s="64"/>
      <c r="J184" s="64"/>
      <c r="K184" s="64"/>
      <c r="L184" s="64"/>
      <c r="M184" s="64"/>
      <c r="N184" s="64"/>
      <c r="O184" s="64"/>
      <c r="P184" s="64"/>
      <c r="Q184" s="64"/>
      <c r="R184" s="64"/>
      <c r="S184" s="64"/>
      <c r="T184" s="55"/>
      <c r="U184" s="55"/>
      <c r="V184" s="55"/>
      <c r="W184" s="64"/>
      <c r="X184" s="64"/>
      <c r="Y184" s="55"/>
      <c r="Z184" s="55"/>
      <c r="AA184" s="55"/>
      <c r="AB184" s="64"/>
      <c r="AC184" s="64"/>
      <c r="AD184" s="64"/>
      <c r="AE184" s="64"/>
      <c r="AF184" s="64"/>
      <c r="AG184" s="55"/>
      <c r="AH184" s="55"/>
      <c r="AI184" s="64"/>
      <c r="AJ184" s="64"/>
      <c r="AK184" s="64"/>
      <c r="AL184" s="64"/>
      <c r="AM184" s="64"/>
      <c r="AN184" s="64"/>
      <c r="AO184" s="55"/>
      <c r="AP184" s="55"/>
      <c r="AQ184" s="64"/>
      <c r="AR184" s="64"/>
      <c r="AS184" s="64"/>
      <c r="AT184" s="64"/>
      <c r="AU184" s="64"/>
      <c r="AV184" s="55"/>
      <c r="AW184" s="55"/>
      <c r="AX184" s="64"/>
      <c r="AY184" s="64"/>
      <c r="AZ184" s="64"/>
      <c r="BA184" s="64"/>
      <c r="BB184" s="64"/>
      <c r="BC184" s="55"/>
      <c r="BD184" s="55"/>
      <c r="BE184" s="64"/>
      <c r="BF184" s="55"/>
      <c r="BG184" s="64"/>
      <c r="BH184" s="64"/>
      <c r="BI184" s="64"/>
      <c r="BJ184" s="64"/>
      <c r="BK184" s="55"/>
      <c r="BL184" s="55"/>
      <c r="BM184" s="55"/>
      <c r="BN184" s="64"/>
      <c r="BO184" s="64"/>
      <c r="BP184" s="64"/>
      <c r="BQ184" s="64"/>
      <c r="BR184" s="64"/>
      <c r="BS184" s="64"/>
      <c r="BT184" s="64"/>
      <c r="BU184" s="64"/>
      <c r="BV184" s="64"/>
      <c r="BW184" s="55"/>
      <c r="BX184" s="55"/>
      <c r="BY184" s="55"/>
      <c r="BZ184" s="55"/>
      <c r="CA184" s="55"/>
      <c r="CB184" s="55"/>
      <c r="CC184" s="55"/>
      <c r="CD184" s="55"/>
      <c r="CE184" s="55"/>
      <c r="CF184" s="55"/>
      <c r="CG184" s="55"/>
      <c r="CH184" s="55"/>
    </row>
    <row r="185" ht="16.5" customHeight="1">
      <c r="A185" s="55"/>
      <c r="B185" s="55"/>
      <c r="C185" s="55"/>
      <c r="D185" s="55"/>
      <c r="E185" s="55"/>
      <c r="F185" s="55"/>
      <c r="G185" s="55"/>
      <c r="H185" s="64"/>
      <c r="I185" s="64"/>
      <c r="J185" s="64"/>
      <c r="K185" s="64"/>
      <c r="L185" s="64"/>
      <c r="M185" s="64"/>
      <c r="N185" s="64"/>
      <c r="O185" s="64"/>
      <c r="P185" s="64"/>
      <c r="Q185" s="64"/>
      <c r="R185" s="64"/>
      <c r="S185" s="64"/>
      <c r="T185" s="55"/>
      <c r="U185" s="55"/>
      <c r="V185" s="55"/>
      <c r="W185" s="64"/>
      <c r="X185" s="64"/>
      <c r="Y185" s="55"/>
      <c r="Z185" s="55"/>
      <c r="AA185" s="55"/>
      <c r="AB185" s="64"/>
      <c r="AC185" s="64"/>
      <c r="AD185" s="64"/>
      <c r="AE185" s="64"/>
      <c r="AF185" s="64"/>
      <c r="AG185" s="55"/>
      <c r="AH185" s="55"/>
      <c r="AI185" s="64"/>
      <c r="AJ185" s="64"/>
      <c r="AK185" s="64"/>
      <c r="AL185" s="64"/>
      <c r="AM185" s="64"/>
      <c r="AN185" s="64"/>
      <c r="AO185" s="55"/>
      <c r="AP185" s="55"/>
      <c r="AQ185" s="64"/>
      <c r="AR185" s="64"/>
      <c r="AS185" s="64"/>
      <c r="AT185" s="64"/>
      <c r="AU185" s="64"/>
      <c r="AV185" s="55"/>
      <c r="AW185" s="55"/>
      <c r="AX185" s="64"/>
      <c r="AY185" s="64"/>
      <c r="AZ185" s="64"/>
      <c r="BA185" s="64"/>
      <c r="BB185" s="64"/>
      <c r="BC185" s="55"/>
      <c r="BD185" s="55"/>
      <c r="BE185" s="64"/>
      <c r="BF185" s="55"/>
      <c r="BG185" s="64"/>
      <c r="BH185" s="64"/>
      <c r="BI185" s="64"/>
      <c r="BJ185" s="64"/>
      <c r="BK185" s="55"/>
      <c r="BL185" s="55"/>
      <c r="BM185" s="55"/>
      <c r="BN185" s="64"/>
      <c r="BO185" s="64"/>
      <c r="BP185" s="64"/>
      <c r="BQ185" s="64"/>
      <c r="BR185" s="64"/>
      <c r="BS185" s="64"/>
      <c r="BT185" s="64"/>
      <c r="BU185" s="64"/>
      <c r="BV185" s="64"/>
      <c r="BW185" s="55"/>
      <c r="BX185" s="55"/>
      <c r="BY185" s="55"/>
      <c r="BZ185" s="55"/>
      <c r="CA185" s="55"/>
      <c r="CB185" s="55"/>
      <c r="CC185" s="55"/>
      <c r="CD185" s="55"/>
      <c r="CE185" s="55"/>
      <c r="CF185" s="55"/>
      <c r="CG185" s="55"/>
      <c r="CH185" s="55"/>
    </row>
    <row r="186" ht="16.5" customHeight="1">
      <c r="A186" s="55"/>
      <c r="B186" s="55"/>
      <c r="C186" s="55"/>
      <c r="D186" s="55"/>
      <c r="E186" s="55"/>
      <c r="F186" s="55"/>
      <c r="G186" s="55"/>
      <c r="H186" s="64"/>
      <c r="I186" s="64"/>
      <c r="J186" s="64"/>
      <c r="K186" s="64"/>
      <c r="L186" s="64"/>
      <c r="M186" s="64"/>
      <c r="N186" s="64"/>
      <c r="O186" s="64"/>
      <c r="P186" s="64"/>
      <c r="Q186" s="64"/>
      <c r="R186" s="64"/>
      <c r="S186" s="64"/>
      <c r="T186" s="55"/>
      <c r="U186" s="55"/>
      <c r="V186" s="55"/>
      <c r="W186" s="64"/>
      <c r="X186" s="64"/>
      <c r="Y186" s="55"/>
      <c r="Z186" s="55"/>
      <c r="AA186" s="55"/>
      <c r="AB186" s="64"/>
      <c r="AC186" s="64"/>
      <c r="AD186" s="64"/>
      <c r="AE186" s="64"/>
      <c r="AF186" s="64"/>
      <c r="AG186" s="55"/>
      <c r="AH186" s="55"/>
      <c r="AI186" s="64"/>
      <c r="AJ186" s="64"/>
      <c r="AK186" s="64"/>
      <c r="AL186" s="64"/>
      <c r="AM186" s="64"/>
      <c r="AN186" s="64"/>
      <c r="AO186" s="55"/>
      <c r="AP186" s="55"/>
      <c r="AQ186" s="64"/>
      <c r="AR186" s="64"/>
      <c r="AS186" s="64"/>
      <c r="AT186" s="64"/>
      <c r="AU186" s="64"/>
      <c r="AV186" s="55"/>
      <c r="AW186" s="55"/>
      <c r="AX186" s="64"/>
      <c r="AY186" s="64"/>
      <c r="AZ186" s="64"/>
      <c r="BA186" s="64"/>
      <c r="BB186" s="64"/>
      <c r="BC186" s="55"/>
      <c r="BD186" s="55"/>
      <c r="BE186" s="64"/>
      <c r="BF186" s="55"/>
      <c r="BG186" s="64"/>
      <c r="BH186" s="64"/>
      <c r="BI186" s="64"/>
      <c r="BJ186" s="64"/>
      <c r="BK186" s="55"/>
      <c r="BL186" s="55"/>
      <c r="BM186" s="55"/>
      <c r="BN186" s="64"/>
      <c r="BO186" s="64"/>
      <c r="BP186" s="64"/>
      <c r="BQ186" s="64"/>
      <c r="BR186" s="64"/>
      <c r="BS186" s="64"/>
      <c r="BT186" s="64"/>
      <c r="BU186" s="64"/>
      <c r="BV186" s="64"/>
      <c r="BW186" s="55"/>
      <c r="BX186" s="55"/>
      <c r="BY186" s="55"/>
      <c r="BZ186" s="55"/>
      <c r="CA186" s="55"/>
      <c r="CB186" s="55"/>
      <c r="CC186" s="55"/>
      <c r="CD186" s="55"/>
      <c r="CE186" s="55"/>
      <c r="CF186" s="55"/>
      <c r="CG186" s="55"/>
      <c r="CH186" s="55"/>
    </row>
    <row r="187" ht="16.5" customHeight="1">
      <c r="A187" s="55"/>
      <c r="B187" s="55"/>
      <c r="C187" s="55"/>
      <c r="D187" s="55"/>
      <c r="E187" s="55"/>
      <c r="F187" s="55"/>
      <c r="G187" s="55"/>
      <c r="H187" s="64"/>
      <c r="I187" s="64"/>
      <c r="J187" s="64"/>
      <c r="K187" s="64"/>
      <c r="L187" s="64"/>
      <c r="M187" s="64"/>
      <c r="N187" s="64"/>
      <c r="O187" s="64"/>
      <c r="P187" s="64"/>
      <c r="Q187" s="64"/>
      <c r="R187" s="64"/>
      <c r="S187" s="64"/>
      <c r="T187" s="55"/>
      <c r="U187" s="55"/>
      <c r="V187" s="55"/>
      <c r="W187" s="64"/>
      <c r="X187" s="64"/>
      <c r="Y187" s="55"/>
      <c r="Z187" s="55"/>
      <c r="AA187" s="55"/>
      <c r="AB187" s="64"/>
      <c r="AC187" s="64"/>
      <c r="AD187" s="64"/>
      <c r="AE187" s="64"/>
      <c r="AF187" s="64"/>
      <c r="AG187" s="55"/>
      <c r="AH187" s="55"/>
      <c r="AI187" s="64"/>
      <c r="AJ187" s="64"/>
      <c r="AK187" s="64"/>
      <c r="AL187" s="64"/>
      <c r="AM187" s="64"/>
      <c r="AN187" s="64"/>
      <c r="AO187" s="55"/>
      <c r="AP187" s="55"/>
      <c r="AQ187" s="64"/>
      <c r="AR187" s="64"/>
      <c r="AS187" s="64"/>
      <c r="AT187" s="64"/>
      <c r="AU187" s="64"/>
      <c r="AV187" s="55"/>
      <c r="AW187" s="55"/>
      <c r="AX187" s="64"/>
      <c r="AY187" s="64"/>
      <c r="AZ187" s="64"/>
      <c r="BA187" s="64"/>
      <c r="BB187" s="64"/>
      <c r="BC187" s="55"/>
      <c r="BD187" s="55"/>
      <c r="BE187" s="64"/>
      <c r="BF187" s="55"/>
      <c r="BG187" s="64"/>
      <c r="BH187" s="64"/>
      <c r="BI187" s="64"/>
      <c r="BJ187" s="64"/>
      <c r="BK187" s="55"/>
      <c r="BL187" s="55"/>
      <c r="BM187" s="55"/>
      <c r="BN187" s="64"/>
      <c r="BO187" s="64"/>
      <c r="BP187" s="64"/>
      <c r="BQ187" s="64"/>
      <c r="BR187" s="64"/>
      <c r="BS187" s="64"/>
      <c r="BT187" s="64"/>
      <c r="BU187" s="64"/>
      <c r="BV187" s="64"/>
      <c r="BW187" s="55"/>
      <c r="BX187" s="55"/>
      <c r="BY187" s="55"/>
      <c r="BZ187" s="55"/>
      <c r="CA187" s="55"/>
      <c r="CB187" s="55"/>
      <c r="CC187" s="55"/>
      <c r="CD187" s="55"/>
      <c r="CE187" s="55"/>
      <c r="CF187" s="55"/>
      <c r="CG187" s="55"/>
      <c r="CH187" s="55"/>
    </row>
    <row r="188" ht="16.5" customHeight="1">
      <c r="A188" s="55"/>
      <c r="B188" s="55"/>
      <c r="C188" s="55"/>
      <c r="D188" s="55"/>
      <c r="E188" s="55"/>
      <c r="F188" s="55"/>
      <c r="G188" s="55"/>
      <c r="H188" s="64"/>
      <c r="I188" s="64"/>
      <c r="J188" s="64"/>
      <c r="K188" s="64"/>
      <c r="L188" s="64"/>
      <c r="M188" s="64"/>
      <c r="N188" s="64"/>
      <c r="O188" s="64"/>
      <c r="P188" s="64"/>
      <c r="Q188" s="64"/>
      <c r="R188" s="64"/>
      <c r="S188" s="64"/>
      <c r="T188" s="55"/>
      <c r="U188" s="55"/>
      <c r="V188" s="55"/>
      <c r="W188" s="64"/>
      <c r="X188" s="64"/>
      <c r="Y188" s="55"/>
      <c r="Z188" s="55"/>
      <c r="AA188" s="55"/>
      <c r="AB188" s="64"/>
      <c r="AC188" s="64"/>
      <c r="AD188" s="64"/>
      <c r="AE188" s="64"/>
      <c r="AF188" s="64"/>
      <c r="AG188" s="55"/>
      <c r="AH188" s="55"/>
      <c r="AI188" s="64"/>
      <c r="AJ188" s="64"/>
      <c r="AK188" s="64"/>
      <c r="AL188" s="64"/>
      <c r="AM188" s="64"/>
      <c r="AN188" s="64"/>
      <c r="AO188" s="55"/>
      <c r="AP188" s="55"/>
      <c r="AQ188" s="64"/>
      <c r="AR188" s="64"/>
      <c r="AS188" s="64"/>
      <c r="AT188" s="64"/>
      <c r="AU188" s="64"/>
      <c r="AV188" s="55"/>
      <c r="AW188" s="55"/>
      <c r="AX188" s="64"/>
      <c r="AY188" s="64"/>
      <c r="AZ188" s="64"/>
      <c r="BA188" s="64"/>
      <c r="BB188" s="64"/>
      <c r="BC188" s="55"/>
      <c r="BD188" s="55"/>
      <c r="BE188" s="64"/>
      <c r="BF188" s="55"/>
      <c r="BG188" s="64"/>
      <c r="BH188" s="64"/>
      <c r="BI188" s="64"/>
      <c r="BJ188" s="64"/>
      <c r="BK188" s="55"/>
      <c r="BL188" s="55"/>
      <c r="BM188" s="55"/>
      <c r="BN188" s="64"/>
      <c r="BO188" s="64"/>
      <c r="BP188" s="64"/>
      <c r="BQ188" s="64"/>
      <c r="BR188" s="64"/>
      <c r="BS188" s="64"/>
      <c r="BT188" s="64"/>
      <c r="BU188" s="64"/>
      <c r="BV188" s="64"/>
      <c r="BW188" s="55"/>
      <c r="BX188" s="55"/>
      <c r="BY188" s="55"/>
      <c r="BZ188" s="55"/>
      <c r="CA188" s="55"/>
      <c r="CB188" s="55"/>
      <c r="CC188" s="55"/>
      <c r="CD188" s="55"/>
      <c r="CE188" s="55"/>
      <c r="CF188" s="55"/>
      <c r="CG188" s="55"/>
      <c r="CH188" s="55"/>
    </row>
    <row r="189" ht="16.5" customHeight="1">
      <c r="A189" s="55"/>
      <c r="B189" s="55"/>
      <c r="C189" s="55"/>
      <c r="D189" s="55"/>
      <c r="E189" s="55"/>
      <c r="F189" s="55"/>
      <c r="G189" s="55"/>
      <c r="H189" s="64"/>
      <c r="I189" s="64"/>
      <c r="J189" s="64"/>
      <c r="K189" s="64"/>
      <c r="L189" s="64"/>
      <c r="M189" s="64"/>
      <c r="N189" s="64"/>
      <c r="O189" s="64"/>
      <c r="P189" s="64"/>
      <c r="Q189" s="64"/>
      <c r="R189" s="64"/>
      <c r="S189" s="64"/>
      <c r="T189" s="55"/>
      <c r="U189" s="55"/>
      <c r="V189" s="55"/>
      <c r="W189" s="64"/>
      <c r="X189" s="64"/>
      <c r="Y189" s="55"/>
      <c r="Z189" s="55"/>
      <c r="AA189" s="55"/>
      <c r="AB189" s="64"/>
      <c r="AC189" s="64"/>
      <c r="AD189" s="64"/>
      <c r="AE189" s="64"/>
      <c r="AF189" s="64"/>
      <c r="AG189" s="55"/>
      <c r="AH189" s="55"/>
      <c r="AI189" s="64"/>
      <c r="AJ189" s="64"/>
      <c r="AK189" s="64"/>
      <c r="AL189" s="64"/>
      <c r="AM189" s="64"/>
      <c r="AN189" s="64"/>
      <c r="AO189" s="55"/>
      <c r="AP189" s="55"/>
      <c r="AQ189" s="64"/>
      <c r="AR189" s="64"/>
      <c r="AS189" s="64"/>
      <c r="AT189" s="64"/>
      <c r="AU189" s="64"/>
      <c r="AV189" s="55"/>
      <c r="AW189" s="55"/>
      <c r="AX189" s="64"/>
      <c r="AY189" s="64"/>
      <c r="AZ189" s="64"/>
      <c r="BA189" s="64"/>
      <c r="BB189" s="64"/>
      <c r="BC189" s="55"/>
      <c r="BD189" s="55"/>
      <c r="BE189" s="64"/>
      <c r="BF189" s="55"/>
      <c r="BG189" s="64"/>
      <c r="BH189" s="64"/>
      <c r="BI189" s="64"/>
      <c r="BJ189" s="64"/>
      <c r="BK189" s="55"/>
      <c r="BL189" s="55"/>
      <c r="BM189" s="55"/>
      <c r="BN189" s="64"/>
      <c r="BO189" s="64"/>
      <c r="BP189" s="64"/>
      <c r="BQ189" s="64"/>
      <c r="BR189" s="64"/>
      <c r="BS189" s="64"/>
      <c r="BT189" s="64"/>
      <c r="BU189" s="64"/>
      <c r="BV189" s="64"/>
      <c r="BW189" s="55"/>
      <c r="BX189" s="55"/>
      <c r="BY189" s="55"/>
      <c r="BZ189" s="55"/>
      <c r="CA189" s="55"/>
      <c r="CB189" s="55"/>
      <c r="CC189" s="55"/>
      <c r="CD189" s="55"/>
      <c r="CE189" s="55"/>
      <c r="CF189" s="55"/>
      <c r="CG189" s="55"/>
      <c r="CH189" s="55"/>
    </row>
    <row r="190" ht="16.5" customHeight="1">
      <c r="A190" s="55"/>
      <c r="B190" s="55"/>
      <c r="C190" s="55"/>
      <c r="D190" s="55"/>
      <c r="E190" s="55"/>
      <c r="F190" s="55"/>
      <c r="G190" s="55"/>
      <c r="H190" s="64"/>
      <c r="I190" s="64"/>
      <c r="J190" s="64"/>
      <c r="K190" s="64"/>
      <c r="L190" s="64"/>
      <c r="M190" s="64"/>
      <c r="N190" s="64"/>
      <c r="O190" s="64"/>
      <c r="P190" s="64"/>
      <c r="Q190" s="64"/>
      <c r="R190" s="64"/>
      <c r="S190" s="64"/>
      <c r="T190" s="55"/>
      <c r="U190" s="55"/>
      <c r="V190" s="55"/>
      <c r="W190" s="64"/>
      <c r="X190" s="64"/>
      <c r="Y190" s="55"/>
      <c r="Z190" s="55"/>
      <c r="AA190" s="55"/>
      <c r="AB190" s="64"/>
      <c r="AC190" s="64"/>
      <c r="AD190" s="64"/>
      <c r="AE190" s="64"/>
      <c r="AF190" s="64"/>
      <c r="AG190" s="55"/>
      <c r="AH190" s="55"/>
      <c r="AI190" s="64"/>
      <c r="AJ190" s="64"/>
      <c r="AK190" s="64"/>
      <c r="AL190" s="64"/>
      <c r="AM190" s="64"/>
      <c r="AN190" s="64"/>
      <c r="AO190" s="55"/>
      <c r="AP190" s="55"/>
      <c r="AQ190" s="64"/>
      <c r="AR190" s="64"/>
      <c r="AS190" s="64"/>
      <c r="AT190" s="64"/>
      <c r="AU190" s="64"/>
      <c r="AV190" s="55"/>
      <c r="AW190" s="55"/>
      <c r="AX190" s="64"/>
      <c r="AY190" s="64"/>
      <c r="AZ190" s="64"/>
      <c r="BA190" s="64"/>
      <c r="BB190" s="64"/>
      <c r="BC190" s="55"/>
      <c r="BD190" s="55"/>
      <c r="BE190" s="64"/>
      <c r="BF190" s="55"/>
      <c r="BG190" s="64"/>
      <c r="BH190" s="64"/>
      <c r="BI190" s="64"/>
      <c r="BJ190" s="64"/>
      <c r="BK190" s="55"/>
      <c r="BL190" s="55"/>
      <c r="BM190" s="55"/>
      <c r="BN190" s="64"/>
      <c r="BO190" s="64"/>
      <c r="BP190" s="64"/>
      <c r="BQ190" s="64"/>
      <c r="BR190" s="64"/>
      <c r="BS190" s="64"/>
      <c r="BT190" s="64"/>
      <c r="BU190" s="64"/>
      <c r="BV190" s="64"/>
      <c r="BW190" s="55"/>
      <c r="BX190" s="55"/>
      <c r="BY190" s="55"/>
      <c r="BZ190" s="55"/>
      <c r="CA190" s="55"/>
      <c r="CB190" s="55"/>
      <c r="CC190" s="55"/>
      <c r="CD190" s="55"/>
      <c r="CE190" s="55"/>
      <c r="CF190" s="55"/>
      <c r="CG190" s="55"/>
      <c r="CH190" s="55"/>
    </row>
    <row r="191" ht="16.5" customHeight="1">
      <c r="A191" s="55"/>
      <c r="B191" s="55"/>
      <c r="C191" s="55"/>
      <c r="D191" s="55"/>
      <c r="E191" s="55"/>
      <c r="F191" s="55"/>
      <c r="G191" s="55"/>
      <c r="H191" s="64"/>
      <c r="I191" s="64"/>
      <c r="J191" s="64"/>
      <c r="K191" s="64"/>
      <c r="L191" s="64"/>
      <c r="M191" s="64"/>
      <c r="N191" s="64"/>
      <c r="O191" s="64"/>
      <c r="P191" s="64"/>
      <c r="Q191" s="64"/>
      <c r="R191" s="64"/>
      <c r="S191" s="64"/>
      <c r="T191" s="55"/>
      <c r="U191" s="55"/>
      <c r="V191" s="55"/>
      <c r="W191" s="64"/>
      <c r="X191" s="64"/>
      <c r="Y191" s="55"/>
      <c r="Z191" s="55"/>
      <c r="AA191" s="55"/>
      <c r="AB191" s="64"/>
      <c r="AC191" s="64"/>
      <c r="AD191" s="64"/>
      <c r="AE191" s="64"/>
      <c r="AF191" s="64"/>
      <c r="AG191" s="55"/>
      <c r="AH191" s="55"/>
      <c r="AI191" s="64"/>
      <c r="AJ191" s="64"/>
      <c r="AK191" s="64"/>
      <c r="AL191" s="64"/>
      <c r="AM191" s="64"/>
      <c r="AN191" s="64"/>
      <c r="AO191" s="55"/>
      <c r="AP191" s="55"/>
      <c r="AQ191" s="64"/>
      <c r="AR191" s="64"/>
      <c r="AS191" s="64"/>
      <c r="AT191" s="64"/>
      <c r="AU191" s="64"/>
      <c r="AV191" s="55"/>
      <c r="AW191" s="55"/>
      <c r="AX191" s="64"/>
      <c r="AY191" s="64"/>
      <c r="AZ191" s="64"/>
      <c r="BA191" s="64"/>
      <c r="BB191" s="64"/>
      <c r="BC191" s="55"/>
      <c r="BD191" s="55"/>
      <c r="BE191" s="64"/>
      <c r="BF191" s="55"/>
      <c r="BG191" s="64"/>
      <c r="BH191" s="64"/>
      <c r="BI191" s="64"/>
      <c r="BJ191" s="64"/>
      <c r="BK191" s="55"/>
      <c r="BL191" s="55"/>
      <c r="BM191" s="55"/>
      <c r="BN191" s="64"/>
      <c r="BO191" s="64"/>
      <c r="BP191" s="64"/>
      <c r="BQ191" s="64"/>
      <c r="BR191" s="64"/>
      <c r="BS191" s="64"/>
      <c r="BT191" s="64"/>
      <c r="BU191" s="64"/>
      <c r="BV191" s="64"/>
      <c r="BW191" s="55"/>
      <c r="BX191" s="55"/>
      <c r="BY191" s="55"/>
      <c r="BZ191" s="55"/>
      <c r="CA191" s="55"/>
      <c r="CB191" s="55"/>
      <c r="CC191" s="55"/>
      <c r="CD191" s="55"/>
      <c r="CE191" s="55"/>
      <c r="CF191" s="55"/>
      <c r="CG191" s="55"/>
      <c r="CH191" s="55"/>
    </row>
    <row r="192" ht="16.5" customHeight="1">
      <c r="A192" s="55"/>
      <c r="B192" s="55"/>
      <c r="C192" s="55"/>
      <c r="D192" s="55"/>
      <c r="E192" s="55"/>
      <c r="F192" s="55"/>
      <c r="G192" s="55"/>
      <c r="H192" s="64"/>
      <c r="I192" s="64"/>
      <c r="J192" s="64"/>
      <c r="K192" s="64"/>
      <c r="L192" s="64"/>
      <c r="M192" s="64"/>
      <c r="N192" s="64"/>
      <c r="O192" s="64"/>
      <c r="P192" s="64"/>
      <c r="Q192" s="64"/>
      <c r="R192" s="64"/>
      <c r="S192" s="64"/>
      <c r="T192" s="55"/>
      <c r="U192" s="55"/>
      <c r="V192" s="55"/>
      <c r="W192" s="64"/>
      <c r="X192" s="64"/>
      <c r="Y192" s="55"/>
      <c r="Z192" s="55"/>
      <c r="AA192" s="55"/>
      <c r="AB192" s="64"/>
      <c r="AC192" s="64"/>
      <c r="AD192" s="64"/>
      <c r="AE192" s="64"/>
      <c r="AF192" s="64"/>
      <c r="AG192" s="55"/>
      <c r="AH192" s="55"/>
      <c r="AI192" s="64"/>
      <c r="AJ192" s="64"/>
      <c r="AK192" s="64"/>
      <c r="AL192" s="64"/>
      <c r="AM192" s="64"/>
      <c r="AN192" s="64"/>
      <c r="AO192" s="55"/>
      <c r="AP192" s="55"/>
      <c r="AQ192" s="64"/>
      <c r="AR192" s="64"/>
      <c r="AS192" s="64"/>
      <c r="AT192" s="64"/>
      <c r="AU192" s="64"/>
      <c r="AV192" s="55"/>
      <c r="AW192" s="55"/>
      <c r="AX192" s="64"/>
      <c r="AY192" s="64"/>
      <c r="AZ192" s="64"/>
      <c r="BA192" s="64"/>
      <c r="BB192" s="64"/>
      <c r="BC192" s="55"/>
      <c r="BD192" s="55"/>
      <c r="BE192" s="64"/>
      <c r="BF192" s="55"/>
      <c r="BG192" s="64"/>
      <c r="BH192" s="64"/>
      <c r="BI192" s="64"/>
      <c r="BJ192" s="64"/>
      <c r="BK192" s="55"/>
      <c r="BL192" s="55"/>
      <c r="BM192" s="55"/>
      <c r="BN192" s="64"/>
      <c r="BO192" s="64"/>
      <c r="BP192" s="64"/>
      <c r="BQ192" s="64"/>
      <c r="BR192" s="64"/>
      <c r="BS192" s="64"/>
      <c r="BT192" s="64"/>
      <c r="BU192" s="64"/>
      <c r="BV192" s="64"/>
      <c r="BW192" s="55"/>
      <c r="BX192" s="55"/>
      <c r="BY192" s="55"/>
      <c r="BZ192" s="55"/>
      <c r="CA192" s="55"/>
      <c r="CB192" s="55"/>
      <c r="CC192" s="55"/>
      <c r="CD192" s="55"/>
      <c r="CE192" s="55"/>
      <c r="CF192" s="55"/>
      <c r="CG192" s="55"/>
      <c r="CH192" s="55"/>
    </row>
    <row r="193" ht="16.5" customHeight="1">
      <c r="A193" s="55"/>
      <c r="B193" s="55"/>
      <c r="C193" s="55"/>
      <c r="D193" s="55"/>
      <c r="E193" s="55"/>
      <c r="F193" s="55"/>
      <c r="G193" s="55"/>
      <c r="H193" s="64"/>
      <c r="I193" s="64"/>
      <c r="J193" s="64"/>
      <c r="K193" s="64"/>
      <c r="L193" s="64"/>
      <c r="M193" s="64"/>
      <c r="N193" s="64"/>
      <c r="O193" s="64"/>
      <c r="P193" s="64"/>
      <c r="Q193" s="64"/>
      <c r="R193" s="64"/>
      <c r="S193" s="64"/>
      <c r="T193" s="55"/>
      <c r="U193" s="55"/>
      <c r="V193" s="55"/>
      <c r="W193" s="64"/>
      <c r="X193" s="64"/>
      <c r="Y193" s="55"/>
      <c r="Z193" s="55"/>
      <c r="AA193" s="55"/>
      <c r="AB193" s="64"/>
      <c r="AC193" s="64"/>
      <c r="AD193" s="64"/>
      <c r="AE193" s="64"/>
      <c r="AF193" s="64"/>
      <c r="AG193" s="55"/>
      <c r="AH193" s="55"/>
      <c r="AI193" s="64"/>
      <c r="AJ193" s="64"/>
      <c r="AK193" s="64"/>
      <c r="AL193" s="64"/>
      <c r="AM193" s="64"/>
      <c r="AN193" s="64"/>
      <c r="AO193" s="55"/>
      <c r="AP193" s="55"/>
      <c r="AQ193" s="64"/>
      <c r="AR193" s="64"/>
      <c r="AS193" s="64"/>
      <c r="AT193" s="64"/>
      <c r="AU193" s="64"/>
      <c r="AV193" s="55"/>
      <c r="AW193" s="55"/>
      <c r="AX193" s="64"/>
      <c r="AY193" s="64"/>
      <c r="AZ193" s="64"/>
      <c r="BA193" s="64"/>
      <c r="BB193" s="64"/>
      <c r="BC193" s="55"/>
      <c r="BD193" s="55"/>
      <c r="BE193" s="64"/>
      <c r="BF193" s="55"/>
      <c r="BG193" s="64"/>
      <c r="BH193" s="64"/>
      <c r="BI193" s="64"/>
      <c r="BJ193" s="64"/>
      <c r="BK193" s="55"/>
      <c r="BL193" s="55"/>
      <c r="BM193" s="55"/>
      <c r="BN193" s="64"/>
      <c r="BO193" s="64"/>
      <c r="BP193" s="64"/>
      <c r="BQ193" s="64"/>
      <c r="BR193" s="64"/>
      <c r="BS193" s="64"/>
      <c r="BT193" s="64"/>
      <c r="BU193" s="64"/>
      <c r="BV193" s="64"/>
      <c r="BW193" s="55"/>
      <c r="BX193" s="55"/>
      <c r="BY193" s="55"/>
      <c r="BZ193" s="55"/>
      <c r="CA193" s="55"/>
      <c r="CB193" s="55"/>
      <c r="CC193" s="55"/>
      <c r="CD193" s="55"/>
      <c r="CE193" s="55"/>
      <c r="CF193" s="55"/>
      <c r="CG193" s="55"/>
      <c r="CH193" s="55"/>
    </row>
    <row r="194" ht="16.5" customHeight="1">
      <c r="A194" s="55"/>
      <c r="B194" s="55"/>
      <c r="C194" s="55"/>
      <c r="D194" s="55"/>
      <c r="E194" s="55"/>
      <c r="F194" s="55"/>
      <c r="G194" s="55"/>
      <c r="H194" s="64"/>
      <c r="I194" s="64"/>
      <c r="J194" s="64"/>
      <c r="K194" s="64"/>
      <c r="L194" s="64"/>
      <c r="M194" s="64"/>
      <c r="N194" s="64"/>
      <c r="O194" s="64"/>
      <c r="P194" s="64"/>
      <c r="Q194" s="64"/>
      <c r="R194" s="64"/>
      <c r="S194" s="64"/>
      <c r="T194" s="55"/>
      <c r="U194" s="55"/>
      <c r="V194" s="55"/>
      <c r="W194" s="64"/>
      <c r="X194" s="64"/>
      <c r="Y194" s="55"/>
      <c r="Z194" s="55"/>
      <c r="AA194" s="55"/>
      <c r="AB194" s="64"/>
      <c r="AC194" s="64"/>
      <c r="AD194" s="64"/>
      <c r="AE194" s="64"/>
      <c r="AF194" s="64"/>
      <c r="AG194" s="55"/>
      <c r="AH194" s="55"/>
      <c r="AI194" s="64"/>
      <c r="AJ194" s="64"/>
      <c r="AK194" s="64"/>
      <c r="AL194" s="64"/>
      <c r="AM194" s="64"/>
      <c r="AN194" s="64"/>
      <c r="AO194" s="55"/>
      <c r="AP194" s="55"/>
      <c r="AQ194" s="64"/>
      <c r="AR194" s="64"/>
      <c r="AS194" s="64"/>
      <c r="AT194" s="64"/>
      <c r="AU194" s="64"/>
      <c r="AV194" s="55"/>
      <c r="AW194" s="55"/>
      <c r="AX194" s="64"/>
      <c r="AY194" s="64"/>
      <c r="AZ194" s="64"/>
      <c r="BA194" s="64"/>
      <c r="BB194" s="64"/>
      <c r="BC194" s="55"/>
      <c r="BD194" s="55"/>
      <c r="BE194" s="64"/>
      <c r="BF194" s="55"/>
      <c r="BG194" s="64"/>
      <c r="BH194" s="64"/>
      <c r="BI194" s="64"/>
      <c r="BJ194" s="64"/>
      <c r="BK194" s="55"/>
      <c r="BL194" s="55"/>
      <c r="BM194" s="55"/>
      <c r="BN194" s="64"/>
      <c r="BO194" s="64"/>
      <c r="BP194" s="64"/>
      <c r="BQ194" s="64"/>
      <c r="BR194" s="64"/>
      <c r="BS194" s="64"/>
      <c r="BT194" s="64"/>
      <c r="BU194" s="64"/>
      <c r="BV194" s="64"/>
      <c r="BW194" s="55"/>
      <c r="BX194" s="55"/>
      <c r="BY194" s="55"/>
      <c r="BZ194" s="55"/>
      <c r="CA194" s="55"/>
      <c r="CB194" s="55"/>
      <c r="CC194" s="55"/>
      <c r="CD194" s="55"/>
      <c r="CE194" s="55"/>
      <c r="CF194" s="55"/>
      <c r="CG194" s="55"/>
      <c r="CH194" s="55"/>
    </row>
    <row r="195" ht="16.5" customHeight="1">
      <c r="A195" s="55"/>
      <c r="B195" s="55"/>
      <c r="C195" s="55"/>
      <c r="D195" s="55"/>
      <c r="E195" s="55"/>
      <c r="F195" s="55"/>
      <c r="G195" s="55"/>
      <c r="H195" s="64"/>
      <c r="I195" s="64"/>
      <c r="J195" s="64"/>
      <c r="K195" s="64"/>
      <c r="L195" s="64"/>
      <c r="M195" s="64"/>
      <c r="N195" s="64"/>
      <c r="O195" s="64"/>
      <c r="P195" s="64"/>
      <c r="Q195" s="64"/>
      <c r="R195" s="64"/>
      <c r="S195" s="64"/>
      <c r="T195" s="55"/>
      <c r="U195" s="55"/>
      <c r="V195" s="55"/>
      <c r="W195" s="64"/>
      <c r="X195" s="64"/>
      <c r="Y195" s="55"/>
      <c r="Z195" s="55"/>
      <c r="AA195" s="55"/>
      <c r="AB195" s="64"/>
      <c r="AC195" s="64"/>
      <c r="AD195" s="64"/>
      <c r="AE195" s="64"/>
      <c r="AF195" s="64"/>
      <c r="AG195" s="55"/>
      <c r="AH195" s="55"/>
      <c r="AI195" s="64"/>
      <c r="AJ195" s="64"/>
      <c r="AK195" s="64"/>
      <c r="AL195" s="64"/>
      <c r="AM195" s="64"/>
      <c r="AN195" s="64"/>
      <c r="AO195" s="55"/>
      <c r="AP195" s="55"/>
      <c r="AQ195" s="64"/>
      <c r="AR195" s="64"/>
      <c r="AS195" s="64"/>
      <c r="AT195" s="64"/>
      <c r="AU195" s="64"/>
      <c r="AV195" s="55"/>
      <c r="AW195" s="55"/>
      <c r="AX195" s="64"/>
      <c r="AY195" s="64"/>
      <c r="AZ195" s="64"/>
      <c r="BA195" s="64"/>
      <c r="BB195" s="64"/>
      <c r="BC195" s="55"/>
      <c r="BD195" s="55"/>
      <c r="BE195" s="64"/>
      <c r="BF195" s="55"/>
      <c r="BG195" s="64"/>
      <c r="BH195" s="64"/>
      <c r="BI195" s="64"/>
      <c r="BJ195" s="64"/>
      <c r="BK195" s="55"/>
      <c r="BL195" s="55"/>
      <c r="BM195" s="55"/>
      <c r="BN195" s="64"/>
      <c r="BO195" s="64"/>
      <c r="BP195" s="64"/>
      <c r="BQ195" s="64"/>
      <c r="BR195" s="64"/>
      <c r="BS195" s="64"/>
      <c r="BT195" s="64"/>
      <c r="BU195" s="64"/>
      <c r="BV195" s="64"/>
      <c r="BW195" s="55"/>
      <c r="BX195" s="55"/>
      <c r="BY195" s="55"/>
      <c r="BZ195" s="55"/>
      <c r="CA195" s="55"/>
      <c r="CB195" s="55"/>
      <c r="CC195" s="55"/>
      <c r="CD195" s="55"/>
      <c r="CE195" s="55"/>
      <c r="CF195" s="55"/>
      <c r="CG195" s="55"/>
      <c r="CH195" s="55"/>
    </row>
    <row r="196" ht="16.5" customHeight="1">
      <c r="A196" s="55"/>
      <c r="B196" s="55"/>
      <c r="C196" s="55"/>
      <c r="D196" s="55"/>
      <c r="E196" s="55"/>
      <c r="F196" s="55"/>
      <c r="G196" s="55"/>
      <c r="H196" s="64"/>
      <c r="I196" s="64"/>
      <c r="J196" s="64"/>
      <c r="K196" s="64"/>
      <c r="L196" s="64"/>
      <c r="M196" s="64"/>
      <c r="N196" s="64"/>
      <c r="O196" s="64"/>
      <c r="P196" s="64"/>
      <c r="Q196" s="64"/>
      <c r="R196" s="64"/>
      <c r="S196" s="64"/>
      <c r="T196" s="55"/>
      <c r="U196" s="55"/>
      <c r="V196" s="55"/>
      <c r="W196" s="64"/>
      <c r="X196" s="64"/>
      <c r="Y196" s="55"/>
      <c r="Z196" s="55"/>
      <c r="AA196" s="55"/>
      <c r="AB196" s="64"/>
      <c r="AC196" s="64"/>
      <c r="AD196" s="64"/>
      <c r="AE196" s="64"/>
      <c r="AF196" s="64"/>
      <c r="AG196" s="55"/>
      <c r="AH196" s="55"/>
      <c r="AI196" s="64"/>
      <c r="AJ196" s="64"/>
      <c r="AK196" s="64"/>
      <c r="AL196" s="64"/>
      <c r="AM196" s="64"/>
      <c r="AN196" s="64"/>
      <c r="AO196" s="55"/>
      <c r="AP196" s="55"/>
      <c r="AQ196" s="64"/>
      <c r="AR196" s="64"/>
      <c r="AS196" s="64"/>
      <c r="AT196" s="64"/>
      <c r="AU196" s="64"/>
      <c r="AV196" s="55"/>
      <c r="AW196" s="55"/>
      <c r="AX196" s="64"/>
      <c r="AY196" s="64"/>
      <c r="AZ196" s="64"/>
      <c r="BA196" s="64"/>
      <c r="BB196" s="64"/>
      <c r="BC196" s="55"/>
      <c r="BD196" s="55"/>
      <c r="BE196" s="64"/>
      <c r="BF196" s="55"/>
      <c r="BG196" s="64"/>
      <c r="BH196" s="64"/>
      <c r="BI196" s="64"/>
      <c r="BJ196" s="64"/>
      <c r="BK196" s="55"/>
      <c r="BL196" s="55"/>
      <c r="BM196" s="55"/>
      <c r="BN196" s="64"/>
      <c r="BO196" s="64"/>
      <c r="BP196" s="64"/>
      <c r="BQ196" s="64"/>
      <c r="BR196" s="64"/>
      <c r="BS196" s="64"/>
      <c r="BT196" s="64"/>
      <c r="BU196" s="64"/>
      <c r="BV196" s="64"/>
      <c r="BW196" s="55"/>
      <c r="BX196" s="55"/>
      <c r="BY196" s="55"/>
      <c r="BZ196" s="55"/>
      <c r="CA196" s="55"/>
      <c r="CB196" s="55"/>
      <c r="CC196" s="55"/>
      <c r="CD196" s="55"/>
      <c r="CE196" s="55"/>
      <c r="CF196" s="55"/>
      <c r="CG196" s="55"/>
      <c r="CH196" s="55"/>
    </row>
    <row r="197" ht="16.5" customHeight="1">
      <c r="A197" s="55"/>
      <c r="B197" s="55"/>
      <c r="C197" s="55"/>
      <c r="D197" s="55"/>
      <c r="E197" s="55"/>
      <c r="F197" s="55"/>
      <c r="G197" s="55"/>
      <c r="H197" s="64"/>
      <c r="I197" s="64"/>
      <c r="J197" s="64"/>
      <c r="K197" s="64"/>
      <c r="L197" s="64"/>
      <c r="M197" s="64"/>
      <c r="N197" s="64"/>
      <c r="O197" s="64"/>
      <c r="P197" s="64"/>
      <c r="Q197" s="64"/>
      <c r="R197" s="64"/>
      <c r="S197" s="64"/>
      <c r="T197" s="55"/>
      <c r="U197" s="55"/>
      <c r="V197" s="55"/>
      <c r="W197" s="64"/>
      <c r="X197" s="64"/>
      <c r="Y197" s="55"/>
      <c r="Z197" s="55"/>
      <c r="AA197" s="55"/>
      <c r="AB197" s="64"/>
      <c r="AC197" s="64"/>
      <c r="AD197" s="64"/>
      <c r="AE197" s="64"/>
      <c r="AF197" s="64"/>
      <c r="AG197" s="55"/>
      <c r="AH197" s="55"/>
      <c r="AI197" s="64"/>
      <c r="AJ197" s="64"/>
      <c r="AK197" s="64"/>
      <c r="AL197" s="64"/>
      <c r="AM197" s="64"/>
      <c r="AN197" s="64"/>
      <c r="AO197" s="55"/>
      <c r="AP197" s="55"/>
      <c r="AQ197" s="64"/>
      <c r="AR197" s="64"/>
      <c r="AS197" s="64"/>
      <c r="AT197" s="64"/>
      <c r="AU197" s="64"/>
      <c r="AV197" s="55"/>
      <c r="AW197" s="55"/>
      <c r="AX197" s="64"/>
      <c r="AY197" s="64"/>
      <c r="AZ197" s="64"/>
      <c r="BA197" s="64"/>
      <c r="BB197" s="64"/>
      <c r="BC197" s="55"/>
      <c r="BD197" s="55"/>
      <c r="BE197" s="64"/>
      <c r="BF197" s="55"/>
      <c r="BG197" s="64"/>
      <c r="BH197" s="64"/>
      <c r="BI197" s="64"/>
      <c r="BJ197" s="64"/>
      <c r="BK197" s="55"/>
      <c r="BL197" s="55"/>
      <c r="BM197" s="55"/>
      <c r="BN197" s="64"/>
      <c r="BO197" s="64"/>
      <c r="BP197" s="64"/>
      <c r="BQ197" s="64"/>
      <c r="BR197" s="64"/>
      <c r="BS197" s="64"/>
      <c r="BT197" s="64"/>
      <c r="BU197" s="64"/>
      <c r="BV197" s="64"/>
      <c r="BW197" s="55"/>
      <c r="BX197" s="55"/>
      <c r="BY197" s="55"/>
      <c r="BZ197" s="55"/>
      <c r="CA197" s="55"/>
      <c r="CB197" s="55"/>
      <c r="CC197" s="55"/>
      <c r="CD197" s="55"/>
      <c r="CE197" s="55"/>
      <c r="CF197" s="55"/>
      <c r="CG197" s="55"/>
      <c r="CH197" s="55"/>
    </row>
    <row r="198" ht="16.5" customHeight="1">
      <c r="A198" s="55"/>
      <c r="B198" s="55"/>
      <c r="C198" s="55"/>
      <c r="D198" s="55"/>
      <c r="E198" s="55"/>
      <c r="F198" s="55"/>
      <c r="G198" s="55"/>
      <c r="H198" s="64"/>
      <c r="I198" s="64"/>
      <c r="J198" s="64"/>
      <c r="K198" s="64"/>
      <c r="L198" s="64"/>
      <c r="M198" s="64"/>
      <c r="N198" s="64"/>
      <c r="O198" s="64"/>
      <c r="P198" s="64"/>
      <c r="Q198" s="64"/>
      <c r="R198" s="64"/>
      <c r="S198" s="64"/>
      <c r="T198" s="55"/>
      <c r="U198" s="55"/>
      <c r="V198" s="55"/>
      <c r="W198" s="64"/>
      <c r="X198" s="64"/>
      <c r="Y198" s="55"/>
      <c r="Z198" s="55"/>
      <c r="AA198" s="55"/>
      <c r="AB198" s="64"/>
      <c r="AC198" s="64"/>
      <c r="AD198" s="64"/>
      <c r="AE198" s="64"/>
      <c r="AF198" s="64"/>
      <c r="AG198" s="55"/>
      <c r="AH198" s="55"/>
      <c r="AI198" s="64"/>
      <c r="AJ198" s="64"/>
      <c r="AK198" s="64"/>
      <c r="AL198" s="64"/>
      <c r="AM198" s="64"/>
      <c r="AN198" s="64"/>
      <c r="AO198" s="55"/>
      <c r="AP198" s="55"/>
      <c r="AQ198" s="64"/>
      <c r="AR198" s="64"/>
      <c r="AS198" s="64"/>
      <c r="AT198" s="64"/>
      <c r="AU198" s="64"/>
      <c r="AV198" s="55"/>
      <c r="AW198" s="55"/>
      <c r="AX198" s="64"/>
      <c r="AY198" s="64"/>
      <c r="AZ198" s="64"/>
      <c r="BA198" s="64"/>
      <c r="BB198" s="64"/>
      <c r="BC198" s="55"/>
      <c r="BD198" s="55"/>
      <c r="BE198" s="64"/>
      <c r="BF198" s="55"/>
      <c r="BG198" s="64"/>
      <c r="BH198" s="64"/>
      <c r="BI198" s="64"/>
      <c r="BJ198" s="64"/>
      <c r="BK198" s="55"/>
      <c r="BL198" s="55"/>
      <c r="BM198" s="55"/>
      <c r="BN198" s="64"/>
      <c r="BO198" s="64"/>
      <c r="BP198" s="64"/>
      <c r="BQ198" s="64"/>
      <c r="BR198" s="64"/>
      <c r="BS198" s="64"/>
      <c r="BT198" s="64"/>
      <c r="BU198" s="64"/>
      <c r="BV198" s="64"/>
      <c r="BW198" s="55"/>
      <c r="BX198" s="55"/>
      <c r="BY198" s="55"/>
      <c r="BZ198" s="55"/>
      <c r="CA198" s="55"/>
      <c r="CB198" s="55"/>
      <c r="CC198" s="55"/>
      <c r="CD198" s="55"/>
      <c r="CE198" s="55"/>
      <c r="CF198" s="55"/>
      <c r="CG198" s="55"/>
      <c r="CH198" s="55"/>
    </row>
    <row r="199" ht="16.5" customHeight="1">
      <c r="A199" s="55"/>
      <c r="B199" s="55"/>
      <c r="C199" s="55"/>
      <c r="D199" s="55"/>
      <c r="E199" s="55"/>
      <c r="F199" s="55"/>
      <c r="G199" s="55"/>
      <c r="H199" s="64"/>
      <c r="I199" s="64"/>
      <c r="J199" s="64"/>
      <c r="K199" s="64"/>
      <c r="L199" s="64"/>
      <c r="M199" s="64"/>
      <c r="N199" s="64"/>
      <c r="O199" s="64"/>
      <c r="P199" s="64"/>
      <c r="Q199" s="64"/>
      <c r="R199" s="64"/>
      <c r="S199" s="64"/>
      <c r="T199" s="55"/>
      <c r="U199" s="55"/>
      <c r="V199" s="55"/>
      <c r="W199" s="64"/>
      <c r="X199" s="64"/>
      <c r="Y199" s="55"/>
      <c r="Z199" s="55"/>
      <c r="AA199" s="55"/>
      <c r="AB199" s="64"/>
      <c r="AC199" s="64"/>
      <c r="AD199" s="64"/>
      <c r="AE199" s="64"/>
      <c r="AF199" s="64"/>
      <c r="AG199" s="55"/>
      <c r="AH199" s="55"/>
      <c r="AI199" s="64"/>
      <c r="AJ199" s="64"/>
      <c r="AK199" s="64"/>
      <c r="AL199" s="64"/>
      <c r="AM199" s="64"/>
      <c r="AN199" s="64"/>
      <c r="AO199" s="55"/>
      <c r="AP199" s="55"/>
      <c r="AQ199" s="64"/>
      <c r="AR199" s="64"/>
      <c r="AS199" s="64"/>
      <c r="AT199" s="64"/>
      <c r="AU199" s="64"/>
      <c r="AV199" s="55"/>
      <c r="AW199" s="55"/>
      <c r="AX199" s="64"/>
      <c r="AY199" s="64"/>
      <c r="AZ199" s="64"/>
      <c r="BA199" s="64"/>
      <c r="BB199" s="64"/>
      <c r="BC199" s="55"/>
      <c r="BD199" s="55"/>
      <c r="BE199" s="64"/>
      <c r="BF199" s="55"/>
      <c r="BG199" s="64"/>
      <c r="BH199" s="64"/>
      <c r="BI199" s="64"/>
      <c r="BJ199" s="64"/>
      <c r="BK199" s="55"/>
      <c r="BL199" s="55"/>
      <c r="BM199" s="55"/>
      <c r="BN199" s="64"/>
      <c r="BO199" s="64"/>
      <c r="BP199" s="64"/>
      <c r="BQ199" s="64"/>
      <c r="BR199" s="64"/>
      <c r="BS199" s="64"/>
      <c r="BT199" s="64"/>
      <c r="BU199" s="64"/>
      <c r="BV199" s="64"/>
      <c r="BW199" s="55"/>
      <c r="BX199" s="55"/>
      <c r="BY199" s="55"/>
      <c r="BZ199" s="55"/>
      <c r="CA199" s="55"/>
      <c r="CB199" s="55"/>
      <c r="CC199" s="55"/>
      <c r="CD199" s="55"/>
      <c r="CE199" s="55"/>
      <c r="CF199" s="55"/>
      <c r="CG199" s="55"/>
      <c r="CH199" s="55"/>
    </row>
    <row r="200" ht="16.5" customHeight="1">
      <c r="A200" s="55"/>
      <c r="B200" s="55"/>
      <c r="C200" s="55"/>
      <c r="D200" s="55"/>
      <c r="E200" s="55"/>
      <c r="F200" s="55"/>
      <c r="G200" s="55"/>
      <c r="H200" s="64"/>
      <c r="I200" s="64"/>
      <c r="J200" s="64"/>
      <c r="K200" s="64"/>
      <c r="L200" s="64"/>
      <c r="M200" s="64"/>
      <c r="N200" s="64"/>
      <c r="O200" s="64"/>
      <c r="P200" s="64"/>
      <c r="Q200" s="64"/>
      <c r="R200" s="64"/>
      <c r="S200" s="64"/>
      <c r="T200" s="55"/>
      <c r="U200" s="55"/>
      <c r="V200" s="55"/>
      <c r="W200" s="64"/>
      <c r="X200" s="64"/>
      <c r="Y200" s="55"/>
      <c r="Z200" s="55"/>
      <c r="AA200" s="55"/>
      <c r="AB200" s="64"/>
      <c r="AC200" s="64"/>
      <c r="AD200" s="64"/>
      <c r="AE200" s="64"/>
      <c r="AF200" s="64"/>
      <c r="AG200" s="55"/>
      <c r="AH200" s="55"/>
      <c r="AI200" s="64"/>
      <c r="AJ200" s="64"/>
      <c r="AK200" s="64"/>
      <c r="AL200" s="64"/>
      <c r="AM200" s="64"/>
      <c r="AN200" s="64"/>
      <c r="AO200" s="55"/>
      <c r="AP200" s="55"/>
      <c r="AQ200" s="64"/>
      <c r="AR200" s="64"/>
      <c r="AS200" s="64"/>
      <c r="AT200" s="64"/>
      <c r="AU200" s="64"/>
      <c r="AV200" s="55"/>
      <c r="AW200" s="55"/>
      <c r="AX200" s="64"/>
      <c r="AY200" s="64"/>
      <c r="AZ200" s="64"/>
      <c r="BA200" s="64"/>
      <c r="BB200" s="64"/>
      <c r="BC200" s="55"/>
      <c r="BD200" s="55"/>
      <c r="BE200" s="64"/>
      <c r="BF200" s="55"/>
      <c r="BG200" s="64"/>
      <c r="BH200" s="64"/>
      <c r="BI200" s="64"/>
      <c r="BJ200" s="64"/>
      <c r="BK200" s="55"/>
      <c r="BL200" s="55"/>
      <c r="BM200" s="55"/>
      <c r="BN200" s="64"/>
      <c r="BO200" s="64"/>
      <c r="BP200" s="64"/>
      <c r="BQ200" s="64"/>
      <c r="BR200" s="64"/>
      <c r="BS200" s="64"/>
      <c r="BT200" s="64"/>
      <c r="BU200" s="64"/>
      <c r="BV200" s="64"/>
      <c r="BW200" s="55"/>
      <c r="BX200" s="55"/>
      <c r="BY200" s="55"/>
      <c r="BZ200" s="55"/>
      <c r="CA200" s="55"/>
      <c r="CB200" s="55"/>
      <c r="CC200" s="55"/>
      <c r="CD200" s="55"/>
      <c r="CE200" s="55"/>
      <c r="CF200" s="55"/>
      <c r="CG200" s="55"/>
      <c r="CH200" s="55"/>
    </row>
    <row r="201" ht="16.5" customHeight="1">
      <c r="A201" s="55"/>
      <c r="B201" s="55"/>
      <c r="C201" s="55"/>
      <c r="D201" s="55"/>
      <c r="E201" s="55"/>
      <c r="F201" s="55"/>
      <c r="G201" s="55"/>
      <c r="H201" s="64"/>
      <c r="I201" s="64"/>
      <c r="J201" s="64"/>
      <c r="K201" s="64"/>
      <c r="L201" s="64"/>
      <c r="M201" s="64"/>
      <c r="N201" s="64"/>
      <c r="O201" s="64"/>
      <c r="P201" s="64"/>
      <c r="Q201" s="64"/>
      <c r="R201" s="64"/>
      <c r="S201" s="64"/>
      <c r="T201" s="55"/>
      <c r="U201" s="55"/>
      <c r="V201" s="55"/>
      <c r="W201" s="64"/>
      <c r="X201" s="64"/>
      <c r="Y201" s="55"/>
      <c r="Z201" s="55"/>
      <c r="AA201" s="55"/>
      <c r="AB201" s="64"/>
      <c r="AC201" s="64"/>
      <c r="AD201" s="64"/>
      <c r="AE201" s="64"/>
      <c r="AF201" s="64"/>
      <c r="AG201" s="55"/>
      <c r="AH201" s="55"/>
      <c r="AI201" s="64"/>
      <c r="AJ201" s="64"/>
      <c r="AK201" s="64"/>
      <c r="AL201" s="64"/>
      <c r="AM201" s="64"/>
      <c r="AN201" s="64"/>
      <c r="AO201" s="55"/>
      <c r="AP201" s="55"/>
      <c r="AQ201" s="64"/>
      <c r="AR201" s="64"/>
      <c r="AS201" s="64"/>
      <c r="AT201" s="64"/>
      <c r="AU201" s="64"/>
      <c r="AV201" s="55"/>
      <c r="AW201" s="55"/>
      <c r="AX201" s="64"/>
      <c r="AY201" s="64"/>
      <c r="AZ201" s="64"/>
      <c r="BA201" s="64"/>
      <c r="BB201" s="64"/>
      <c r="BC201" s="55"/>
      <c r="BD201" s="55"/>
      <c r="BE201" s="64"/>
      <c r="BF201" s="55"/>
      <c r="BG201" s="64"/>
      <c r="BH201" s="64"/>
      <c r="BI201" s="64"/>
      <c r="BJ201" s="64"/>
      <c r="BK201" s="55"/>
      <c r="BL201" s="55"/>
      <c r="BM201" s="55"/>
      <c r="BN201" s="64"/>
      <c r="BO201" s="64"/>
      <c r="BP201" s="64"/>
      <c r="BQ201" s="64"/>
      <c r="BR201" s="64"/>
      <c r="BS201" s="64"/>
      <c r="BT201" s="64"/>
      <c r="BU201" s="64"/>
      <c r="BV201" s="64"/>
      <c r="BW201" s="55"/>
      <c r="BX201" s="55"/>
      <c r="BY201" s="55"/>
      <c r="BZ201" s="55"/>
      <c r="CA201" s="55"/>
      <c r="CB201" s="55"/>
      <c r="CC201" s="55"/>
      <c r="CD201" s="55"/>
      <c r="CE201" s="55"/>
      <c r="CF201" s="55"/>
      <c r="CG201" s="55"/>
      <c r="CH201" s="55"/>
    </row>
    <row r="202" ht="16.5" customHeight="1">
      <c r="A202" s="55"/>
      <c r="B202" s="55"/>
      <c r="C202" s="55"/>
      <c r="D202" s="55"/>
      <c r="E202" s="55"/>
      <c r="F202" s="55"/>
      <c r="G202" s="55"/>
      <c r="H202" s="64"/>
      <c r="I202" s="64"/>
      <c r="J202" s="64"/>
      <c r="K202" s="64"/>
      <c r="L202" s="64"/>
      <c r="M202" s="64"/>
      <c r="N202" s="64"/>
      <c r="O202" s="64"/>
      <c r="P202" s="64"/>
      <c r="Q202" s="64"/>
      <c r="R202" s="64"/>
      <c r="S202" s="64"/>
      <c r="T202" s="55"/>
      <c r="U202" s="55"/>
      <c r="V202" s="55"/>
      <c r="W202" s="64"/>
      <c r="X202" s="64"/>
      <c r="Y202" s="55"/>
      <c r="Z202" s="55"/>
      <c r="AA202" s="55"/>
      <c r="AB202" s="64"/>
      <c r="AC202" s="64"/>
      <c r="AD202" s="64"/>
      <c r="AE202" s="64"/>
      <c r="AF202" s="64"/>
      <c r="AG202" s="55"/>
      <c r="AH202" s="55"/>
      <c r="AI202" s="64"/>
      <c r="AJ202" s="64"/>
      <c r="AK202" s="64"/>
      <c r="AL202" s="64"/>
      <c r="AM202" s="64"/>
      <c r="AN202" s="64"/>
      <c r="AO202" s="55"/>
      <c r="AP202" s="55"/>
      <c r="AQ202" s="64"/>
      <c r="AR202" s="64"/>
      <c r="AS202" s="64"/>
      <c r="AT202" s="64"/>
      <c r="AU202" s="64"/>
      <c r="AV202" s="55"/>
      <c r="AW202" s="55"/>
      <c r="AX202" s="64"/>
      <c r="AY202" s="64"/>
      <c r="AZ202" s="64"/>
      <c r="BA202" s="64"/>
      <c r="BB202" s="64"/>
      <c r="BC202" s="55"/>
      <c r="BD202" s="55"/>
      <c r="BE202" s="64"/>
      <c r="BF202" s="55"/>
      <c r="BG202" s="64"/>
      <c r="BH202" s="64"/>
      <c r="BI202" s="64"/>
      <c r="BJ202" s="64"/>
      <c r="BK202" s="55"/>
      <c r="BL202" s="55"/>
      <c r="BM202" s="55"/>
      <c r="BN202" s="64"/>
      <c r="BO202" s="64"/>
      <c r="BP202" s="64"/>
      <c r="BQ202" s="64"/>
      <c r="BR202" s="64"/>
      <c r="BS202" s="64"/>
      <c r="BT202" s="64"/>
      <c r="BU202" s="64"/>
      <c r="BV202" s="64"/>
      <c r="BW202" s="55"/>
      <c r="BX202" s="55"/>
      <c r="BY202" s="55"/>
      <c r="BZ202" s="55"/>
      <c r="CA202" s="55"/>
      <c r="CB202" s="55"/>
      <c r="CC202" s="55"/>
      <c r="CD202" s="55"/>
      <c r="CE202" s="55"/>
      <c r="CF202" s="55"/>
      <c r="CG202" s="55"/>
      <c r="CH202" s="55"/>
    </row>
    <row r="203" ht="16.5" customHeight="1">
      <c r="A203" s="55"/>
      <c r="B203" s="55"/>
      <c r="C203" s="55"/>
      <c r="D203" s="55"/>
      <c r="E203" s="55"/>
      <c r="F203" s="55"/>
      <c r="G203" s="55"/>
      <c r="H203" s="64"/>
      <c r="I203" s="64"/>
      <c r="J203" s="64"/>
      <c r="K203" s="64"/>
      <c r="L203" s="64"/>
      <c r="M203" s="64"/>
      <c r="N203" s="64"/>
      <c r="O203" s="64"/>
      <c r="P203" s="64"/>
      <c r="Q203" s="64"/>
      <c r="R203" s="64"/>
      <c r="S203" s="64"/>
      <c r="T203" s="55"/>
      <c r="U203" s="55"/>
      <c r="V203" s="55"/>
      <c r="W203" s="64"/>
      <c r="X203" s="64"/>
      <c r="Y203" s="55"/>
      <c r="Z203" s="55"/>
      <c r="AA203" s="55"/>
      <c r="AB203" s="64"/>
      <c r="AC203" s="64"/>
      <c r="AD203" s="64"/>
      <c r="AE203" s="64"/>
      <c r="AF203" s="64"/>
      <c r="AG203" s="55"/>
      <c r="AH203" s="55"/>
      <c r="AI203" s="64"/>
      <c r="AJ203" s="64"/>
      <c r="AK203" s="64"/>
      <c r="AL203" s="64"/>
      <c r="AM203" s="64"/>
      <c r="AN203" s="64"/>
      <c r="AO203" s="55"/>
      <c r="AP203" s="55"/>
      <c r="AQ203" s="64"/>
      <c r="AR203" s="64"/>
      <c r="AS203" s="64"/>
      <c r="AT203" s="64"/>
      <c r="AU203" s="64"/>
      <c r="AV203" s="55"/>
      <c r="AW203" s="55"/>
      <c r="AX203" s="64"/>
      <c r="AY203" s="64"/>
      <c r="AZ203" s="64"/>
      <c r="BA203" s="64"/>
      <c r="BB203" s="64"/>
      <c r="BC203" s="55"/>
      <c r="BD203" s="55"/>
      <c r="BE203" s="64"/>
      <c r="BF203" s="55"/>
      <c r="BG203" s="64"/>
      <c r="BH203" s="64"/>
      <c r="BI203" s="64"/>
      <c r="BJ203" s="64"/>
      <c r="BK203" s="55"/>
      <c r="BL203" s="55"/>
      <c r="BM203" s="55"/>
      <c r="BN203" s="64"/>
      <c r="BO203" s="64"/>
      <c r="BP203" s="64"/>
      <c r="BQ203" s="64"/>
      <c r="BR203" s="64"/>
      <c r="BS203" s="64"/>
      <c r="BT203" s="64"/>
      <c r="BU203" s="64"/>
      <c r="BV203" s="64"/>
      <c r="BW203" s="55"/>
      <c r="BX203" s="55"/>
      <c r="BY203" s="55"/>
      <c r="BZ203" s="55"/>
      <c r="CA203" s="55"/>
      <c r="CB203" s="55"/>
      <c r="CC203" s="55"/>
      <c r="CD203" s="55"/>
      <c r="CE203" s="55"/>
      <c r="CF203" s="55"/>
      <c r="CG203" s="55"/>
      <c r="CH203" s="55"/>
    </row>
    <row r="204" ht="16.5" customHeight="1">
      <c r="A204" s="55"/>
      <c r="B204" s="55"/>
      <c r="C204" s="55"/>
      <c r="D204" s="55"/>
      <c r="E204" s="55"/>
      <c r="F204" s="55"/>
      <c r="G204" s="55"/>
      <c r="H204" s="64"/>
      <c r="I204" s="64"/>
      <c r="J204" s="64"/>
      <c r="K204" s="64"/>
      <c r="L204" s="64"/>
      <c r="M204" s="64"/>
      <c r="N204" s="64"/>
      <c r="O204" s="64"/>
      <c r="P204" s="64"/>
      <c r="Q204" s="64"/>
      <c r="R204" s="64"/>
      <c r="S204" s="64"/>
      <c r="T204" s="55"/>
      <c r="U204" s="55"/>
      <c r="V204" s="55"/>
      <c r="W204" s="64"/>
      <c r="X204" s="64"/>
      <c r="Y204" s="55"/>
      <c r="Z204" s="55"/>
      <c r="AA204" s="55"/>
      <c r="AB204" s="64"/>
      <c r="AC204" s="64"/>
      <c r="AD204" s="64"/>
      <c r="AE204" s="64"/>
      <c r="AF204" s="64"/>
      <c r="AG204" s="55"/>
      <c r="AH204" s="55"/>
      <c r="AI204" s="64"/>
      <c r="AJ204" s="64"/>
      <c r="AK204" s="64"/>
      <c r="AL204" s="64"/>
      <c r="AM204" s="64"/>
      <c r="AN204" s="64"/>
      <c r="AO204" s="55"/>
      <c r="AP204" s="55"/>
      <c r="AQ204" s="64"/>
      <c r="AR204" s="64"/>
      <c r="AS204" s="64"/>
      <c r="AT204" s="64"/>
      <c r="AU204" s="64"/>
      <c r="AV204" s="55"/>
      <c r="AW204" s="55"/>
      <c r="AX204" s="64"/>
      <c r="AY204" s="64"/>
      <c r="AZ204" s="64"/>
      <c r="BA204" s="64"/>
      <c r="BB204" s="64"/>
      <c r="BC204" s="55"/>
      <c r="BD204" s="55"/>
      <c r="BE204" s="64"/>
      <c r="BF204" s="55"/>
      <c r="BG204" s="64"/>
      <c r="BH204" s="64"/>
      <c r="BI204" s="64"/>
      <c r="BJ204" s="64"/>
      <c r="BK204" s="55"/>
      <c r="BL204" s="55"/>
      <c r="BM204" s="55"/>
      <c r="BN204" s="64"/>
      <c r="BO204" s="64"/>
      <c r="BP204" s="64"/>
      <c r="BQ204" s="64"/>
      <c r="BR204" s="64"/>
      <c r="BS204" s="64"/>
      <c r="BT204" s="64"/>
      <c r="BU204" s="64"/>
      <c r="BV204" s="64"/>
      <c r="BW204" s="55"/>
      <c r="BX204" s="55"/>
      <c r="BY204" s="55"/>
      <c r="BZ204" s="55"/>
      <c r="CA204" s="55"/>
      <c r="CB204" s="55"/>
      <c r="CC204" s="55"/>
      <c r="CD204" s="55"/>
      <c r="CE204" s="55"/>
      <c r="CF204" s="55"/>
      <c r="CG204" s="55"/>
      <c r="CH204" s="55"/>
    </row>
    <row r="205" ht="16.5" customHeight="1">
      <c r="A205" s="55"/>
      <c r="B205" s="55"/>
      <c r="C205" s="55"/>
      <c r="D205" s="55"/>
      <c r="E205" s="55"/>
      <c r="F205" s="55"/>
      <c r="G205" s="55"/>
      <c r="H205" s="64"/>
      <c r="I205" s="64"/>
      <c r="J205" s="64"/>
      <c r="K205" s="64"/>
      <c r="L205" s="64"/>
      <c r="M205" s="64"/>
      <c r="N205" s="64"/>
      <c r="O205" s="64"/>
      <c r="P205" s="64"/>
      <c r="Q205" s="64"/>
      <c r="R205" s="64"/>
      <c r="S205" s="64"/>
      <c r="T205" s="55"/>
      <c r="U205" s="55"/>
      <c r="V205" s="55"/>
      <c r="W205" s="64"/>
      <c r="X205" s="64"/>
      <c r="Y205" s="55"/>
      <c r="Z205" s="55"/>
      <c r="AA205" s="55"/>
      <c r="AB205" s="64"/>
      <c r="AC205" s="64"/>
      <c r="AD205" s="64"/>
      <c r="AE205" s="64"/>
      <c r="AF205" s="64"/>
      <c r="AG205" s="55"/>
      <c r="AH205" s="55"/>
      <c r="AI205" s="64"/>
      <c r="AJ205" s="64"/>
      <c r="AK205" s="64"/>
      <c r="AL205" s="64"/>
      <c r="AM205" s="64"/>
      <c r="AN205" s="64"/>
      <c r="AO205" s="55"/>
      <c r="AP205" s="55"/>
      <c r="AQ205" s="64"/>
      <c r="AR205" s="64"/>
      <c r="AS205" s="64"/>
      <c r="AT205" s="64"/>
      <c r="AU205" s="64"/>
      <c r="AV205" s="55"/>
      <c r="AW205" s="55"/>
      <c r="AX205" s="64"/>
      <c r="AY205" s="64"/>
      <c r="AZ205" s="64"/>
      <c r="BA205" s="64"/>
      <c r="BB205" s="64"/>
      <c r="BC205" s="55"/>
      <c r="BD205" s="55"/>
      <c r="BE205" s="64"/>
      <c r="BF205" s="55"/>
      <c r="BG205" s="64"/>
      <c r="BH205" s="64"/>
      <c r="BI205" s="64"/>
      <c r="BJ205" s="64"/>
      <c r="BK205" s="55"/>
      <c r="BL205" s="55"/>
      <c r="BM205" s="55"/>
      <c r="BN205" s="64"/>
      <c r="BO205" s="64"/>
      <c r="BP205" s="64"/>
      <c r="BQ205" s="64"/>
      <c r="BR205" s="64"/>
      <c r="BS205" s="64"/>
      <c r="BT205" s="64"/>
      <c r="BU205" s="64"/>
      <c r="BV205" s="64"/>
      <c r="BW205" s="55"/>
      <c r="BX205" s="55"/>
      <c r="BY205" s="55"/>
      <c r="BZ205" s="55"/>
      <c r="CA205" s="55"/>
      <c r="CB205" s="55"/>
      <c r="CC205" s="55"/>
      <c r="CD205" s="55"/>
      <c r="CE205" s="55"/>
      <c r="CF205" s="55"/>
      <c r="CG205" s="55"/>
      <c r="CH205" s="55"/>
    </row>
    <row r="206" ht="16.5" customHeight="1">
      <c r="A206" s="55"/>
      <c r="B206" s="55"/>
      <c r="C206" s="55"/>
      <c r="D206" s="55"/>
      <c r="E206" s="55"/>
      <c r="F206" s="55"/>
      <c r="G206" s="55"/>
      <c r="H206" s="64"/>
      <c r="I206" s="64"/>
      <c r="J206" s="64"/>
      <c r="K206" s="64"/>
      <c r="L206" s="64"/>
      <c r="M206" s="64"/>
      <c r="N206" s="64"/>
      <c r="O206" s="64"/>
      <c r="P206" s="64"/>
      <c r="Q206" s="64"/>
      <c r="R206" s="64"/>
      <c r="S206" s="64"/>
      <c r="T206" s="55"/>
      <c r="U206" s="55"/>
      <c r="V206" s="55"/>
      <c r="W206" s="64"/>
      <c r="X206" s="64"/>
      <c r="Y206" s="55"/>
      <c r="Z206" s="55"/>
      <c r="AA206" s="55"/>
      <c r="AB206" s="64"/>
      <c r="AC206" s="64"/>
      <c r="AD206" s="64"/>
      <c r="AE206" s="64"/>
      <c r="AF206" s="64"/>
      <c r="AG206" s="55"/>
      <c r="AH206" s="55"/>
      <c r="AI206" s="64"/>
      <c r="AJ206" s="64"/>
      <c r="AK206" s="64"/>
      <c r="AL206" s="64"/>
      <c r="AM206" s="64"/>
      <c r="AN206" s="64"/>
      <c r="AO206" s="55"/>
      <c r="AP206" s="55"/>
      <c r="AQ206" s="64"/>
      <c r="AR206" s="64"/>
      <c r="AS206" s="64"/>
      <c r="AT206" s="64"/>
      <c r="AU206" s="64"/>
      <c r="AV206" s="55"/>
      <c r="AW206" s="55"/>
      <c r="AX206" s="64"/>
      <c r="AY206" s="64"/>
      <c r="AZ206" s="64"/>
      <c r="BA206" s="64"/>
      <c r="BB206" s="64"/>
      <c r="BC206" s="55"/>
      <c r="BD206" s="55"/>
      <c r="BE206" s="64"/>
      <c r="BF206" s="55"/>
      <c r="BG206" s="64"/>
      <c r="BH206" s="64"/>
      <c r="BI206" s="64"/>
      <c r="BJ206" s="64"/>
      <c r="BK206" s="55"/>
      <c r="BL206" s="55"/>
      <c r="BM206" s="55"/>
      <c r="BN206" s="64"/>
      <c r="BO206" s="64"/>
      <c r="BP206" s="64"/>
      <c r="BQ206" s="64"/>
      <c r="BR206" s="64"/>
      <c r="BS206" s="64"/>
      <c r="BT206" s="64"/>
      <c r="BU206" s="64"/>
      <c r="BV206" s="64"/>
      <c r="BW206" s="55"/>
      <c r="BX206" s="55"/>
      <c r="BY206" s="55"/>
      <c r="BZ206" s="55"/>
      <c r="CA206" s="55"/>
      <c r="CB206" s="55"/>
      <c r="CC206" s="55"/>
      <c r="CD206" s="55"/>
      <c r="CE206" s="55"/>
      <c r="CF206" s="55"/>
      <c r="CG206" s="55"/>
      <c r="CH206" s="55"/>
    </row>
    <row r="207" ht="16.5" customHeight="1">
      <c r="A207" s="55"/>
      <c r="B207" s="55"/>
      <c r="C207" s="55"/>
      <c r="D207" s="55"/>
      <c r="E207" s="55"/>
      <c r="F207" s="55"/>
      <c r="G207" s="55"/>
      <c r="H207" s="64"/>
      <c r="I207" s="64"/>
      <c r="J207" s="64"/>
      <c r="K207" s="64"/>
      <c r="L207" s="64"/>
      <c r="M207" s="64"/>
      <c r="N207" s="64"/>
      <c r="O207" s="64"/>
      <c r="P207" s="64"/>
      <c r="Q207" s="64"/>
      <c r="R207" s="64"/>
      <c r="S207" s="64"/>
      <c r="T207" s="55"/>
      <c r="U207" s="55"/>
      <c r="V207" s="55"/>
      <c r="W207" s="64"/>
      <c r="X207" s="64"/>
      <c r="Y207" s="55"/>
      <c r="Z207" s="55"/>
      <c r="AA207" s="55"/>
      <c r="AB207" s="64"/>
      <c r="AC207" s="64"/>
      <c r="AD207" s="64"/>
      <c r="AE207" s="64"/>
      <c r="AF207" s="64"/>
      <c r="AG207" s="55"/>
      <c r="AH207" s="55"/>
      <c r="AI207" s="64"/>
      <c r="AJ207" s="64"/>
      <c r="AK207" s="64"/>
      <c r="AL207" s="64"/>
      <c r="AM207" s="64"/>
      <c r="AN207" s="64"/>
      <c r="AO207" s="55"/>
      <c r="AP207" s="55"/>
      <c r="AQ207" s="64"/>
      <c r="AR207" s="64"/>
      <c r="AS207" s="64"/>
      <c r="AT207" s="64"/>
      <c r="AU207" s="64"/>
      <c r="AV207" s="55"/>
      <c r="AW207" s="55"/>
      <c r="AX207" s="64"/>
      <c r="AY207" s="64"/>
      <c r="AZ207" s="64"/>
      <c r="BA207" s="64"/>
      <c r="BB207" s="64"/>
      <c r="BC207" s="55"/>
      <c r="BD207" s="55"/>
      <c r="BE207" s="64"/>
      <c r="BF207" s="55"/>
      <c r="BG207" s="64"/>
      <c r="BH207" s="64"/>
      <c r="BI207" s="64"/>
      <c r="BJ207" s="64"/>
      <c r="BK207" s="55"/>
      <c r="BL207" s="55"/>
      <c r="BM207" s="55"/>
      <c r="BN207" s="64"/>
      <c r="BO207" s="64"/>
      <c r="BP207" s="64"/>
      <c r="BQ207" s="64"/>
      <c r="BR207" s="64"/>
      <c r="BS207" s="64"/>
      <c r="BT207" s="64"/>
      <c r="BU207" s="64"/>
      <c r="BV207" s="64"/>
      <c r="BW207" s="55"/>
      <c r="BX207" s="55"/>
      <c r="BY207" s="55"/>
      <c r="BZ207" s="55"/>
      <c r="CA207" s="55"/>
      <c r="CB207" s="55"/>
      <c r="CC207" s="55"/>
      <c r="CD207" s="55"/>
      <c r="CE207" s="55"/>
      <c r="CF207" s="55"/>
      <c r="CG207" s="55"/>
      <c r="CH207" s="55"/>
    </row>
    <row r="208" ht="16.5" customHeight="1">
      <c r="A208" s="55"/>
      <c r="B208" s="55"/>
      <c r="C208" s="55"/>
      <c r="D208" s="55"/>
      <c r="E208" s="55"/>
      <c r="F208" s="55"/>
      <c r="G208" s="55"/>
      <c r="H208" s="64"/>
      <c r="I208" s="64"/>
      <c r="J208" s="64"/>
      <c r="K208" s="64"/>
      <c r="L208" s="64"/>
      <c r="M208" s="64"/>
      <c r="N208" s="64"/>
      <c r="O208" s="64"/>
      <c r="P208" s="64"/>
      <c r="Q208" s="64"/>
      <c r="R208" s="64"/>
      <c r="S208" s="64"/>
      <c r="T208" s="55"/>
      <c r="U208" s="55"/>
      <c r="V208" s="55"/>
      <c r="W208" s="64"/>
      <c r="X208" s="64"/>
      <c r="Y208" s="55"/>
      <c r="Z208" s="55"/>
      <c r="AA208" s="55"/>
      <c r="AB208" s="64"/>
      <c r="AC208" s="64"/>
      <c r="AD208" s="64"/>
      <c r="AE208" s="64"/>
      <c r="AF208" s="64"/>
      <c r="AG208" s="55"/>
      <c r="AH208" s="55"/>
      <c r="AI208" s="64"/>
      <c r="AJ208" s="64"/>
      <c r="AK208" s="64"/>
      <c r="AL208" s="64"/>
      <c r="AM208" s="64"/>
      <c r="AN208" s="64"/>
      <c r="AO208" s="55"/>
      <c r="AP208" s="55"/>
      <c r="AQ208" s="64"/>
      <c r="AR208" s="64"/>
      <c r="AS208" s="64"/>
      <c r="AT208" s="64"/>
      <c r="AU208" s="64"/>
      <c r="AV208" s="55"/>
      <c r="AW208" s="55"/>
      <c r="AX208" s="64"/>
      <c r="AY208" s="64"/>
      <c r="AZ208" s="64"/>
      <c r="BA208" s="64"/>
      <c r="BB208" s="64"/>
      <c r="BC208" s="55"/>
      <c r="BD208" s="55"/>
      <c r="BE208" s="64"/>
      <c r="BF208" s="55"/>
      <c r="BG208" s="64"/>
      <c r="BH208" s="64"/>
      <c r="BI208" s="64"/>
      <c r="BJ208" s="64"/>
      <c r="BK208" s="55"/>
      <c r="BL208" s="55"/>
      <c r="BM208" s="55"/>
      <c r="BN208" s="64"/>
      <c r="BO208" s="64"/>
      <c r="BP208" s="64"/>
      <c r="BQ208" s="64"/>
      <c r="BR208" s="64"/>
      <c r="BS208" s="64"/>
      <c r="BT208" s="64"/>
      <c r="BU208" s="64"/>
      <c r="BV208" s="64"/>
      <c r="BW208" s="55"/>
      <c r="BX208" s="55"/>
      <c r="BY208" s="55"/>
      <c r="BZ208" s="55"/>
      <c r="CA208" s="55"/>
      <c r="CB208" s="55"/>
      <c r="CC208" s="55"/>
      <c r="CD208" s="55"/>
      <c r="CE208" s="55"/>
      <c r="CF208" s="55"/>
      <c r="CG208" s="55"/>
      <c r="CH208" s="55"/>
    </row>
    <row r="209" ht="16.5" customHeight="1">
      <c r="A209" s="55"/>
      <c r="B209" s="55"/>
      <c r="C209" s="55"/>
      <c r="D209" s="55"/>
      <c r="E209" s="55"/>
      <c r="F209" s="55"/>
      <c r="G209" s="55"/>
      <c r="H209" s="64"/>
      <c r="I209" s="64"/>
      <c r="J209" s="64"/>
      <c r="K209" s="64"/>
      <c r="L209" s="64"/>
      <c r="M209" s="64"/>
      <c r="N209" s="64"/>
      <c r="O209" s="64"/>
      <c r="P209" s="64"/>
      <c r="Q209" s="64"/>
      <c r="R209" s="64"/>
      <c r="S209" s="64"/>
      <c r="T209" s="55"/>
      <c r="U209" s="55"/>
      <c r="V209" s="55"/>
      <c r="W209" s="64"/>
      <c r="X209" s="64"/>
      <c r="Y209" s="55"/>
      <c r="Z209" s="55"/>
      <c r="AA209" s="55"/>
      <c r="AB209" s="64"/>
      <c r="AC209" s="64"/>
      <c r="AD209" s="64"/>
      <c r="AE209" s="64"/>
      <c r="AF209" s="64"/>
      <c r="AG209" s="55"/>
      <c r="AH209" s="55"/>
      <c r="AI209" s="64"/>
      <c r="AJ209" s="64"/>
      <c r="AK209" s="64"/>
      <c r="AL209" s="64"/>
      <c r="AM209" s="64"/>
      <c r="AN209" s="64"/>
      <c r="AO209" s="55"/>
      <c r="AP209" s="55"/>
      <c r="AQ209" s="64"/>
      <c r="AR209" s="64"/>
      <c r="AS209" s="64"/>
      <c r="AT209" s="64"/>
      <c r="AU209" s="64"/>
      <c r="AV209" s="55"/>
      <c r="AW209" s="55"/>
      <c r="AX209" s="64"/>
      <c r="AY209" s="64"/>
      <c r="AZ209" s="64"/>
      <c r="BA209" s="64"/>
      <c r="BB209" s="64"/>
      <c r="BC209" s="55"/>
      <c r="BD209" s="55"/>
      <c r="BE209" s="64"/>
      <c r="BF209" s="55"/>
      <c r="BG209" s="64"/>
      <c r="BH209" s="64"/>
      <c r="BI209" s="64"/>
      <c r="BJ209" s="64"/>
      <c r="BK209" s="55"/>
      <c r="BL209" s="55"/>
      <c r="BM209" s="55"/>
      <c r="BN209" s="64"/>
      <c r="BO209" s="64"/>
      <c r="BP209" s="64"/>
      <c r="BQ209" s="64"/>
      <c r="BR209" s="64"/>
      <c r="BS209" s="64"/>
      <c r="BT209" s="64"/>
      <c r="BU209" s="64"/>
      <c r="BV209" s="64"/>
      <c r="BW209" s="55"/>
      <c r="BX209" s="55"/>
      <c r="BY209" s="55"/>
      <c r="BZ209" s="55"/>
      <c r="CA209" s="55"/>
      <c r="CB209" s="55"/>
      <c r="CC209" s="55"/>
      <c r="CD209" s="55"/>
      <c r="CE209" s="55"/>
      <c r="CF209" s="55"/>
      <c r="CG209" s="55"/>
      <c r="CH209" s="55"/>
    </row>
    <row r="210" ht="16.5" customHeight="1">
      <c r="A210" s="55"/>
      <c r="B210" s="55"/>
      <c r="C210" s="55"/>
      <c r="D210" s="55"/>
      <c r="E210" s="55"/>
      <c r="F210" s="55"/>
      <c r="G210" s="55"/>
      <c r="H210" s="64"/>
      <c r="I210" s="64"/>
      <c r="J210" s="64"/>
      <c r="K210" s="64"/>
      <c r="L210" s="64"/>
      <c r="M210" s="64"/>
      <c r="N210" s="64"/>
      <c r="O210" s="64"/>
      <c r="P210" s="64"/>
      <c r="Q210" s="64"/>
      <c r="R210" s="64"/>
      <c r="S210" s="64"/>
      <c r="T210" s="55"/>
      <c r="U210" s="55"/>
      <c r="V210" s="55"/>
      <c r="W210" s="64"/>
      <c r="X210" s="64"/>
      <c r="Y210" s="55"/>
      <c r="Z210" s="55"/>
      <c r="AA210" s="55"/>
      <c r="AB210" s="64"/>
      <c r="AC210" s="64"/>
      <c r="AD210" s="64"/>
      <c r="AE210" s="64"/>
      <c r="AF210" s="64"/>
      <c r="AG210" s="55"/>
      <c r="AH210" s="55"/>
      <c r="AI210" s="64"/>
      <c r="AJ210" s="64"/>
      <c r="AK210" s="64"/>
      <c r="AL210" s="64"/>
      <c r="AM210" s="64"/>
      <c r="AN210" s="64"/>
      <c r="AO210" s="55"/>
      <c r="AP210" s="55"/>
      <c r="AQ210" s="64"/>
      <c r="AR210" s="64"/>
      <c r="AS210" s="64"/>
      <c r="AT210" s="64"/>
      <c r="AU210" s="64"/>
      <c r="AV210" s="55"/>
      <c r="AW210" s="55"/>
      <c r="AX210" s="64"/>
      <c r="AY210" s="64"/>
      <c r="AZ210" s="64"/>
      <c r="BA210" s="64"/>
      <c r="BB210" s="64"/>
      <c r="BC210" s="55"/>
      <c r="BD210" s="55"/>
      <c r="BE210" s="64"/>
      <c r="BF210" s="55"/>
      <c r="BG210" s="64"/>
      <c r="BH210" s="64"/>
      <c r="BI210" s="64"/>
      <c r="BJ210" s="64"/>
      <c r="BK210" s="55"/>
      <c r="BL210" s="55"/>
      <c r="BM210" s="55"/>
      <c r="BN210" s="64"/>
      <c r="BO210" s="64"/>
      <c r="BP210" s="64"/>
      <c r="BQ210" s="64"/>
      <c r="BR210" s="64"/>
      <c r="BS210" s="64"/>
      <c r="BT210" s="64"/>
      <c r="BU210" s="64"/>
      <c r="BV210" s="64"/>
      <c r="BW210" s="55"/>
      <c r="BX210" s="55"/>
      <c r="BY210" s="55"/>
      <c r="BZ210" s="55"/>
      <c r="CA210" s="55"/>
      <c r="CB210" s="55"/>
      <c r="CC210" s="55"/>
      <c r="CD210" s="55"/>
      <c r="CE210" s="55"/>
      <c r="CF210" s="55"/>
      <c r="CG210" s="55"/>
      <c r="CH210" s="55"/>
    </row>
    <row r="211" ht="16.5" customHeight="1">
      <c r="A211" s="55"/>
      <c r="B211" s="55"/>
      <c r="C211" s="55"/>
      <c r="D211" s="55"/>
      <c r="E211" s="55"/>
      <c r="F211" s="55"/>
      <c r="G211" s="55"/>
      <c r="H211" s="64"/>
      <c r="I211" s="64"/>
      <c r="J211" s="64"/>
      <c r="K211" s="64"/>
      <c r="L211" s="64"/>
      <c r="M211" s="64"/>
      <c r="N211" s="64"/>
      <c r="O211" s="64"/>
      <c r="P211" s="64"/>
      <c r="Q211" s="64"/>
      <c r="R211" s="64"/>
      <c r="S211" s="64"/>
      <c r="T211" s="55"/>
      <c r="U211" s="55"/>
      <c r="V211" s="55"/>
      <c r="W211" s="64"/>
      <c r="X211" s="64"/>
      <c r="Y211" s="55"/>
      <c r="Z211" s="55"/>
      <c r="AA211" s="55"/>
      <c r="AB211" s="64"/>
      <c r="AC211" s="64"/>
      <c r="AD211" s="64"/>
      <c r="AE211" s="64"/>
      <c r="AF211" s="64"/>
      <c r="AG211" s="55"/>
      <c r="AH211" s="55"/>
      <c r="AI211" s="64"/>
      <c r="AJ211" s="64"/>
      <c r="AK211" s="64"/>
      <c r="AL211" s="64"/>
      <c r="AM211" s="64"/>
      <c r="AN211" s="64"/>
      <c r="AO211" s="55"/>
      <c r="AP211" s="55"/>
      <c r="AQ211" s="64"/>
      <c r="AR211" s="64"/>
      <c r="AS211" s="64"/>
      <c r="AT211" s="64"/>
      <c r="AU211" s="64"/>
      <c r="AV211" s="55"/>
      <c r="AW211" s="55"/>
      <c r="AX211" s="64"/>
      <c r="AY211" s="64"/>
      <c r="AZ211" s="64"/>
      <c r="BA211" s="64"/>
      <c r="BB211" s="64"/>
      <c r="BC211" s="55"/>
      <c r="BD211" s="55"/>
      <c r="BE211" s="64"/>
      <c r="BF211" s="55"/>
      <c r="BG211" s="64"/>
      <c r="BH211" s="64"/>
      <c r="BI211" s="64"/>
      <c r="BJ211" s="64"/>
      <c r="BK211" s="55"/>
      <c r="BL211" s="55"/>
      <c r="BM211" s="55"/>
      <c r="BN211" s="64"/>
      <c r="BO211" s="64"/>
      <c r="BP211" s="64"/>
      <c r="BQ211" s="64"/>
      <c r="BR211" s="64"/>
      <c r="BS211" s="64"/>
      <c r="BT211" s="64"/>
      <c r="BU211" s="64"/>
      <c r="BV211" s="64"/>
      <c r="BW211" s="55"/>
      <c r="BX211" s="55"/>
      <c r="BY211" s="55"/>
      <c r="BZ211" s="55"/>
      <c r="CA211" s="55"/>
      <c r="CB211" s="55"/>
      <c r="CC211" s="55"/>
      <c r="CD211" s="55"/>
      <c r="CE211" s="55"/>
      <c r="CF211" s="55"/>
      <c r="CG211" s="55"/>
      <c r="CH211" s="55"/>
    </row>
    <row r="212" ht="16.5" customHeight="1">
      <c r="A212" s="55"/>
      <c r="B212" s="55"/>
      <c r="C212" s="55"/>
      <c r="D212" s="55"/>
      <c r="E212" s="55"/>
      <c r="F212" s="55"/>
      <c r="G212" s="55"/>
      <c r="H212" s="64"/>
      <c r="I212" s="64"/>
      <c r="J212" s="64"/>
      <c r="K212" s="64"/>
      <c r="L212" s="64"/>
      <c r="M212" s="64"/>
      <c r="N212" s="64"/>
      <c r="O212" s="64"/>
      <c r="P212" s="64"/>
      <c r="Q212" s="64"/>
      <c r="R212" s="64"/>
      <c r="S212" s="64"/>
      <c r="T212" s="55"/>
      <c r="U212" s="55"/>
      <c r="V212" s="55"/>
      <c r="W212" s="64"/>
      <c r="X212" s="64"/>
      <c r="Y212" s="55"/>
      <c r="Z212" s="55"/>
      <c r="AA212" s="55"/>
      <c r="AB212" s="64"/>
      <c r="AC212" s="64"/>
      <c r="AD212" s="64"/>
      <c r="AE212" s="64"/>
      <c r="AF212" s="64"/>
      <c r="AG212" s="55"/>
      <c r="AH212" s="55"/>
      <c r="AI212" s="64"/>
      <c r="AJ212" s="64"/>
      <c r="AK212" s="64"/>
      <c r="AL212" s="64"/>
      <c r="AM212" s="64"/>
      <c r="AN212" s="64"/>
      <c r="AO212" s="55"/>
      <c r="AP212" s="55"/>
      <c r="AQ212" s="64"/>
      <c r="AR212" s="64"/>
      <c r="AS212" s="64"/>
      <c r="AT212" s="64"/>
      <c r="AU212" s="64"/>
      <c r="AV212" s="55"/>
      <c r="AW212" s="55"/>
      <c r="AX212" s="64"/>
      <c r="AY212" s="64"/>
      <c r="AZ212" s="64"/>
      <c r="BA212" s="64"/>
      <c r="BB212" s="64"/>
      <c r="BC212" s="55"/>
      <c r="BD212" s="55"/>
      <c r="BE212" s="64"/>
      <c r="BF212" s="55"/>
      <c r="BG212" s="64"/>
      <c r="BH212" s="64"/>
      <c r="BI212" s="64"/>
      <c r="BJ212" s="64"/>
      <c r="BK212" s="55"/>
      <c r="BL212" s="55"/>
      <c r="BM212" s="55"/>
      <c r="BN212" s="64"/>
      <c r="BO212" s="64"/>
      <c r="BP212" s="64"/>
      <c r="BQ212" s="64"/>
      <c r="BR212" s="64"/>
      <c r="BS212" s="64"/>
      <c r="BT212" s="64"/>
      <c r="BU212" s="64"/>
      <c r="BV212" s="64"/>
      <c r="BW212" s="55"/>
      <c r="BX212" s="55"/>
      <c r="BY212" s="55"/>
      <c r="BZ212" s="55"/>
      <c r="CA212" s="55"/>
      <c r="CB212" s="55"/>
      <c r="CC212" s="55"/>
      <c r="CD212" s="55"/>
      <c r="CE212" s="55"/>
      <c r="CF212" s="55"/>
      <c r="CG212" s="55"/>
      <c r="CH212" s="55"/>
    </row>
    <row r="213" ht="16.5" customHeight="1">
      <c r="A213" s="55"/>
      <c r="B213" s="55"/>
      <c r="C213" s="55"/>
      <c r="D213" s="55"/>
      <c r="E213" s="55"/>
      <c r="F213" s="55"/>
      <c r="G213" s="55"/>
      <c r="H213" s="64"/>
      <c r="I213" s="64"/>
      <c r="J213" s="64"/>
      <c r="K213" s="64"/>
      <c r="L213" s="64"/>
      <c r="M213" s="64"/>
      <c r="N213" s="64"/>
      <c r="O213" s="64"/>
      <c r="P213" s="64"/>
      <c r="Q213" s="64"/>
      <c r="R213" s="64"/>
      <c r="S213" s="64"/>
      <c r="T213" s="55"/>
      <c r="U213" s="55"/>
      <c r="V213" s="55"/>
      <c r="W213" s="64"/>
      <c r="X213" s="64"/>
      <c r="Y213" s="55"/>
      <c r="Z213" s="55"/>
      <c r="AA213" s="55"/>
      <c r="AB213" s="64"/>
      <c r="AC213" s="64"/>
      <c r="AD213" s="64"/>
      <c r="AE213" s="64"/>
      <c r="AF213" s="64"/>
      <c r="AG213" s="55"/>
      <c r="AH213" s="55"/>
      <c r="AI213" s="64"/>
      <c r="AJ213" s="64"/>
      <c r="AK213" s="64"/>
      <c r="AL213" s="64"/>
      <c r="AM213" s="64"/>
      <c r="AN213" s="64"/>
      <c r="AO213" s="55"/>
      <c r="AP213" s="55"/>
      <c r="AQ213" s="64"/>
      <c r="AR213" s="64"/>
      <c r="AS213" s="64"/>
      <c r="AT213" s="64"/>
      <c r="AU213" s="64"/>
      <c r="AV213" s="55"/>
      <c r="AW213" s="55"/>
      <c r="AX213" s="64"/>
      <c r="AY213" s="64"/>
      <c r="AZ213" s="64"/>
      <c r="BA213" s="64"/>
      <c r="BB213" s="64"/>
      <c r="BC213" s="55"/>
      <c r="BD213" s="55"/>
      <c r="BE213" s="64"/>
      <c r="BF213" s="55"/>
      <c r="BG213" s="64"/>
      <c r="BH213" s="64"/>
      <c r="BI213" s="64"/>
      <c r="BJ213" s="64"/>
      <c r="BK213" s="55"/>
      <c r="BL213" s="55"/>
      <c r="BM213" s="55"/>
      <c r="BN213" s="64"/>
      <c r="BO213" s="64"/>
      <c r="BP213" s="64"/>
      <c r="BQ213" s="64"/>
      <c r="BR213" s="64"/>
      <c r="BS213" s="64"/>
      <c r="BT213" s="64"/>
      <c r="BU213" s="64"/>
      <c r="BV213" s="64"/>
      <c r="BW213" s="55"/>
      <c r="BX213" s="55"/>
      <c r="BY213" s="55"/>
      <c r="BZ213" s="55"/>
      <c r="CA213" s="55"/>
      <c r="CB213" s="55"/>
      <c r="CC213" s="55"/>
      <c r="CD213" s="55"/>
      <c r="CE213" s="55"/>
      <c r="CF213" s="55"/>
      <c r="CG213" s="55"/>
      <c r="CH213" s="55"/>
    </row>
    <row r="214" ht="16.5" customHeight="1">
      <c r="A214" s="55"/>
      <c r="B214" s="55"/>
      <c r="C214" s="55"/>
      <c r="D214" s="55"/>
      <c r="E214" s="55"/>
      <c r="F214" s="55"/>
      <c r="G214" s="55"/>
      <c r="H214" s="64"/>
      <c r="I214" s="64"/>
      <c r="J214" s="64"/>
      <c r="K214" s="64"/>
      <c r="L214" s="64"/>
      <c r="M214" s="64"/>
      <c r="N214" s="64"/>
      <c r="O214" s="64"/>
      <c r="P214" s="64"/>
      <c r="Q214" s="64"/>
      <c r="R214" s="64"/>
      <c r="S214" s="64"/>
      <c r="T214" s="55"/>
      <c r="U214" s="55"/>
      <c r="V214" s="55"/>
      <c r="W214" s="64"/>
      <c r="X214" s="64"/>
      <c r="Y214" s="55"/>
      <c r="Z214" s="55"/>
      <c r="AA214" s="55"/>
      <c r="AB214" s="64"/>
      <c r="AC214" s="64"/>
      <c r="AD214" s="64"/>
      <c r="AE214" s="64"/>
      <c r="AF214" s="64"/>
      <c r="AG214" s="55"/>
      <c r="AH214" s="55"/>
      <c r="AI214" s="64"/>
      <c r="AJ214" s="64"/>
      <c r="AK214" s="64"/>
      <c r="AL214" s="64"/>
      <c r="AM214" s="64"/>
      <c r="AN214" s="64"/>
      <c r="AO214" s="55"/>
      <c r="AP214" s="55"/>
      <c r="AQ214" s="64"/>
      <c r="AR214" s="64"/>
      <c r="AS214" s="64"/>
      <c r="AT214" s="64"/>
      <c r="AU214" s="64"/>
      <c r="AV214" s="55"/>
      <c r="AW214" s="55"/>
      <c r="AX214" s="64"/>
      <c r="AY214" s="64"/>
      <c r="AZ214" s="64"/>
      <c r="BA214" s="64"/>
      <c r="BB214" s="64"/>
      <c r="BC214" s="55"/>
      <c r="BD214" s="55"/>
      <c r="BE214" s="64"/>
      <c r="BF214" s="55"/>
      <c r="BG214" s="64"/>
      <c r="BH214" s="64"/>
      <c r="BI214" s="64"/>
      <c r="BJ214" s="64"/>
      <c r="BK214" s="55"/>
      <c r="BL214" s="55"/>
      <c r="BM214" s="55"/>
      <c r="BN214" s="64"/>
      <c r="BO214" s="64"/>
      <c r="BP214" s="64"/>
      <c r="BQ214" s="64"/>
      <c r="BR214" s="64"/>
      <c r="BS214" s="64"/>
      <c r="BT214" s="64"/>
      <c r="BU214" s="64"/>
      <c r="BV214" s="64"/>
      <c r="BW214" s="55"/>
      <c r="BX214" s="55"/>
      <c r="BY214" s="55"/>
      <c r="BZ214" s="55"/>
      <c r="CA214" s="55"/>
      <c r="CB214" s="55"/>
      <c r="CC214" s="55"/>
      <c r="CD214" s="55"/>
      <c r="CE214" s="55"/>
      <c r="CF214" s="55"/>
      <c r="CG214" s="55"/>
      <c r="CH214" s="55"/>
    </row>
    <row r="215" ht="16.5" customHeight="1">
      <c r="A215" s="55"/>
      <c r="B215" s="55"/>
      <c r="C215" s="55"/>
      <c r="D215" s="55"/>
      <c r="E215" s="55"/>
      <c r="F215" s="55"/>
      <c r="G215" s="55"/>
      <c r="H215" s="64"/>
      <c r="I215" s="64"/>
      <c r="J215" s="64"/>
      <c r="K215" s="64"/>
      <c r="L215" s="64"/>
      <c r="M215" s="64"/>
      <c r="N215" s="64"/>
      <c r="O215" s="64"/>
      <c r="P215" s="64"/>
      <c r="Q215" s="64"/>
      <c r="R215" s="64"/>
      <c r="S215" s="64"/>
      <c r="T215" s="55"/>
      <c r="U215" s="55"/>
      <c r="V215" s="55"/>
      <c r="W215" s="64"/>
      <c r="X215" s="64"/>
      <c r="Y215" s="55"/>
      <c r="Z215" s="55"/>
      <c r="AA215" s="55"/>
      <c r="AB215" s="64"/>
      <c r="AC215" s="64"/>
      <c r="AD215" s="64"/>
      <c r="AE215" s="64"/>
      <c r="AF215" s="64"/>
      <c r="AG215" s="55"/>
      <c r="AH215" s="55"/>
      <c r="AI215" s="64"/>
      <c r="AJ215" s="64"/>
      <c r="AK215" s="64"/>
      <c r="AL215" s="64"/>
      <c r="AM215" s="64"/>
      <c r="AN215" s="64"/>
      <c r="AO215" s="55"/>
      <c r="AP215" s="55"/>
      <c r="AQ215" s="64"/>
      <c r="AR215" s="64"/>
      <c r="AS215" s="64"/>
      <c r="AT215" s="64"/>
      <c r="AU215" s="64"/>
      <c r="AV215" s="55"/>
      <c r="AW215" s="55"/>
      <c r="AX215" s="64"/>
      <c r="AY215" s="64"/>
      <c r="AZ215" s="64"/>
      <c r="BA215" s="64"/>
      <c r="BB215" s="64"/>
      <c r="BC215" s="55"/>
      <c r="BD215" s="55"/>
      <c r="BE215" s="64"/>
      <c r="BF215" s="55"/>
      <c r="BG215" s="64"/>
      <c r="BH215" s="64"/>
      <c r="BI215" s="64"/>
      <c r="BJ215" s="64"/>
      <c r="BK215" s="55"/>
      <c r="BL215" s="55"/>
      <c r="BM215" s="55"/>
      <c r="BN215" s="64"/>
      <c r="BO215" s="64"/>
      <c r="BP215" s="64"/>
      <c r="BQ215" s="64"/>
      <c r="BR215" s="64"/>
      <c r="BS215" s="64"/>
      <c r="BT215" s="64"/>
      <c r="BU215" s="64"/>
      <c r="BV215" s="64"/>
      <c r="BW215" s="55"/>
      <c r="BX215" s="55"/>
      <c r="BY215" s="55"/>
      <c r="BZ215" s="55"/>
      <c r="CA215" s="55"/>
      <c r="CB215" s="55"/>
      <c r="CC215" s="55"/>
      <c r="CD215" s="55"/>
      <c r="CE215" s="55"/>
      <c r="CF215" s="55"/>
      <c r="CG215" s="55"/>
      <c r="CH215" s="55"/>
    </row>
    <row r="216" ht="16.5" customHeight="1">
      <c r="A216" s="55"/>
      <c r="B216" s="55"/>
      <c r="C216" s="55"/>
      <c r="D216" s="55"/>
      <c r="E216" s="55"/>
      <c r="F216" s="55"/>
      <c r="G216" s="55"/>
      <c r="H216" s="64"/>
      <c r="I216" s="64"/>
      <c r="J216" s="64"/>
      <c r="K216" s="64"/>
      <c r="L216" s="64"/>
      <c r="M216" s="64"/>
      <c r="N216" s="64"/>
      <c r="O216" s="64"/>
      <c r="P216" s="64"/>
      <c r="Q216" s="64"/>
      <c r="R216" s="64"/>
      <c r="S216" s="64"/>
      <c r="T216" s="55"/>
      <c r="U216" s="55"/>
      <c r="V216" s="55"/>
      <c r="W216" s="64"/>
      <c r="X216" s="64"/>
      <c r="Y216" s="55"/>
      <c r="Z216" s="55"/>
      <c r="AA216" s="55"/>
      <c r="AB216" s="64"/>
      <c r="AC216" s="64"/>
      <c r="AD216" s="64"/>
      <c r="AE216" s="64"/>
      <c r="AF216" s="64"/>
      <c r="AG216" s="55"/>
      <c r="AH216" s="55"/>
      <c r="AI216" s="64"/>
      <c r="AJ216" s="64"/>
      <c r="AK216" s="64"/>
      <c r="AL216" s="64"/>
      <c r="AM216" s="64"/>
      <c r="AN216" s="64"/>
      <c r="AO216" s="55"/>
      <c r="AP216" s="55"/>
      <c r="AQ216" s="64"/>
      <c r="AR216" s="64"/>
      <c r="AS216" s="64"/>
      <c r="AT216" s="64"/>
      <c r="AU216" s="64"/>
      <c r="AV216" s="55"/>
      <c r="AW216" s="55"/>
      <c r="AX216" s="64"/>
      <c r="AY216" s="64"/>
      <c r="AZ216" s="64"/>
      <c r="BA216" s="64"/>
      <c r="BB216" s="64"/>
      <c r="BC216" s="55"/>
      <c r="BD216" s="55"/>
      <c r="BE216" s="64"/>
      <c r="BF216" s="55"/>
      <c r="BG216" s="64"/>
      <c r="BH216" s="64"/>
      <c r="BI216" s="64"/>
      <c r="BJ216" s="64"/>
      <c r="BK216" s="55"/>
      <c r="BL216" s="55"/>
      <c r="BM216" s="55"/>
      <c r="BN216" s="64"/>
      <c r="BO216" s="64"/>
      <c r="BP216" s="64"/>
      <c r="BQ216" s="64"/>
      <c r="BR216" s="64"/>
      <c r="BS216" s="64"/>
      <c r="BT216" s="64"/>
      <c r="BU216" s="64"/>
      <c r="BV216" s="64"/>
      <c r="BW216" s="55"/>
      <c r="BX216" s="55"/>
      <c r="BY216" s="55"/>
      <c r="BZ216" s="55"/>
      <c r="CA216" s="55"/>
      <c r="CB216" s="55"/>
      <c r="CC216" s="55"/>
      <c r="CD216" s="55"/>
      <c r="CE216" s="55"/>
      <c r="CF216" s="55"/>
      <c r="CG216" s="55"/>
      <c r="CH216" s="55"/>
    </row>
    <row r="217" ht="16.5" customHeight="1">
      <c r="A217" s="55"/>
      <c r="B217" s="55"/>
      <c r="C217" s="55"/>
      <c r="D217" s="55"/>
      <c r="E217" s="55"/>
      <c r="F217" s="55"/>
      <c r="G217" s="55"/>
      <c r="H217" s="64"/>
      <c r="I217" s="64"/>
      <c r="J217" s="64"/>
      <c r="K217" s="64"/>
      <c r="L217" s="64"/>
      <c r="M217" s="64"/>
      <c r="N217" s="64"/>
      <c r="O217" s="64"/>
      <c r="P217" s="64"/>
      <c r="Q217" s="64"/>
      <c r="R217" s="64"/>
      <c r="S217" s="64"/>
      <c r="T217" s="55"/>
      <c r="U217" s="55"/>
      <c r="V217" s="55"/>
      <c r="W217" s="64"/>
      <c r="X217" s="64"/>
      <c r="Y217" s="55"/>
      <c r="Z217" s="55"/>
      <c r="AA217" s="55"/>
      <c r="AB217" s="64"/>
      <c r="AC217" s="64"/>
      <c r="AD217" s="64"/>
      <c r="AE217" s="64"/>
      <c r="AF217" s="64"/>
      <c r="AG217" s="55"/>
      <c r="AH217" s="55"/>
      <c r="AI217" s="64"/>
      <c r="AJ217" s="64"/>
      <c r="AK217" s="64"/>
      <c r="AL217" s="64"/>
      <c r="AM217" s="64"/>
      <c r="AN217" s="64"/>
      <c r="AO217" s="55"/>
      <c r="AP217" s="55"/>
      <c r="AQ217" s="64"/>
      <c r="AR217" s="64"/>
      <c r="AS217" s="64"/>
      <c r="AT217" s="64"/>
      <c r="AU217" s="64"/>
      <c r="AV217" s="55"/>
      <c r="AW217" s="55"/>
      <c r="AX217" s="64"/>
      <c r="AY217" s="64"/>
      <c r="AZ217" s="64"/>
      <c r="BA217" s="64"/>
      <c r="BB217" s="64"/>
      <c r="BC217" s="55"/>
      <c r="BD217" s="55"/>
      <c r="BE217" s="64"/>
      <c r="BF217" s="55"/>
      <c r="BG217" s="64"/>
      <c r="BH217" s="64"/>
      <c r="BI217" s="64"/>
      <c r="BJ217" s="64"/>
      <c r="BK217" s="55"/>
      <c r="BL217" s="55"/>
      <c r="BM217" s="55"/>
      <c r="BN217" s="64"/>
      <c r="BO217" s="64"/>
      <c r="BP217" s="64"/>
      <c r="BQ217" s="64"/>
      <c r="BR217" s="64"/>
      <c r="BS217" s="64"/>
      <c r="BT217" s="64"/>
      <c r="BU217" s="64"/>
      <c r="BV217" s="64"/>
      <c r="BW217" s="55"/>
      <c r="BX217" s="55"/>
      <c r="BY217" s="55"/>
      <c r="BZ217" s="55"/>
      <c r="CA217" s="55"/>
      <c r="CB217" s="55"/>
      <c r="CC217" s="55"/>
      <c r="CD217" s="55"/>
      <c r="CE217" s="55"/>
      <c r="CF217" s="55"/>
      <c r="CG217" s="55"/>
      <c r="CH217" s="55"/>
    </row>
    <row r="218" ht="16.5" customHeight="1">
      <c r="A218" s="55"/>
      <c r="B218" s="55"/>
      <c r="C218" s="55"/>
      <c r="D218" s="55"/>
      <c r="E218" s="55"/>
      <c r="F218" s="55"/>
      <c r="G218" s="55"/>
      <c r="H218" s="64"/>
      <c r="I218" s="64"/>
      <c r="J218" s="64"/>
      <c r="K218" s="64"/>
      <c r="L218" s="64"/>
      <c r="M218" s="64"/>
      <c r="N218" s="64"/>
      <c r="O218" s="64"/>
      <c r="P218" s="64"/>
      <c r="Q218" s="64"/>
      <c r="R218" s="64"/>
      <c r="S218" s="64"/>
      <c r="T218" s="55"/>
      <c r="U218" s="55"/>
      <c r="V218" s="55"/>
      <c r="W218" s="64"/>
      <c r="X218" s="64"/>
      <c r="Y218" s="55"/>
      <c r="Z218" s="55"/>
      <c r="AA218" s="55"/>
      <c r="AB218" s="64"/>
      <c r="AC218" s="64"/>
      <c r="AD218" s="64"/>
      <c r="AE218" s="64"/>
      <c r="AF218" s="64"/>
      <c r="AG218" s="55"/>
      <c r="AH218" s="55"/>
      <c r="AI218" s="64"/>
      <c r="AJ218" s="64"/>
      <c r="AK218" s="64"/>
      <c r="AL218" s="64"/>
      <c r="AM218" s="64"/>
      <c r="AN218" s="64"/>
      <c r="AO218" s="55"/>
      <c r="AP218" s="55"/>
      <c r="AQ218" s="64"/>
      <c r="AR218" s="64"/>
      <c r="AS218" s="64"/>
      <c r="AT218" s="64"/>
      <c r="AU218" s="64"/>
      <c r="AV218" s="55"/>
      <c r="AW218" s="55"/>
      <c r="AX218" s="64"/>
      <c r="AY218" s="64"/>
      <c r="AZ218" s="64"/>
      <c r="BA218" s="64"/>
      <c r="BB218" s="64"/>
      <c r="BC218" s="55"/>
      <c r="BD218" s="55"/>
      <c r="BE218" s="64"/>
      <c r="BF218" s="55"/>
      <c r="BG218" s="64"/>
      <c r="BH218" s="64"/>
      <c r="BI218" s="64"/>
      <c r="BJ218" s="64"/>
      <c r="BK218" s="55"/>
      <c r="BL218" s="55"/>
      <c r="BM218" s="55"/>
      <c r="BN218" s="64"/>
      <c r="BO218" s="64"/>
      <c r="BP218" s="64"/>
      <c r="BQ218" s="64"/>
      <c r="BR218" s="64"/>
      <c r="BS218" s="64"/>
      <c r="BT218" s="64"/>
      <c r="BU218" s="64"/>
      <c r="BV218" s="64"/>
      <c r="BW218" s="55"/>
      <c r="BX218" s="55"/>
      <c r="BY218" s="55"/>
      <c r="BZ218" s="55"/>
      <c r="CA218" s="55"/>
      <c r="CB218" s="55"/>
      <c r="CC218" s="55"/>
      <c r="CD218" s="55"/>
      <c r="CE218" s="55"/>
      <c r="CF218" s="55"/>
      <c r="CG218" s="55"/>
      <c r="CH218" s="55"/>
    </row>
    <row r="219" ht="16.5" customHeight="1">
      <c r="A219" s="55"/>
      <c r="B219" s="55"/>
      <c r="C219" s="55"/>
      <c r="D219" s="55"/>
      <c r="E219" s="55"/>
      <c r="F219" s="55"/>
      <c r="G219" s="55"/>
      <c r="H219" s="64"/>
      <c r="I219" s="64"/>
      <c r="J219" s="64"/>
      <c r="K219" s="64"/>
      <c r="L219" s="64"/>
      <c r="M219" s="64"/>
      <c r="N219" s="64"/>
      <c r="O219" s="64"/>
      <c r="P219" s="64"/>
      <c r="Q219" s="64"/>
      <c r="R219" s="64"/>
      <c r="S219" s="64"/>
      <c r="T219" s="55"/>
      <c r="U219" s="55"/>
      <c r="V219" s="55"/>
      <c r="W219" s="64"/>
      <c r="X219" s="64"/>
      <c r="Y219" s="55"/>
      <c r="Z219" s="55"/>
      <c r="AA219" s="55"/>
      <c r="AB219" s="64"/>
      <c r="AC219" s="64"/>
      <c r="AD219" s="64"/>
      <c r="AE219" s="64"/>
      <c r="AF219" s="64"/>
      <c r="AG219" s="55"/>
      <c r="AH219" s="55"/>
      <c r="AI219" s="64"/>
      <c r="AJ219" s="64"/>
      <c r="AK219" s="64"/>
      <c r="AL219" s="64"/>
      <c r="AM219" s="64"/>
      <c r="AN219" s="64"/>
      <c r="AO219" s="55"/>
      <c r="AP219" s="55"/>
      <c r="AQ219" s="64"/>
      <c r="AR219" s="64"/>
      <c r="AS219" s="64"/>
      <c r="AT219" s="64"/>
      <c r="AU219" s="64"/>
      <c r="AV219" s="55"/>
      <c r="AW219" s="55"/>
      <c r="AX219" s="64"/>
      <c r="AY219" s="64"/>
      <c r="AZ219" s="64"/>
      <c r="BA219" s="64"/>
      <c r="BB219" s="64"/>
      <c r="BC219" s="55"/>
      <c r="BD219" s="55"/>
      <c r="BE219" s="64"/>
      <c r="BF219" s="55"/>
      <c r="BG219" s="64"/>
      <c r="BH219" s="64"/>
      <c r="BI219" s="64"/>
      <c r="BJ219" s="64"/>
      <c r="BK219" s="55"/>
      <c r="BL219" s="55"/>
      <c r="BM219" s="55"/>
      <c r="BN219" s="64"/>
      <c r="BO219" s="64"/>
      <c r="BP219" s="64"/>
      <c r="BQ219" s="64"/>
      <c r="BR219" s="64"/>
      <c r="BS219" s="64"/>
      <c r="BT219" s="64"/>
      <c r="BU219" s="64"/>
      <c r="BV219" s="64"/>
      <c r="BW219" s="55"/>
      <c r="BX219" s="55"/>
      <c r="BY219" s="55"/>
      <c r="BZ219" s="55"/>
      <c r="CA219" s="55"/>
      <c r="CB219" s="55"/>
      <c r="CC219" s="55"/>
      <c r="CD219" s="55"/>
      <c r="CE219" s="55"/>
      <c r="CF219" s="55"/>
      <c r="CG219" s="55"/>
      <c r="CH219" s="55"/>
    </row>
    <row r="220" ht="16.5" customHeight="1">
      <c r="A220" s="55"/>
      <c r="B220" s="55"/>
      <c r="C220" s="55"/>
      <c r="D220" s="55"/>
      <c r="E220" s="55"/>
      <c r="F220" s="55"/>
      <c r="G220" s="55"/>
      <c r="H220" s="64"/>
      <c r="I220" s="64"/>
      <c r="J220" s="64"/>
      <c r="K220" s="64"/>
      <c r="L220" s="64"/>
      <c r="M220" s="64"/>
      <c r="N220" s="64"/>
      <c r="O220" s="64"/>
      <c r="P220" s="64"/>
      <c r="Q220" s="64"/>
      <c r="R220" s="64"/>
      <c r="S220" s="64"/>
      <c r="T220" s="55"/>
      <c r="U220" s="55"/>
      <c r="V220" s="55"/>
      <c r="W220" s="64"/>
      <c r="X220" s="64"/>
      <c r="Y220" s="55"/>
      <c r="Z220" s="55"/>
      <c r="AA220" s="55"/>
      <c r="AB220" s="64"/>
      <c r="AC220" s="64"/>
      <c r="AD220" s="64"/>
      <c r="AE220" s="64"/>
      <c r="AF220" s="64"/>
      <c r="AG220" s="55"/>
      <c r="AH220" s="55"/>
      <c r="AI220" s="64"/>
      <c r="AJ220" s="64"/>
      <c r="AK220" s="64"/>
      <c r="AL220" s="64"/>
      <c r="AM220" s="64"/>
      <c r="AN220" s="64"/>
      <c r="AO220" s="55"/>
      <c r="AP220" s="55"/>
      <c r="AQ220" s="64"/>
      <c r="AR220" s="64"/>
      <c r="AS220" s="64"/>
      <c r="AT220" s="64"/>
      <c r="AU220" s="64"/>
      <c r="AV220" s="55"/>
      <c r="AW220" s="55"/>
      <c r="AX220" s="64"/>
      <c r="AY220" s="64"/>
      <c r="AZ220" s="64"/>
      <c r="BA220" s="64"/>
      <c r="BB220" s="64"/>
      <c r="BC220" s="55"/>
      <c r="BD220" s="55"/>
      <c r="BE220" s="64"/>
      <c r="BF220" s="55"/>
      <c r="BG220" s="64"/>
      <c r="BH220" s="64"/>
      <c r="BI220" s="64"/>
      <c r="BJ220" s="64"/>
      <c r="BK220" s="55"/>
      <c r="BL220" s="55"/>
      <c r="BM220" s="55"/>
      <c r="BN220" s="64"/>
      <c r="BO220" s="64"/>
      <c r="BP220" s="64"/>
      <c r="BQ220" s="64"/>
      <c r="BR220" s="64"/>
      <c r="BS220" s="64"/>
      <c r="BT220" s="64"/>
      <c r="BU220" s="64"/>
      <c r="BV220" s="64"/>
      <c r="BW220" s="55"/>
      <c r="BX220" s="55"/>
      <c r="BY220" s="55"/>
      <c r="BZ220" s="55"/>
      <c r="CA220" s="55"/>
      <c r="CB220" s="55"/>
      <c r="CC220" s="55"/>
      <c r="CD220" s="55"/>
      <c r="CE220" s="55"/>
      <c r="CF220" s="55"/>
      <c r="CG220" s="55"/>
      <c r="CH220" s="55"/>
    </row>
    <row r="221" ht="16.5" customHeight="1">
      <c r="A221" s="55"/>
      <c r="B221" s="55"/>
      <c r="C221" s="55"/>
      <c r="D221" s="55"/>
      <c r="E221" s="55"/>
      <c r="F221" s="55"/>
      <c r="G221" s="55"/>
      <c r="H221" s="64"/>
      <c r="I221" s="64"/>
      <c r="J221" s="64"/>
      <c r="K221" s="64"/>
      <c r="L221" s="64"/>
      <c r="M221" s="64"/>
      <c r="N221" s="64"/>
      <c r="O221" s="64"/>
      <c r="P221" s="64"/>
      <c r="Q221" s="64"/>
      <c r="R221" s="64"/>
      <c r="S221" s="64"/>
      <c r="T221" s="55"/>
      <c r="U221" s="55"/>
      <c r="V221" s="55"/>
      <c r="W221" s="64"/>
      <c r="X221" s="64"/>
      <c r="Y221" s="55"/>
      <c r="Z221" s="55"/>
      <c r="AA221" s="55"/>
      <c r="AB221" s="64"/>
      <c r="AC221" s="64"/>
      <c r="AD221" s="64"/>
      <c r="AE221" s="64"/>
      <c r="AF221" s="64"/>
      <c r="AG221" s="55"/>
      <c r="AH221" s="55"/>
      <c r="AI221" s="64"/>
      <c r="AJ221" s="64"/>
      <c r="AK221" s="64"/>
      <c r="AL221" s="64"/>
      <c r="AM221" s="64"/>
      <c r="AN221" s="64"/>
      <c r="AO221" s="55"/>
      <c r="AP221" s="55"/>
      <c r="AQ221" s="64"/>
      <c r="AR221" s="64"/>
      <c r="AS221" s="64"/>
      <c r="AT221" s="64"/>
      <c r="AU221" s="64"/>
      <c r="AV221" s="55"/>
      <c r="AW221" s="55"/>
      <c r="AX221" s="64"/>
      <c r="AY221" s="64"/>
      <c r="AZ221" s="64"/>
      <c r="BA221" s="64"/>
      <c r="BB221" s="64"/>
      <c r="BC221" s="55"/>
      <c r="BD221" s="55"/>
      <c r="BE221" s="64"/>
      <c r="BF221" s="55"/>
      <c r="BG221" s="64"/>
      <c r="BH221" s="64"/>
      <c r="BI221" s="64"/>
      <c r="BJ221" s="64"/>
      <c r="BK221" s="55"/>
      <c r="BL221" s="55"/>
      <c r="BM221" s="55"/>
      <c r="BN221" s="64"/>
      <c r="BO221" s="64"/>
      <c r="BP221" s="64"/>
      <c r="BQ221" s="64"/>
      <c r="BR221" s="64"/>
      <c r="BS221" s="64"/>
      <c r="BT221" s="64"/>
      <c r="BU221" s="64"/>
      <c r="BV221" s="64"/>
      <c r="BW221" s="55"/>
      <c r="BX221" s="55"/>
      <c r="BY221" s="55"/>
      <c r="BZ221" s="55"/>
      <c r="CA221" s="55"/>
      <c r="CB221" s="55"/>
      <c r="CC221" s="55"/>
      <c r="CD221" s="55"/>
      <c r="CE221" s="55"/>
      <c r="CF221" s="55"/>
      <c r="CG221" s="55"/>
      <c r="CH221" s="55"/>
    </row>
    <row r="222" ht="16.5" customHeight="1">
      <c r="A222" s="55"/>
      <c r="B222" s="55"/>
      <c r="C222" s="55"/>
      <c r="D222" s="55"/>
      <c r="E222" s="55"/>
      <c r="F222" s="55"/>
      <c r="G222" s="55"/>
      <c r="H222" s="64"/>
      <c r="I222" s="64"/>
      <c r="J222" s="64"/>
      <c r="K222" s="64"/>
      <c r="L222" s="64"/>
      <c r="M222" s="64"/>
      <c r="N222" s="64"/>
      <c r="O222" s="64"/>
      <c r="P222" s="64"/>
      <c r="Q222" s="64"/>
      <c r="R222" s="64"/>
      <c r="S222" s="64"/>
      <c r="T222" s="55"/>
      <c r="U222" s="55"/>
      <c r="V222" s="55"/>
      <c r="W222" s="64"/>
      <c r="X222" s="64"/>
      <c r="Y222" s="55"/>
      <c r="Z222" s="55"/>
      <c r="AA222" s="55"/>
      <c r="AB222" s="64"/>
      <c r="AC222" s="64"/>
      <c r="AD222" s="64"/>
      <c r="AE222" s="64"/>
      <c r="AF222" s="64"/>
      <c r="AG222" s="55"/>
      <c r="AH222" s="55"/>
      <c r="AI222" s="64"/>
      <c r="AJ222" s="64"/>
      <c r="AK222" s="64"/>
      <c r="AL222" s="64"/>
      <c r="AM222" s="64"/>
      <c r="AN222" s="64"/>
      <c r="AO222" s="55"/>
      <c r="AP222" s="55"/>
      <c r="AQ222" s="64"/>
      <c r="AR222" s="64"/>
      <c r="AS222" s="64"/>
      <c r="AT222" s="64"/>
      <c r="AU222" s="64"/>
      <c r="AV222" s="55"/>
      <c r="AW222" s="55"/>
      <c r="AX222" s="64"/>
      <c r="AY222" s="64"/>
      <c r="AZ222" s="64"/>
      <c r="BA222" s="64"/>
      <c r="BB222" s="64"/>
      <c r="BC222" s="55"/>
      <c r="BD222" s="55"/>
      <c r="BE222" s="64"/>
      <c r="BF222" s="55"/>
      <c r="BG222" s="64"/>
      <c r="BH222" s="64"/>
      <c r="BI222" s="64"/>
      <c r="BJ222" s="64"/>
      <c r="BK222" s="55"/>
      <c r="BL222" s="55"/>
      <c r="BM222" s="55"/>
      <c r="BN222" s="64"/>
      <c r="BO222" s="64"/>
      <c r="BP222" s="64"/>
      <c r="BQ222" s="64"/>
      <c r="BR222" s="64"/>
      <c r="BS222" s="64"/>
      <c r="BT222" s="64"/>
      <c r="BU222" s="64"/>
      <c r="BV222" s="64"/>
      <c r="BW222" s="55"/>
      <c r="BX222" s="55"/>
      <c r="BY222" s="55"/>
      <c r="BZ222" s="55"/>
      <c r="CA222" s="55"/>
      <c r="CB222" s="55"/>
      <c r="CC222" s="55"/>
      <c r="CD222" s="55"/>
      <c r="CE222" s="55"/>
      <c r="CF222" s="55"/>
      <c r="CG222" s="55"/>
      <c r="CH222" s="55"/>
    </row>
    <row r="223" ht="16.5" customHeight="1">
      <c r="A223" s="55"/>
      <c r="B223" s="55"/>
      <c r="C223" s="55"/>
      <c r="D223" s="55"/>
      <c r="E223" s="55"/>
      <c r="F223" s="55"/>
      <c r="G223" s="55"/>
      <c r="H223" s="64"/>
      <c r="I223" s="64"/>
      <c r="J223" s="64"/>
      <c r="K223" s="64"/>
      <c r="L223" s="64"/>
      <c r="M223" s="64"/>
      <c r="N223" s="64"/>
      <c r="O223" s="64"/>
      <c r="P223" s="64"/>
      <c r="Q223" s="64"/>
      <c r="R223" s="64"/>
      <c r="S223" s="64"/>
      <c r="T223" s="55"/>
      <c r="U223" s="55"/>
      <c r="V223" s="55"/>
      <c r="W223" s="64"/>
      <c r="X223" s="64"/>
      <c r="Y223" s="55"/>
      <c r="Z223" s="55"/>
      <c r="AA223" s="55"/>
      <c r="AB223" s="64"/>
      <c r="AC223" s="64"/>
      <c r="AD223" s="64"/>
      <c r="AE223" s="64"/>
      <c r="AF223" s="64"/>
      <c r="AG223" s="55"/>
      <c r="AH223" s="55"/>
      <c r="AI223" s="64"/>
      <c r="AJ223" s="64"/>
      <c r="AK223" s="64"/>
      <c r="AL223" s="64"/>
      <c r="AM223" s="64"/>
      <c r="AN223" s="64"/>
      <c r="AO223" s="55"/>
      <c r="AP223" s="55"/>
      <c r="AQ223" s="64"/>
      <c r="AR223" s="64"/>
      <c r="AS223" s="64"/>
      <c r="AT223" s="64"/>
      <c r="AU223" s="64"/>
      <c r="AV223" s="55"/>
      <c r="AW223" s="55"/>
      <c r="AX223" s="64"/>
      <c r="AY223" s="64"/>
      <c r="AZ223" s="64"/>
      <c r="BA223" s="64"/>
      <c r="BB223" s="64"/>
      <c r="BC223" s="55"/>
      <c r="BD223" s="55"/>
      <c r="BE223" s="64"/>
      <c r="BF223" s="55"/>
      <c r="BG223" s="64"/>
      <c r="BH223" s="64"/>
      <c r="BI223" s="64"/>
      <c r="BJ223" s="64"/>
      <c r="BK223" s="55"/>
      <c r="BL223" s="55"/>
      <c r="BM223" s="55"/>
      <c r="BN223" s="64"/>
      <c r="BO223" s="64"/>
      <c r="BP223" s="64"/>
      <c r="BQ223" s="64"/>
      <c r="BR223" s="64"/>
      <c r="BS223" s="64"/>
      <c r="BT223" s="64"/>
      <c r="BU223" s="64"/>
      <c r="BV223" s="64"/>
      <c r="BW223" s="55"/>
      <c r="BX223" s="55"/>
      <c r="BY223" s="55"/>
      <c r="BZ223" s="55"/>
      <c r="CA223" s="55"/>
      <c r="CB223" s="55"/>
      <c r="CC223" s="55"/>
      <c r="CD223" s="55"/>
      <c r="CE223" s="55"/>
      <c r="CF223" s="55"/>
      <c r="CG223" s="55"/>
      <c r="CH223" s="55"/>
    </row>
    <row r="224" ht="16.5" customHeight="1">
      <c r="A224" s="55"/>
      <c r="B224" s="55"/>
      <c r="C224" s="55"/>
      <c r="D224" s="55"/>
      <c r="E224" s="55"/>
      <c r="F224" s="55"/>
      <c r="G224" s="55"/>
      <c r="H224" s="64"/>
      <c r="I224" s="64"/>
      <c r="J224" s="64"/>
      <c r="K224" s="64"/>
      <c r="L224" s="64"/>
      <c r="M224" s="64"/>
      <c r="N224" s="64"/>
      <c r="O224" s="64"/>
      <c r="P224" s="64"/>
      <c r="Q224" s="64"/>
      <c r="R224" s="64"/>
      <c r="S224" s="64"/>
      <c r="T224" s="55"/>
      <c r="U224" s="55"/>
      <c r="V224" s="55"/>
      <c r="W224" s="64"/>
      <c r="X224" s="64"/>
      <c r="Y224" s="55"/>
      <c r="Z224" s="55"/>
      <c r="AA224" s="55"/>
      <c r="AB224" s="64"/>
      <c r="AC224" s="64"/>
      <c r="AD224" s="64"/>
      <c r="AE224" s="64"/>
      <c r="AF224" s="64"/>
      <c r="AG224" s="55"/>
      <c r="AH224" s="55"/>
      <c r="AI224" s="64"/>
      <c r="AJ224" s="64"/>
      <c r="AK224" s="64"/>
      <c r="AL224" s="64"/>
      <c r="AM224" s="64"/>
      <c r="AN224" s="64"/>
      <c r="AO224" s="55"/>
      <c r="AP224" s="55"/>
      <c r="AQ224" s="64"/>
      <c r="AR224" s="64"/>
      <c r="AS224" s="64"/>
      <c r="AT224" s="64"/>
      <c r="AU224" s="64"/>
      <c r="AV224" s="55"/>
      <c r="AW224" s="55"/>
      <c r="AX224" s="64"/>
      <c r="AY224" s="64"/>
      <c r="AZ224" s="64"/>
      <c r="BA224" s="64"/>
      <c r="BB224" s="64"/>
      <c r="BC224" s="55"/>
      <c r="BD224" s="55"/>
      <c r="BE224" s="64"/>
      <c r="BF224" s="55"/>
      <c r="BG224" s="64"/>
      <c r="BH224" s="64"/>
      <c r="BI224" s="64"/>
      <c r="BJ224" s="64"/>
      <c r="BK224" s="55"/>
      <c r="BL224" s="55"/>
      <c r="BM224" s="55"/>
      <c r="BN224" s="64"/>
      <c r="BO224" s="64"/>
      <c r="BP224" s="64"/>
      <c r="BQ224" s="64"/>
      <c r="BR224" s="64"/>
      <c r="BS224" s="64"/>
      <c r="BT224" s="64"/>
      <c r="BU224" s="64"/>
      <c r="BV224" s="64"/>
      <c r="BW224" s="55"/>
      <c r="BX224" s="55"/>
      <c r="BY224" s="55"/>
      <c r="BZ224" s="55"/>
      <c r="CA224" s="55"/>
      <c r="CB224" s="55"/>
      <c r="CC224" s="55"/>
      <c r="CD224" s="55"/>
      <c r="CE224" s="55"/>
      <c r="CF224" s="55"/>
      <c r="CG224" s="55"/>
      <c r="CH224" s="55"/>
    </row>
    <row r="225" ht="16.5" customHeight="1">
      <c r="A225" s="55"/>
      <c r="B225" s="55"/>
      <c r="C225" s="55"/>
      <c r="D225" s="55"/>
      <c r="E225" s="55"/>
      <c r="F225" s="55"/>
      <c r="G225" s="55"/>
      <c r="H225" s="64"/>
      <c r="I225" s="64"/>
      <c r="J225" s="64"/>
      <c r="K225" s="64"/>
      <c r="L225" s="64"/>
      <c r="M225" s="64"/>
      <c r="N225" s="64"/>
      <c r="O225" s="64"/>
      <c r="P225" s="64"/>
      <c r="Q225" s="64"/>
      <c r="R225" s="64"/>
      <c r="S225" s="64"/>
      <c r="T225" s="55"/>
      <c r="U225" s="55"/>
      <c r="V225" s="55"/>
      <c r="W225" s="64"/>
      <c r="X225" s="64"/>
      <c r="Y225" s="55"/>
      <c r="Z225" s="55"/>
      <c r="AA225" s="55"/>
      <c r="AB225" s="64"/>
      <c r="AC225" s="64"/>
      <c r="AD225" s="64"/>
      <c r="AE225" s="64"/>
      <c r="AF225" s="64"/>
      <c r="AG225" s="55"/>
      <c r="AH225" s="55"/>
      <c r="AI225" s="64"/>
      <c r="AJ225" s="64"/>
      <c r="AK225" s="64"/>
      <c r="AL225" s="64"/>
      <c r="AM225" s="64"/>
      <c r="AN225" s="64"/>
      <c r="AO225" s="55"/>
      <c r="AP225" s="55"/>
      <c r="AQ225" s="64"/>
      <c r="AR225" s="64"/>
      <c r="AS225" s="64"/>
      <c r="AT225" s="64"/>
      <c r="AU225" s="64"/>
      <c r="AV225" s="55"/>
      <c r="AW225" s="55"/>
      <c r="AX225" s="64"/>
      <c r="AY225" s="64"/>
      <c r="AZ225" s="64"/>
      <c r="BA225" s="64"/>
      <c r="BB225" s="64"/>
      <c r="BC225" s="55"/>
      <c r="BD225" s="55"/>
      <c r="BE225" s="64"/>
      <c r="BF225" s="55"/>
      <c r="BG225" s="64"/>
      <c r="BH225" s="64"/>
      <c r="BI225" s="64"/>
      <c r="BJ225" s="64"/>
      <c r="BK225" s="55"/>
      <c r="BL225" s="55"/>
      <c r="BM225" s="55"/>
      <c r="BN225" s="64"/>
      <c r="BO225" s="64"/>
      <c r="BP225" s="64"/>
      <c r="BQ225" s="64"/>
      <c r="BR225" s="64"/>
      <c r="BS225" s="64"/>
      <c r="BT225" s="64"/>
      <c r="BU225" s="64"/>
      <c r="BV225" s="64"/>
      <c r="BW225" s="55"/>
      <c r="BX225" s="55"/>
      <c r="BY225" s="55"/>
      <c r="BZ225" s="55"/>
      <c r="CA225" s="55"/>
      <c r="CB225" s="55"/>
      <c r="CC225" s="55"/>
      <c r="CD225" s="55"/>
      <c r="CE225" s="55"/>
      <c r="CF225" s="55"/>
      <c r="CG225" s="55"/>
      <c r="CH225" s="55"/>
    </row>
    <row r="226" ht="16.5" customHeight="1">
      <c r="A226" s="55"/>
      <c r="B226" s="55"/>
      <c r="C226" s="55"/>
      <c r="D226" s="55"/>
      <c r="E226" s="55"/>
      <c r="F226" s="55"/>
      <c r="G226" s="55"/>
      <c r="H226" s="64"/>
      <c r="I226" s="64"/>
      <c r="J226" s="64"/>
      <c r="K226" s="64"/>
      <c r="L226" s="64"/>
      <c r="M226" s="64"/>
      <c r="N226" s="64"/>
      <c r="O226" s="64"/>
      <c r="P226" s="64"/>
      <c r="Q226" s="64"/>
      <c r="R226" s="64"/>
      <c r="S226" s="64"/>
      <c r="T226" s="55"/>
      <c r="U226" s="55"/>
      <c r="V226" s="55"/>
      <c r="W226" s="64"/>
      <c r="X226" s="64"/>
      <c r="Y226" s="55"/>
      <c r="Z226" s="55"/>
      <c r="AA226" s="55"/>
      <c r="AB226" s="64"/>
      <c r="AC226" s="64"/>
      <c r="AD226" s="64"/>
      <c r="AE226" s="64"/>
      <c r="AF226" s="64"/>
      <c r="AG226" s="55"/>
      <c r="AH226" s="55"/>
      <c r="AI226" s="64"/>
      <c r="AJ226" s="64"/>
      <c r="AK226" s="64"/>
      <c r="AL226" s="64"/>
      <c r="AM226" s="64"/>
      <c r="AN226" s="64"/>
      <c r="AO226" s="55"/>
      <c r="AP226" s="55"/>
      <c r="AQ226" s="64"/>
      <c r="AR226" s="64"/>
      <c r="AS226" s="64"/>
      <c r="AT226" s="64"/>
      <c r="AU226" s="64"/>
      <c r="AV226" s="55"/>
      <c r="AW226" s="55"/>
      <c r="AX226" s="64"/>
      <c r="AY226" s="64"/>
      <c r="AZ226" s="64"/>
      <c r="BA226" s="64"/>
      <c r="BB226" s="64"/>
      <c r="BC226" s="55"/>
      <c r="BD226" s="55"/>
      <c r="BE226" s="64"/>
      <c r="BF226" s="55"/>
      <c r="BG226" s="64"/>
      <c r="BH226" s="64"/>
      <c r="BI226" s="64"/>
      <c r="BJ226" s="64"/>
      <c r="BK226" s="55"/>
      <c r="BL226" s="55"/>
      <c r="BM226" s="55"/>
      <c r="BN226" s="64"/>
      <c r="BO226" s="64"/>
      <c r="BP226" s="64"/>
      <c r="BQ226" s="64"/>
      <c r="BR226" s="64"/>
      <c r="BS226" s="64"/>
      <c r="BT226" s="64"/>
      <c r="BU226" s="64"/>
      <c r="BV226" s="64"/>
      <c r="BW226" s="55"/>
      <c r="BX226" s="55"/>
      <c r="BY226" s="55"/>
      <c r="BZ226" s="55"/>
      <c r="CA226" s="55"/>
      <c r="CB226" s="55"/>
      <c r="CC226" s="55"/>
      <c r="CD226" s="55"/>
      <c r="CE226" s="55"/>
      <c r="CF226" s="55"/>
      <c r="CG226" s="55"/>
      <c r="CH226" s="55"/>
    </row>
    <row r="227" ht="16.5" customHeight="1">
      <c r="A227" s="55"/>
      <c r="B227" s="55"/>
      <c r="C227" s="55"/>
      <c r="D227" s="55"/>
      <c r="E227" s="55"/>
      <c r="F227" s="55"/>
      <c r="G227" s="55"/>
      <c r="H227" s="64"/>
      <c r="I227" s="64"/>
      <c r="J227" s="64"/>
      <c r="K227" s="64"/>
      <c r="L227" s="64"/>
      <c r="M227" s="64"/>
      <c r="N227" s="64"/>
      <c r="O227" s="64"/>
      <c r="P227" s="64"/>
      <c r="Q227" s="64"/>
      <c r="R227" s="64"/>
      <c r="S227" s="64"/>
      <c r="T227" s="55"/>
      <c r="U227" s="55"/>
      <c r="V227" s="55"/>
      <c r="W227" s="64"/>
      <c r="X227" s="64"/>
      <c r="Y227" s="55"/>
      <c r="Z227" s="55"/>
      <c r="AA227" s="55"/>
      <c r="AB227" s="64"/>
      <c r="AC227" s="64"/>
      <c r="AD227" s="64"/>
      <c r="AE227" s="64"/>
      <c r="AF227" s="64"/>
      <c r="AG227" s="55"/>
      <c r="AH227" s="55"/>
      <c r="AI227" s="64"/>
      <c r="AJ227" s="64"/>
      <c r="AK227" s="64"/>
      <c r="AL227" s="64"/>
      <c r="AM227" s="64"/>
      <c r="AN227" s="64"/>
      <c r="AO227" s="55"/>
      <c r="AP227" s="55"/>
      <c r="AQ227" s="64"/>
      <c r="AR227" s="64"/>
      <c r="AS227" s="64"/>
      <c r="AT227" s="64"/>
      <c r="AU227" s="64"/>
      <c r="AV227" s="55"/>
      <c r="AW227" s="55"/>
      <c r="AX227" s="64"/>
      <c r="AY227" s="64"/>
      <c r="AZ227" s="64"/>
      <c r="BA227" s="64"/>
      <c r="BB227" s="64"/>
      <c r="BC227" s="55"/>
      <c r="BD227" s="55"/>
      <c r="BE227" s="64"/>
      <c r="BF227" s="55"/>
      <c r="BG227" s="64"/>
      <c r="BH227" s="64"/>
      <c r="BI227" s="64"/>
      <c r="BJ227" s="64"/>
      <c r="BK227" s="55"/>
      <c r="BL227" s="55"/>
      <c r="BM227" s="55"/>
      <c r="BN227" s="64"/>
      <c r="BO227" s="64"/>
      <c r="BP227" s="64"/>
      <c r="BQ227" s="64"/>
      <c r="BR227" s="64"/>
      <c r="BS227" s="64"/>
      <c r="BT227" s="64"/>
      <c r="BU227" s="64"/>
      <c r="BV227" s="64"/>
      <c r="BW227" s="55"/>
      <c r="BX227" s="55"/>
      <c r="BY227" s="55"/>
      <c r="BZ227" s="55"/>
      <c r="CA227" s="55"/>
      <c r="CB227" s="55"/>
      <c r="CC227" s="55"/>
      <c r="CD227" s="55"/>
      <c r="CE227" s="55"/>
      <c r="CF227" s="55"/>
      <c r="CG227" s="55"/>
      <c r="CH227" s="55"/>
    </row>
    <row r="228" ht="16.5" customHeight="1">
      <c r="A228" s="55"/>
      <c r="B228" s="55"/>
      <c r="C228" s="55"/>
      <c r="D228" s="55"/>
      <c r="E228" s="55"/>
      <c r="F228" s="55"/>
      <c r="G228" s="55"/>
      <c r="H228" s="64"/>
      <c r="I228" s="64"/>
      <c r="J228" s="64"/>
      <c r="K228" s="64"/>
      <c r="L228" s="64"/>
      <c r="M228" s="64"/>
      <c r="N228" s="64"/>
      <c r="O228" s="64"/>
      <c r="P228" s="64"/>
      <c r="Q228" s="64"/>
      <c r="R228" s="64"/>
      <c r="S228" s="64"/>
      <c r="T228" s="55"/>
      <c r="U228" s="55"/>
      <c r="V228" s="55"/>
      <c r="W228" s="64"/>
      <c r="X228" s="64"/>
      <c r="Y228" s="55"/>
      <c r="Z228" s="55"/>
      <c r="AA228" s="55"/>
      <c r="AB228" s="64"/>
      <c r="AC228" s="64"/>
      <c r="AD228" s="64"/>
      <c r="AE228" s="64"/>
      <c r="AF228" s="64"/>
      <c r="AG228" s="55"/>
      <c r="AH228" s="55"/>
      <c r="AI228" s="64"/>
      <c r="AJ228" s="64"/>
      <c r="AK228" s="64"/>
      <c r="AL228" s="64"/>
      <c r="AM228" s="64"/>
      <c r="AN228" s="64"/>
      <c r="AO228" s="55"/>
      <c r="AP228" s="55"/>
      <c r="AQ228" s="64"/>
      <c r="AR228" s="64"/>
      <c r="AS228" s="64"/>
      <c r="AT228" s="64"/>
      <c r="AU228" s="64"/>
      <c r="AV228" s="55"/>
      <c r="AW228" s="55"/>
      <c r="AX228" s="64"/>
      <c r="AY228" s="64"/>
      <c r="AZ228" s="64"/>
      <c r="BA228" s="64"/>
      <c r="BB228" s="64"/>
      <c r="BC228" s="55"/>
      <c r="BD228" s="55"/>
      <c r="BE228" s="64"/>
      <c r="BF228" s="55"/>
      <c r="BG228" s="64"/>
      <c r="BH228" s="64"/>
      <c r="BI228" s="64"/>
      <c r="BJ228" s="64"/>
      <c r="BK228" s="55"/>
      <c r="BL228" s="55"/>
      <c r="BM228" s="55"/>
      <c r="BN228" s="64"/>
      <c r="BO228" s="64"/>
      <c r="BP228" s="64"/>
      <c r="BQ228" s="64"/>
      <c r="BR228" s="64"/>
      <c r="BS228" s="64"/>
      <c r="BT228" s="64"/>
      <c r="BU228" s="64"/>
      <c r="BV228" s="64"/>
      <c r="BW228" s="55"/>
      <c r="BX228" s="55"/>
      <c r="BY228" s="55"/>
      <c r="BZ228" s="55"/>
      <c r="CA228" s="55"/>
      <c r="CB228" s="55"/>
      <c r="CC228" s="55"/>
      <c r="CD228" s="55"/>
      <c r="CE228" s="55"/>
      <c r="CF228" s="55"/>
      <c r="CG228" s="55"/>
      <c r="CH228" s="55"/>
    </row>
    <row r="229" ht="16.5" customHeight="1">
      <c r="A229" s="55"/>
      <c r="B229" s="55"/>
      <c r="C229" s="55"/>
      <c r="D229" s="55"/>
      <c r="E229" s="55"/>
      <c r="F229" s="55"/>
      <c r="G229" s="55"/>
      <c r="H229" s="64"/>
      <c r="I229" s="64"/>
      <c r="J229" s="64"/>
      <c r="K229" s="64"/>
      <c r="L229" s="64"/>
      <c r="M229" s="64"/>
      <c r="N229" s="64"/>
      <c r="O229" s="64"/>
      <c r="P229" s="64"/>
      <c r="Q229" s="64"/>
      <c r="R229" s="64"/>
      <c r="S229" s="64"/>
      <c r="T229" s="55"/>
      <c r="U229" s="55"/>
      <c r="V229" s="55"/>
      <c r="W229" s="64"/>
      <c r="X229" s="64"/>
      <c r="Y229" s="55"/>
      <c r="Z229" s="55"/>
      <c r="AA229" s="55"/>
      <c r="AB229" s="64"/>
      <c r="AC229" s="64"/>
      <c r="AD229" s="64"/>
      <c r="AE229" s="64"/>
      <c r="AF229" s="64"/>
      <c r="AG229" s="55"/>
      <c r="AH229" s="55"/>
      <c r="AI229" s="64"/>
      <c r="AJ229" s="64"/>
      <c r="AK229" s="64"/>
      <c r="AL229" s="64"/>
      <c r="AM229" s="64"/>
      <c r="AN229" s="64"/>
      <c r="AO229" s="55"/>
      <c r="AP229" s="55"/>
      <c r="AQ229" s="64"/>
      <c r="AR229" s="64"/>
      <c r="AS229" s="64"/>
      <c r="AT229" s="64"/>
      <c r="AU229" s="64"/>
      <c r="AV229" s="55"/>
      <c r="AW229" s="55"/>
      <c r="AX229" s="64"/>
      <c r="AY229" s="64"/>
      <c r="AZ229" s="64"/>
      <c r="BA229" s="64"/>
      <c r="BB229" s="64"/>
      <c r="BC229" s="55"/>
      <c r="BD229" s="55"/>
      <c r="BE229" s="64"/>
      <c r="BF229" s="55"/>
      <c r="BG229" s="64"/>
      <c r="BH229" s="64"/>
      <c r="BI229" s="64"/>
      <c r="BJ229" s="64"/>
      <c r="BK229" s="55"/>
      <c r="BL229" s="55"/>
      <c r="BM229" s="55"/>
      <c r="BN229" s="64"/>
      <c r="BO229" s="64"/>
      <c r="BP229" s="64"/>
      <c r="BQ229" s="64"/>
      <c r="BR229" s="64"/>
      <c r="BS229" s="64"/>
      <c r="BT229" s="64"/>
      <c r="BU229" s="64"/>
      <c r="BV229" s="64"/>
      <c r="BW229" s="55"/>
      <c r="BX229" s="55"/>
      <c r="BY229" s="55"/>
      <c r="BZ229" s="55"/>
      <c r="CA229" s="55"/>
      <c r="CB229" s="55"/>
      <c r="CC229" s="55"/>
      <c r="CD229" s="55"/>
      <c r="CE229" s="55"/>
      <c r="CF229" s="55"/>
      <c r="CG229" s="55"/>
      <c r="CH229" s="55"/>
    </row>
    <row r="230" ht="16.5" customHeight="1">
      <c r="A230" s="55"/>
      <c r="B230" s="55"/>
      <c r="C230" s="55"/>
      <c r="D230" s="55"/>
      <c r="E230" s="55"/>
      <c r="F230" s="55"/>
      <c r="G230" s="55"/>
      <c r="H230" s="64"/>
      <c r="I230" s="64"/>
      <c r="J230" s="64"/>
      <c r="K230" s="64"/>
      <c r="L230" s="64"/>
      <c r="M230" s="64"/>
      <c r="N230" s="64"/>
      <c r="O230" s="64"/>
      <c r="P230" s="64"/>
      <c r="Q230" s="64"/>
      <c r="R230" s="64"/>
      <c r="S230" s="64"/>
      <c r="T230" s="55"/>
      <c r="U230" s="55"/>
      <c r="V230" s="55"/>
      <c r="W230" s="64"/>
      <c r="X230" s="64"/>
      <c r="Y230" s="55"/>
      <c r="Z230" s="55"/>
      <c r="AA230" s="55"/>
      <c r="AB230" s="64"/>
      <c r="AC230" s="64"/>
      <c r="AD230" s="64"/>
      <c r="AE230" s="64"/>
      <c r="AF230" s="64"/>
      <c r="AG230" s="55"/>
      <c r="AH230" s="55"/>
      <c r="AI230" s="64"/>
      <c r="AJ230" s="64"/>
      <c r="AK230" s="64"/>
      <c r="AL230" s="64"/>
      <c r="AM230" s="64"/>
      <c r="AN230" s="64"/>
      <c r="AO230" s="55"/>
      <c r="AP230" s="55"/>
      <c r="AQ230" s="64"/>
      <c r="AR230" s="64"/>
      <c r="AS230" s="64"/>
      <c r="AT230" s="64"/>
      <c r="AU230" s="64"/>
      <c r="AV230" s="55"/>
      <c r="AW230" s="55"/>
      <c r="AX230" s="64"/>
      <c r="AY230" s="64"/>
      <c r="AZ230" s="64"/>
      <c r="BA230" s="64"/>
      <c r="BB230" s="64"/>
      <c r="BC230" s="55"/>
      <c r="BD230" s="55"/>
      <c r="BE230" s="64"/>
      <c r="BF230" s="55"/>
      <c r="BG230" s="64"/>
      <c r="BH230" s="64"/>
      <c r="BI230" s="64"/>
      <c r="BJ230" s="64"/>
      <c r="BK230" s="55"/>
      <c r="BL230" s="55"/>
      <c r="BM230" s="55"/>
      <c r="BN230" s="64"/>
      <c r="BO230" s="64"/>
      <c r="BP230" s="64"/>
      <c r="BQ230" s="64"/>
      <c r="BR230" s="64"/>
      <c r="BS230" s="64"/>
      <c r="BT230" s="64"/>
      <c r="BU230" s="64"/>
      <c r="BV230" s="64"/>
      <c r="BW230" s="55"/>
      <c r="BX230" s="55"/>
      <c r="BY230" s="55"/>
      <c r="BZ230" s="55"/>
      <c r="CA230" s="55"/>
      <c r="CB230" s="55"/>
      <c r="CC230" s="55"/>
      <c r="CD230" s="55"/>
      <c r="CE230" s="55"/>
      <c r="CF230" s="55"/>
      <c r="CG230" s="55"/>
      <c r="CH230" s="55"/>
    </row>
    <row r="231" ht="16.5" customHeight="1">
      <c r="A231" s="55"/>
      <c r="B231" s="55"/>
      <c r="C231" s="55"/>
      <c r="D231" s="55"/>
      <c r="E231" s="55"/>
      <c r="F231" s="55"/>
      <c r="G231" s="55"/>
      <c r="H231" s="64"/>
      <c r="I231" s="64"/>
      <c r="J231" s="64"/>
      <c r="K231" s="64"/>
      <c r="L231" s="64"/>
      <c r="M231" s="64"/>
      <c r="N231" s="64"/>
      <c r="O231" s="64"/>
      <c r="P231" s="64"/>
      <c r="Q231" s="64"/>
      <c r="R231" s="64"/>
      <c r="S231" s="64"/>
      <c r="T231" s="55"/>
      <c r="U231" s="55"/>
      <c r="V231" s="55"/>
      <c r="W231" s="64"/>
      <c r="X231" s="64"/>
      <c r="Y231" s="55"/>
      <c r="Z231" s="55"/>
      <c r="AA231" s="55"/>
      <c r="AB231" s="64"/>
      <c r="AC231" s="64"/>
      <c r="AD231" s="64"/>
      <c r="AE231" s="64"/>
      <c r="AF231" s="64"/>
      <c r="AG231" s="55"/>
      <c r="AH231" s="55"/>
      <c r="AI231" s="64"/>
      <c r="AJ231" s="64"/>
      <c r="AK231" s="64"/>
      <c r="AL231" s="64"/>
      <c r="AM231" s="64"/>
      <c r="AN231" s="64"/>
      <c r="AO231" s="55"/>
      <c r="AP231" s="55"/>
      <c r="AQ231" s="64"/>
      <c r="AR231" s="64"/>
      <c r="AS231" s="64"/>
      <c r="AT231" s="64"/>
      <c r="AU231" s="64"/>
      <c r="AV231" s="55"/>
      <c r="AW231" s="55"/>
      <c r="AX231" s="64"/>
      <c r="AY231" s="64"/>
      <c r="AZ231" s="64"/>
      <c r="BA231" s="64"/>
      <c r="BB231" s="64"/>
      <c r="BC231" s="55"/>
      <c r="BD231" s="55"/>
      <c r="BE231" s="64"/>
      <c r="BF231" s="55"/>
      <c r="BG231" s="64"/>
      <c r="BH231" s="64"/>
      <c r="BI231" s="64"/>
      <c r="BJ231" s="64"/>
      <c r="BK231" s="55"/>
      <c r="BL231" s="55"/>
      <c r="BM231" s="55"/>
      <c r="BN231" s="64"/>
      <c r="BO231" s="64"/>
      <c r="BP231" s="64"/>
      <c r="BQ231" s="64"/>
      <c r="BR231" s="64"/>
      <c r="BS231" s="64"/>
      <c r="BT231" s="64"/>
      <c r="BU231" s="64"/>
      <c r="BV231" s="64"/>
      <c r="BW231" s="55"/>
      <c r="BX231" s="55"/>
      <c r="BY231" s="55"/>
      <c r="BZ231" s="55"/>
      <c r="CA231" s="55"/>
      <c r="CB231" s="55"/>
      <c r="CC231" s="55"/>
      <c r="CD231" s="55"/>
      <c r="CE231" s="55"/>
      <c r="CF231" s="55"/>
      <c r="CG231" s="55"/>
      <c r="CH231" s="55"/>
    </row>
    <row r="232" ht="16.5" customHeight="1">
      <c r="A232" s="55"/>
      <c r="B232" s="55"/>
      <c r="C232" s="55"/>
      <c r="D232" s="55"/>
      <c r="E232" s="55"/>
      <c r="F232" s="55"/>
      <c r="G232" s="55"/>
      <c r="H232" s="64"/>
      <c r="I232" s="64"/>
      <c r="J232" s="64"/>
      <c r="K232" s="64"/>
      <c r="L232" s="64"/>
      <c r="M232" s="64"/>
      <c r="N232" s="64"/>
      <c r="O232" s="64"/>
      <c r="P232" s="64"/>
      <c r="Q232" s="64"/>
      <c r="R232" s="64"/>
      <c r="S232" s="64"/>
      <c r="T232" s="55"/>
      <c r="U232" s="55"/>
      <c r="V232" s="55"/>
      <c r="W232" s="64"/>
      <c r="X232" s="64"/>
      <c r="Y232" s="55"/>
      <c r="Z232" s="55"/>
      <c r="AA232" s="55"/>
      <c r="AB232" s="64"/>
      <c r="AC232" s="64"/>
      <c r="AD232" s="64"/>
      <c r="AE232" s="64"/>
      <c r="AF232" s="64"/>
      <c r="AG232" s="55"/>
      <c r="AH232" s="55"/>
      <c r="AI232" s="64"/>
      <c r="AJ232" s="64"/>
      <c r="AK232" s="64"/>
      <c r="AL232" s="64"/>
      <c r="AM232" s="64"/>
      <c r="AN232" s="64"/>
      <c r="AO232" s="55"/>
      <c r="AP232" s="55"/>
      <c r="AQ232" s="64"/>
      <c r="AR232" s="64"/>
      <c r="AS232" s="64"/>
      <c r="AT232" s="64"/>
      <c r="AU232" s="64"/>
      <c r="AV232" s="55"/>
      <c r="AW232" s="55"/>
      <c r="AX232" s="64"/>
      <c r="AY232" s="64"/>
      <c r="AZ232" s="64"/>
      <c r="BA232" s="64"/>
      <c r="BB232" s="64"/>
      <c r="BC232" s="55"/>
      <c r="BD232" s="55"/>
      <c r="BE232" s="64"/>
      <c r="BF232" s="55"/>
      <c r="BG232" s="64"/>
      <c r="BH232" s="64"/>
      <c r="BI232" s="64"/>
      <c r="BJ232" s="64"/>
      <c r="BK232" s="55"/>
      <c r="BL232" s="55"/>
      <c r="BM232" s="55"/>
      <c r="BN232" s="64"/>
      <c r="BO232" s="64"/>
      <c r="BP232" s="64"/>
      <c r="BQ232" s="64"/>
      <c r="BR232" s="64"/>
      <c r="BS232" s="64"/>
      <c r="BT232" s="64"/>
      <c r="BU232" s="64"/>
      <c r="BV232" s="64"/>
      <c r="BW232" s="55"/>
      <c r="BX232" s="55"/>
      <c r="BY232" s="55"/>
      <c r="BZ232" s="55"/>
      <c r="CA232" s="55"/>
      <c r="CB232" s="55"/>
      <c r="CC232" s="55"/>
      <c r="CD232" s="55"/>
      <c r="CE232" s="55"/>
      <c r="CF232" s="55"/>
      <c r="CG232" s="55"/>
      <c r="CH232" s="55"/>
    </row>
    <row r="233" ht="16.5" customHeight="1">
      <c r="A233" s="55"/>
      <c r="B233" s="55"/>
      <c r="C233" s="55"/>
      <c r="D233" s="55"/>
      <c r="E233" s="55"/>
      <c r="F233" s="55"/>
      <c r="G233" s="55"/>
      <c r="H233" s="64"/>
      <c r="I233" s="64"/>
      <c r="J233" s="64"/>
      <c r="K233" s="64"/>
      <c r="L233" s="64"/>
      <c r="M233" s="64"/>
      <c r="N233" s="64"/>
      <c r="O233" s="64"/>
      <c r="P233" s="64"/>
      <c r="Q233" s="64"/>
      <c r="R233" s="64"/>
      <c r="S233" s="64"/>
      <c r="T233" s="55"/>
      <c r="U233" s="55"/>
      <c r="V233" s="55"/>
      <c r="W233" s="64"/>
      <c r="X233" s="64"/>
      <c r="Y233" s="55"/>
      <c r="Z233" s="55"/>
      <c r="AA233" s="55"/>
      <c r="AB233" s="64"/>
      <c r="AC233" s="64"/>
      <c r="AD233" s="64"/>
      <c r="AE233" s="64"/>
      <c r="AF233" s="64"/>
      <c r="AG233" s="55"/>
      <c r="AH233" s="55"/>
      <c r="AI233" s="64"/>
      <c r="AJ233" s="64"/>
      <c r="AK233" s="64"/>
      <c r="AL233" s="64"/>
      <c r="AM233" s="64"/>
      <c r="AN233" s="64"/>
      <c r="AO233" s="55"/>
      <c r="AP233" s="55"/>
      <c r="AQ233" s="64"/>
      <c r="AR233" s="64"/>
      <c r="AS233" s="64"/>
      <c r="AT233" s="64"/>
      <c r="AU233" s="64"/>
      <c r="AV233" s="55"/>
      <c r="AW233" s="55"/>
      <c r="AX233" s="64"/>
      <c r="AY233" s="64"/>
      <c r="AZ233" s="64"/>
      <c r="BA233" s="64"/>
      <c r="BB233" s="64"/>
      <c r="BC233" s="55"/>
      <c r="BD233" s="55"/>
      <c r="BE233" s="64"/>
      <c r="BF233" s="55"/>
      <c r="BG233" s="64"/>
      <c r="BH233" s="64"/>
      <c r="BI233" s="64"/>
      <c r="BJ233" s="64"/>
      <c r="BK233" s="55"/>
      <c r="BL233" s="55"/>
      <c r="BM233" s="55"/>
      <c r="BN233" s="64"/>
      <c r="BO233" s="64"/>
      <c r="BP233" s="64"/>
      <c r="BQ233" s="64"/>
      <c r="BR233" s="64"/>
      <c r="BS233" s="64"/>
      <c r="BT233" s="64"/>
      <c r="BU233" s="64"/>
      <c r="BV233" s="64"/>
      <c r="BW233" s="55"/>
      <c r="BX233" s="55"/>
      <c r="BY233" s="55"/>
      <c r="BZ233" s="55"/>
      <c r="CA233" s="55"/>
      <c r="CB233" s="55"/>
      <c r="CC233" s="55"/>
      <c r="CD233" s="55"/>
      <c r="CE233" s="55"/>
      <c r="CF233" s="55"/>
      <c r="CG233" s="55"/>
      <c r="CH233" s="55"/>
    </row>
    <row r="234" ht="16.5" customHeight="1">
      <c r="A234" s="55"/>
      <c r="B234" s="55"/>
      <c r="C234" s="55"/>
      <c r="D234" s="55"/>
      <c r="E234" s="55"/>
      <c r="F234" s="55"/>
      <c r="G234" s="55"/>
      <c r="H234" s="64"/>
      <c r="I234" s="64"/>
      <c r="J234" s="64"/>
      <c r="K234" s="64"/>
      <c r="L234" s="64"/>
      <c r="M234" s="64"/>
      <c r="N234" s="64"/>
      <c r="O234" s="64"/>
      <c r="P234" s="64"/>
      <c r="Q234" s="64"/>
      <c r="R234" s="64"/>
      <c r="S234" s="64"/>
      <c r="T234" s="55"/>
      <c r="U234" s="55"/>
      <c r="V234" s="55"/>
      <c r="W234" s="64"/>
      <c r="X234" s="64"/>
      <c r="Y234" s="55"/>
      <c r="Z234" s="55"/>
      <c r="AA234" s="55"/>
      <c r="AB234" s="64"/>
      <c r="AC234" s="64"/>
      <c r="AD234" s="64"/>
      <c r="AE234" s="64"/>
      <c r="AF234" s="64"/>
      <c r="AG234" s="55"/>
      <c r="AH234" s="55"/>
      <c r="AI234" s="64"/>
      <c r="AJ234" s="64"/>
      <c r="AK234" s="64"/>
      <c r="AL234" s="64"/>
      <c r="AM234" s="64"/>
      <c r="AN234" s="64"/>
      <c r="AO234" s="55"/>
      <c r="AP234" s="55"/>
      <c r="AQ234" s="64"/>
      <c r="AR234" s="64"/>
      <c r="AS234" s="64"/>
      <c r="AT234" s="64"/>
      <c r="AU234" s="64"/>
      <c r="AV234" s="55"/>
      <c r="AW234" s="55"/>
      <c r="AX234" s="64"/>
      <c r="AY234" s="64"/>
      <c r="AZ234" s="64"/>
      <c r="BA234" s="64"/>
      <c r="BB234" s="64"/>
      <c r="BC234" s="55"/>
      <c r="BD234" s="55"/>
      <c r="BE234" s="64"/>
      <c r="BF234" s="55"/>
      <c r="BG234" s="64"/>
      <c r="BH234" s="64"/>
      <c r="BI234" s="64"/>
      <c r="BJ234" s="64"/>
      <c r="BK234" s="55"/>
      <c r="BL234" s="55"/>
      <c r="BM234" s="55"/>
      <c r="BN234" s="64"/>
      <c r="BO234" s="64"/>
      <c r="BP234" s="64"/>
      <c r="BQ234" s="64"/>
      <c r="BR234" s="64"/>
      <c r="BS234" s="64"/>
      <c r="BT234" s="64"/>
      <c r="BU234" s="64"/>
      <c r="BV234" s="64"/>
      <c r="BW234" s="55"/>
      <c r="BX234" s="55"/>
      <c r="BY234" s="55"/>
      <c r="BZ234" s="55"/>
      <c r="CA234" s="55"/>
      <c r="CB234" s="55"/>
      <c r="CC234" s="55"/>
      <c r="CD234" s="55"/>
      <c r="CE234" s="55"/>
      <c r="CF234" s="55"/>
      <c r="CG234" s="55"/>
      <c r="CH234" s="55"/>
    </row>
    <row r="235" ht="16.5" customHeight="1">
      <c r="A235" s="55"/>
      <c r="B235" s="55"/>
      <c r="C235" s="55"/>
      <c r="D235" s="55"/>
      <c r="E235" s="55"/>
      <c r="F235" s="55"/>
      <c r="G235" s="55"/>
      <c r="H235" s="64"/>
      <c r="I235" s="64"/>
      <c r="J235" s="64"/>
      <c r="K235" s="64"/>
      <c r="L235" s="64"/>
      <c r="M235" s="64"/>
      <c r="N235" s="64"/>
      <c r="O235" s="64"/>
      <c r="P235" s="64"/>
      <c r="Q235" s="64"/>
      <c r="R235" s="64"/>
      <c r="S235" s="64"/>
      <c r="T235" s="55"/>
      <c r="U235" s="55"/>
      <c r="V235" s="55"/>
      <c r="W235" s="64"/>
      <c r="X235" s="64"/>
      <c r="Y235" s="55"/>
      <c r="Z235" s="55"/>
      <c r="AA235" s="55"/>
      <c r="AB235" s="64"/>
      <c r="AC235" s="64"/>
      <c r="AD235" s="64"/>
      <c r="AE235" s="64"/>
      <c r="AF235" s="64"/>
      <c r="AG235" s="55"/>
      <c r="AH235" s="55"/>
      <c r="AI235" s="64"/>
      <c r="AJ235" s="64"/>
      <c r="AK235" s="64"/>
      <c r="AL235" s="64"/>
      <c r="AM235" s="64"/>
      <c r="AN235" s="64"/>
      <c r="AO235" s="55"/>
      <c r="AP235" s="55"/>
      <c r="AQ235" s="64"/>
      <c r="AR235" s="64"/>
      <c r="AS235" s="64"/>
      <c r="AT235" s="64"/>
      <c r="AU235" s="64"/>
      <c r="AV235" s="55"/>
      <c r="AW235" s="55"/>
      <c r="AX235" s="64"/>
      <c r="AY235" s="64"/>
      <c r="AZ235" s="64"/>
      <c r="BA235" s="64"/>
      <c r="BB235" s="64"/>
      <c r="BC235" s="55"/>
      <c r="BD235" s="55"/>
      <c r="BE235" s="64"/>
      <c r="BF235" s="55"/>
      <c r="BG235" s="64"/>
      <c r="BH235" s="64"/>
      <c r="BI235" s="64"/>
      <c r="BJ235" s="64"/>
      <c r="BK235" s="55"/>
      <c r="BL235" s="55"/>
      <c r="BM235" s="55"/>
      <c r="BN235" s="64"/>
      <c r="BO235" s="64"/>
      <c r="BP235" s="64"/>
      <c r="BQ235" s="64"/>
      <c r="BR235" s="64"/>
      <c r="BS235" s="64"/>
      <c r="BT235" s="64"/>
      <c r="BU235" s="64"/>
      <c r="BV235" s="64"/>
      <c r="BW235" s="55"/>
      <c r="BX235" s="55"/>
      <c r="BY235" s="55"/>
      <c r="BZ235" s="55"/>
      <c r="CA235" s="55"/>
      <c r="CB235" s="55"/>
      <c r="CC235" s="55"/>
      <c r="CD235" s="55"/>
      <c r="CE235" s="55"/>
      <c r="CF235" s="55"/>
      <c r="CG235" s="55"/>
      <c r="CH235" s="55"/>
    </row>
    <row r="236" ht="16.5" customHeight="1">
      <c r="A236" s="55"/>
      <c r="B236" s="55"/>
      <c r="C236" s="55"/>
      <c r="D236" s="55"/>
      <c r="E236" s="55"/>
      <c r="F236" s="55"/>
      <c r="G236" s="55"/>
      <c r="H236" s="64"/>
      <c r="I236" s="64"/>
      <c r="J236" s="64"/>
      <c r="K236" s="64"/>
      <c r="L236" s="64"/>
      <c r="M236" s="64"/>
      <c r="N236" s="64"/>
      <c r="O236" s="64"/>
      <c r="P236" s="64"/>
      <c r="Q236" s="64"/>
      <c r="R236" s="64"/>
      <c r="S236" s="64"/>
      <c r="T236" s="55"/>
      <c r="U236" s="55"/>
      <c r="V236" s="55"/>
      <c r="W236" s="64"/>
      <c r="X236" s="64"/>
      <c r="Y236" s="55"/>
      <c r="Z236" s="55"/>
      <c r="AA236" s="55"/>
      <c r="AB236" s="64"/>
      <c r="AC236" s="64"/>
      <c r="AD236" s="64"/>
      <c r="AE236" s="64"/>
      <c r="AF236" s="64"/>
      <c r="AG236" s="55"/>
      <c r="AH236" s="55"/>
      <c r="AI236" s="64"/>
      <c r="AJ236" s="64"/>
      <c r="AK236" s="64"/>
      <c r="AL236" s="64"/>
      <c r="AM236" s="64"/>
      <c r="AN236" s="64"/>
      <c r="AO236" s="55"/>
      <c r="AP236" s="55"/>
      <c r="AQ236" s="64"/>
      <c r="AR236" s="64"/>
      <c r="AS236" s="64"/>
      <c r="AT236" s="64"/>
      <c r="AU236" s="64"/>
      <c r="AV236" s="55"/>
      <c r="AW236" s="55"/>
      <c r="AX236" s="64"/>
      <c r="AY236" s="64"/>
      <c r="AZ236" s="64"/>
      <c r="BA236" s="64"/>
      <c r="BB236" s="64"/>
      <c r="BC236" s="55"/>
      <c r="BD236" s="55"/>
      <c r="BE236" s="64"/>
      <c r="BF236" s="55"/>
      <c r="BG236" s="64"/>
      <c r="BH236" s="64"/>
      <c r="BI236" s="64"/>
      <c r="BJ236" s="64"/>
      <c r="BK236" s="55"/>
      <c r="BL236" s="55"/>
      <c r="BM236" s="55"/>
      <c r="BN236" s="64"/>
      <c r="BO236" s="64"/>
      <c r="BP236" s="64"/>
      <c r="BQ236" s="64"/>
      <c r="BR236" s="64"/>
      <c r="BS236" s="64"/>
      <c r="BT236" s="64"/>
      <c r="BU236" s="64"/>
      <c r="BV236" s="64"/>
      <c r="BW236" s="55"/>
      <c r="BX236" s="55"/>
      <c r="BY236" s="55"/>
      <c r="BZ236" s="55"/>
      <c r="CA236" s="55"/>
      <c r="CB236" s="55"/>
      <c r="CC236" s="55"/>
      <c r="CD236" s="55"/>
      <c r="CE236" s="55"/>
      <c r="CF236" s="55"/>
      <c r="CG236" s="55"/>
      <c r="CH236" s="55"/>
    </row>
    <row r="237" ht="16.5" customHeight="1">
      <c r="A237" s="55"/>
      <c r="B237" s="55"/>
      <c r="C237" s="55"/>
      <c r="D237" s="55"/>
      <c r="E237" s="55"/>
      <c r="F237" s="55"/>
      <c r="G237" s="55"/>
      <c r="H237" s="64"/>
      <c r="I237" s="64"/>
      <c r="J237" s="64"/>
      <c r="K237" s="64"/>
      <c r="L237" s="64"/>
      <c r="M237" s="64"/>
      <c r="N237" s="64"/>
      <c r="O237" s="64"/>
      <c r="P237" s="64"/>
      <c r="Q237" s="64"/>
      <c r="R237" s="64"/>
      <c r="S237" s="64"/>
      <c r="T237" s="55"/>
      <c r="U237" s="55"/>
      <c r="V237" s="55"/>
      <c r="W237" s="64"/>
      <c r="X237" s="64"/>
      <c r="Y237" s="55"/>
      <c r="Z237" s="55"/>
      <c r="AA237" s="55"/>
      <c r="AB237" s="64"/>
      <c r="AC237" s="64"/>
      <c r="AD237" s="64"/>
      <c r="AE237" s="64"/>
      <c r="AF237" s="64"/>
      <c r="AG237" s="55"/>
      <c r="AH237" s="55"/>
      <c r="AI237" s="64"/>
      <c r="AJ237" s="64"/>
      <c r="AK237" s="64"/>
      <c r="AL237" s="64"/>
      <c r="AM237" s="64"/>
      <c r="AN237" s="64"/>
      <c r="AO237" s="55"/>
      <c r="AP237" s="55"/>
      <c r="AQ237" s="64"/>
      <c r="AR237" s="64"/>
      <c r="AS237" s="64"/>
      <c r="AT237" s="64"/>
      <c r="AU237" s="64"/>
      <c r="AV237" s="55"/>
      <c r="AW237" s="55"/>
      <c r="AX237" s="64"/>
      <c r="AY237" s="64"/>
      <c r="AZ237" s="64"/>
      <c r="BA237" s="64"/>
      <c r="BB237" s="64"/>
      <c r="BC237" s="55"/>
      <c r="BD237" s="55"/>
      <c r="BE237" s="64"/>
      <c r="BF237" s="55"/>
      <c r="BG237" s="64"/>
      <c r="BH237" s="64"/>
      <c r="BI237" s="64"/>
      <c r="BJ237" s="64"/>
      <c r="BK237" s="55"/>
      <c r="BL237" s="55"/>
      <c r="BM237" s="55"/>
      <c r="BN237" s="64"/>
      <c r="BO237" s="64"/>
      <c r="BP237" s="64"/>
      <c r="BQ237" s="64"/>
      <c r="BR237" s="64"/>
      <c r="BS237" s="64"/>
      <c r="BT237" s="64"/>
      <c r="BU237" s="64"/>
      <c r="BV237" s="64"/>
      <c r="BW237" s="55"/>
      <c r="BX237" s="55"/>
      <c r="BY237" s="55"/>
      <c r="BZ237" s="55"/>
      <c r="CA237" s="55"/>
      <c r="CB237" s="55"/>
      <c r="CC237" s="55"/>
      <c r="CD237" s="55"/>
      <c r="CE237" s="55"/>
      <c r="CF237" s="55"/>
      <c r="CG237" s="55"/>
      <c r="CH237" s="55"/>
    </row>
    <row r="238" ht="16.5" customHeight="1">
      <c r="A238" s="55"/>
      <c r="B238" s="55"/>
      <c r="C238" s="55"/>
      <c r="D238" s="55"/>
      <c r="E238" s="55"/>
      <c r="F238" s="55"/>
      <c r="G238" s="55"/>
      <c r="H238" s="64"/>
      <c r="I238" s="64"/>
      <c r="J238" s="64"/>
      <c r="K238" s="64"/>
      <c r="L238" s="64"/>
      <c r="M238" s="64"/>
      <c r="N238" s="64"/>
      <c r="O238" s="64"/>
      <c r="P238" s="64"/>
      <c r="Q238" s="64"/>
      <c r="R238" s="64"/>
      <c r="S238" s="64"/>
      <c r="T238" s="55"/>
      <c r="U238" s="55"/>
      <c r="V238" s="55"/>
      <c r="W238" s="64"/>
      <c r="X238" s="64"/>
      <c r="Y238" s="55"/>
      <c r="Z238" s="55"/>
      <c r="AA238" s="55"/>
      <c r="AB238" s="64"/>
      <c r="AC238" s="64"/>
      <c r="AD238" s="64"/>
      <c r="AE238" s="64"/>
      <c r="AF238" s="64"/>
      <c r="AG238" s="55"/>
      <c r="AH238" s="55"/>
      <c r="AI238" s="64"/>
      <c r="AJ238" s="64"/>
      <c r="AK238" s="64"/>
      <c r="AL238" s="64"/>
      <c r="AM238" s="64"/>
      <c r="AN238" s="64"/>
      <c r="AO238" s="55"/>
      <c r="AP238" s="55"/>
      <c r="AQ238" s="64"/>
      <c r="AR238" s="64"/>
      <c r="AS238" s="64"/>
      <c r="AT238" s="64"/>
      <c r="AU238" s="64"/>
      <c r="AV238" s="55"/>
      <c r="AW238" s="55"/>
      <c r="AX238" s="64"/>
      <c r="AY238" s="64"/>
      <c r="AZ238" s="64"/>
      <c r="BA238" s="64"/>
      <c r="BB238" s="64"/>
      <c r="BC238" s="55"/>
      <c r="BD238" s="55"/>
      <c r="BE238" s="64"/>
      <c r="BF238" s="55"/>
      <c r="BG238" s="64"/>
      <c r="BH238" s="64"/>
      <c r="BI238" s="64"/>
      <c r="BJ238" s="64"/>
      <c r="BK238" s="55"/>
      <c r="BL238" s="55"/>
      <c r="BM238" s="55"/>
      <c r="BN238" s="64"/>
      <c r="BO238" s="64"/>
      <c r="BP238" s="64"/>
      <c r="BQ238" s="64"/>
      <c r="BR238" s="64"/>
      <c r="BS238" s="64"/>
      <c r="BT238" s="64"/>
      <c r="BU238" s="64"/>
      <c r="BV238" s="64"/>
      <c r="BW238" s="55"/>
      <c r="BX238" s="55"/>
      <c r="BY238" s="55"/>
      <c r="BZ238" s="55"/>
      <c r="CA238" s="55"/>
      <c r="CB238" s="55"/>
      <c r="CC238" s="55"/>
      <c r="CD238" s="55"/>
      <c r="CE238" s="55"/>
      <c r="CF238" s="55"/>
      <c r="CG238" s="55"/>
      <c r="CH238" s="55"/>
    </row>
    <row r="239" ht="16.5" customHeight="1">
      <c r="A239" s="55"/>
      <c r="B239" s="55"/>
      <c r="C239" s="55"/>
      <c r="D239" s="55"/>
      <c r="E239" s="55"/>
      <c r="F239" s="55"/>
      <c r="G239" s="55"/>
      <c r="H239" s="64"/>
      <c r="I239" s="64"/>
      <c r="J239" s="64"/>
      <c r="K239" s="64"/>
      <c r="L239" s="64"/>
      <c r="M239" s="64"/>
      <c r="N239" s="64"/>
      <c r="O239" s="64"/>
      <c r="P239" s="64"/>
      <c r="Q239" s="64"/>
      <c r="R239" s="64"/>
      <c r="S239" s="64"/>
      <c r="T239" s="55"/>
      <c r="U239" s="55"/>
      <c r="V239" s="55"/>
      <c r="W239" s="64"/>
      <c r="X239" s="64"/>
      <c r="Y239" s="55"/>
      <c r="Z239" s="55"/>
      <c r="AA239" s="55"/>
      <c r="AB239" s="64"/>
      <c r="AC239" s="64"/>
      <c r="AD239" s="64"/>
      <c r="AE239" s="64"/>
      <c r="AF239" s="64"/>
      <c r="AG239" s="55"/>
      <c r="AH239" s="55"/>
      <c r="AI239" s="64"/>
      <c r="AJ239" s="64"/>
      <c r="AK239" s="64"/>
      <c r="AL239" s="64"/>
      <c r="AM239" s="64"/>
      <c r="AN239" s="64"/>
      <c r="AO239" s="55"/>
      <c r="AP239" s="55"/>
      <c r="AQ239" s="64"/>
      <c r="AR239" s="64"/>
      <c r="AS239" s="64"/>
      <c r="AT239" s="64"/>
      <c r="AU239" s="64"/>
      <c r="AV239" s="55"/>
      <c r="AW239" s="55"/>
      <c r="AX239" s="64"/>
      <c r="AY239" s="64"/>
      <c r="AZ239" s="64"/>
      <c r="BA239" s="64"/>
      <c r="BB239" s="64"/>
      <c r="BC239" s="55"/>
      <c r="BD239" s="55"/>
      <c r="BE239" s="64"/>
      <c r="BF239" s="55"/>
      <c r="BG239" s="64"/>
      <c r="BH239" s="64"/>
      <c r="BI239" s="64"/>
      <c r="BJ239" s="64"/>
      <c r="BK239" s="55"/>
      <c r="BL239" s="55"/>
      <c r="BM239" s="55"/>
      <c r="BN239" s="64"/>
      <c r="BO239" s="64"/>
      <c r="BP239" s="64"/>
      <c r="BQ239" s="64"/>
      <c r="BR239" s="64"/>
      <c r="BS239" s="64"/>
      <c r="BT239" s="64"/>
      <c r="BU239" s="64"/>
      <c r="BV239" s="64"/>
      <c r="BW239" s="55"/>
      <c r="BX239" s="55"/>
      <c r="BY239" s="55"/>
      <c r="BZ239" s="55"/>
      <c r="CA239" s="55"/>
      <c r="CB239" s="55"/>
      <c r="CC239" s="55"/>
      <c r="CD239" s="55"/>
      <c r="CE239" s="55"/>
      <c r="CF239" s="55"/>
      <c r="CG239" s="55"/>
      <c r="CH239" s="55"/>
    </row>
    <row r="240" ht="16.5" customHeight="1">
      <c r="A240" s="55"/>
      <c r="B240" s="55"/>
      <c r="C240" s="55"/>
      <c r="D240" s="55"/>
      <c r="E240" s="55"/>
      <c r="F240" s="55"/>
      <c r="G240" s="55"/>
      <c r="H240" s="64"/>
      <c r="I240" s="64"/>
      <c r="J240" s="64"/>
      <c r="K240" s="64"/>
      <c r="L240" s="64"/>
      <c r="M240" s="64"/>
      <c r="N240" s="64"/>
      <c r="O240" s="64"/>
      <c r="P240" s="64"/>
      <c r="Q240" s="64"/>
      <c r="R240" s="64"/>
      <c r="S240" s="64"/>
      <c r="T240" s="55"/>
      <c r="U240" s="55"/>
      <c r="V240" s="55"/>
      <c r="W240" s="64"/>
      <c r="X240" s="64"/>
      <c r="Y240" s="55"/>
      <c r="Z240" s="55"/>
      <c r="AA240" s="55"/>
      <c r="AB240" s="64"/>
      <c r="AC240" s="64"/>
      <c r="AD240" s="64"/>
      <c r="AE240" s="64"/>
      <c r="AF240" s="64"/>
      <c r="AG240" s="55"/>
      <c r="AH240" s="55"/>
      <c r="AI240" s="64"/>
      <c r="AJ240" s="64"/>
      <c r="AK240" s="64"/>
      <c r="AL240" s="64"/>
      <c r="AM240" s="64"/>
      <c r="AN240" s="64"/>
      <c r="AO240" s="55"/>
      <c r="AP240" s="55"/>
      <c r="AQ240" s="64"/>
      <c r="AR240" s="64"/>
      <c r="AS240" s="64"/>
      <c r="AT240" s="64"/>
      <c r="AU240" s="64"/>
      <c r="AV240" s="55"/>
      <c r="AW240" s="55"/>
      <c r="AX240" s="64"/>
      <c r="AY240" s="64"/>
      <c r="AZ240" s="64"/>
      <c r="BA240" s="64"/>
      <c r="BB240" s="64"/>
      <c r="BC240" s="55"/>
      <c r="BD240" s="55"/>
      <c r="BE240" s="64"/>
      <c r="BF240" s="55"/>
      <c r="BG240" s="64"/>
      <c r="BH240" s="64"/>
      <c r="BI240" s="64"/>
      <c r="BJ240" s="64"/>
      <c r="BK240" s="55"/>
      <c r="BL240" s="55"/>
      <c r="BM240" s="55"/>
      <c r="BN240" s="64"/>
      <c r="BO240" s="64"/>
      <c r="BP240" s="64"/>
      <c r="BQ240" s="64"/>
      <c r="BR240" s="64"/>
      <c r="BS240" s="64"/>
      <c r="BT240" s="64"/>
      <c r="BU240" s="64"/>
      <c r="BV240" s="64"/>
      <c r="BW240" s="55"/>
      <c r="BX240" s="55"/>
      <c r="BY240" s="55"/>
      <c r="BZ240" s="55"/>
      <c r="CA240" s="55"/>
      <c r="CB240" s="55"/>
      <c r="CC240" s="55"/>
      <c r="CD240" s="55"/>
      <c r="CE240" s="55"/>
      <c r="CF240" s="55"/>
      <c r="CG240" s="55"/>
      <c r="CH240" s="55"/>
    </row>
    <row r="241" ht="16.5" customHeight="1">
      <c r="A241" s="55"/>
      <c r="B241" s="55"/>
      <c r="C241" s="55"/>
      <c r="D241" s="55"/>
      <c r="E241" s="55"/>
      <c r="F241" s="55"/>
      <c r="G241" s="55"/>
      <c r="H241" s="64"/>
      <c r="I241" s="64"/>
      <c r="J241" s="64"/>
      <c r="K241" s="64"/>
      <c r="L241" s="64"/>
      <c r="M241" s="64"/>
      <c r="N241" s="64"/>
      <c r="O241" s="64"/>
      <c r="P241" s="64"/>
      <c r="Q241" s="64"/>
      <c r="R241" s="64"/>
      <c r="S241" s="64"/>
      <c r="T241" s="55"/>
      <c r="U241" s="55"/>
      <c r="V241" s="55"/>
      <c r="W241" s="64"/>
      <c r="X241" s="64"/>
      <c r="Y241" s="55"/>
      <c r="Z241" s="55"/>
      <c r="AA241" s="55"/>
      <c r="AB241" s="64"/>
      <c r="AC241" s="64"/>
      <c r="AD241" s="64"/>
      <c r="AE241" s="64"/>
      <c r="AF241" s="64"/>
      <c r="AG241" s="55"/>
      <c r="AH241" s="55"/>
      <c r="AI241" s="64"/>
      <c r="AJ241" s="64"/>
      <c r="AK241" s="64"/>
      <c r="AL241" s="64"/>
      <c r="AM241" s="64"/>
      <c r="AN241" s="64"/>
      <c r="AO241" s="55"/>
      <c r="AP241" s="55"/>
      <c r="AQ241" s="64"/>
      <c r="AR241" s="64"/>
      <c r="AS241" s="64"/>
      <c r="AT241" s="64"/>
      <c r="AU241" s="64"/>
      <c r="AV241" s="55"/>
      <c r="AW241" s="55"/>
      <c r="AX241" s="64"/>
      <c r="AY241" s="64"/>
      <c r="AZ241" s="64"/>
      <c r="BA241" s="64"/>
      <c r="BB241" s="64"/>
      <c r="BC241" s="55"/>
      <c r="BD241" s="55"/>
      <c r="BE241" s="64"/>
      <c r="BF241" s="55"/>
      <c r="BG241" s="64"/>
      <c r="BH241" s="64"/>
      <c r="BI241" s="64"/>
      <c r="BJ241" s="64"/>
      <c r="BK241" s="55"/>
      <c r="BL241" s="55"/>
      <c r="BM241" s="55"/>
      <c r="BN241" s="64"/>
      <c r="BO241" s="64"/>
      <c r="BP241" s="64"/>
      <c r="BQ241" s="64"/>
      <c r="BR241" s="64"/>
      <c r="BS241" s="64"/>
      <c r="BT241" s="64"/>
      <c r="BU241" s="64"/>
      <c r="BV241" s="64"/>
      <c r="BW241" s="55"/>
      <c r="BX241" s="55"/>
      <c r="BY241" s="55"/>
      <c r="BZ241" s="55"/>
      <c r="CA241" s="55"/>
      <c r="CB241" s="55"/>
      <c r="CC241" s="55"/>
      <c r="CD241" s="55"/>
      <c r="CE241" s="55"/>
      <c r="CF241" s="55"/>
      <c r="CG241" s="55"/>
      <c r="CH241" s="55"/>
    </row>
    <row r="242" ht="16.5" customHeight="1">
      <c r="A242" s="55"/>
      <c r="B242" s="55"/>
      <c r="C242" s="55"/>
      <c r="D242" s="55"/>
      <c r="E242" s="55"/>
      <c r="F242" s="55"/>
      <c r="G242" s="55"/>
      <c r="H242" s="64"/>
      <c r="I242" s="64"/>
      <c r="J242" s="64"/>
      <c r="K242" s="64"/>
      <c r="L242" s="64"/>
      <c r="M242" s="64"/>
      <c r="N242" s="64"/>
      <c r="O242" s="64"/>
      <c r="P242" s="64"/>
      <c r="Q242" s="64"/>
      <c r="R242" s="64"/>
      <c r="S242" s="64"/>
      <c r="T242" s="55"/>
      <c r="U242" s="55"/>
      <c r="V242" s="55"/>
      <c r="W242" s="64"/>
      <c r="X242" s="64"/>
      <c r="Y242" s="55"/>
      <c r="Z242" s="55"/>
      <c r="AA242" s="55"/>
      <c r="AB242" s="64"/>
      <c r="AC242" s="64"/>
      <c r="AD242" s="64"/>
      <c r="AE242" s="64"/>
      <c r="AF242" s="64"/>
      <c r="AG242" s="55"/>
      <c r="AH242" s="55"/>
      <c r="AI242" s="64"/>
      <c r="AJ242" s="64"/>
      <c r="AK242" s="64"/>
      <c r="AL242" s="64"/>
      <c r="AM242" s="64"/>
      <c r="AN242" s="64"/>
      <c r="AO242" s="55"/>
      <c r="AP242" s="55"/>
      <c r="AQ242" s="64"/>
      <c r="AR242" s="64"/>
      <c r="AS242" s="64"/>
      <c r="AT242" s="64"/>
      <c r="AU242" s="64"/>
      <c r="AV242" s="55"/>
      <c r="AW242" s="55"/>
      <c r="AX242" s="64"/>
      <c r="AY242" s="64"/>
      <c r="AZ242" s="64"/>
      <c r="BA242" s="64"/>
      <c r="BB242" s="64"/>
      <c r="BC242" s="55"/>
      <c r="BD242" s="55"/>
      <c r="BE242" s="64"/>
      <c r="BF242" s="55"/>
      <c r="BG242" s="64"/>
      <c r="BH242" s="64"/>
      <c r="BI242" s="64"/>
      <c r="BJ242" s="64"/>
      <c r="BK242" s="55"/>
      <c r="BL242" s="55"/>
      <c r="BM242" s="55"/>
      <c r="BN242" s="64"/>
      <c r="BO242" s="64"/>
      <c r="BP242" s="64"/>
      <c r="BQ242" s="64"/>
      <c r="BR242" s="64"/>
      <c r="BS242" s="64"/>
      <c r="BT242" s="64"/>
      <c r="BU242" s="64"/>
      <c r="BV242" s="64"/>
      <c r="BW242" s="55"/>
      <c r="BX242" s="55"/>
      <c r="BY242" s="55"/>
      <c r="BZ242" s="55"/>
      <c r="CA242" s="55"/>
      <c r="CB242" s="55"/>
      <c r="CC242" s="55"/>
      <c r="CD242" s="55"/>
      <c r="CE242" s="55"/>
      <c r="CF242" s="55"/>
      <c r="CG242" s="55"/>
      <c r="CH242" s="55"/>
    </row>
    <row r="243" ht="16.5" customHeight="1">
      <c r="A243" s="55"/>
      <c r="B243" s="55"/>
      <c r="C243" s="55"/>
      <c r="D243" s="55"/>
      <c r="E243" s="55"/>
      <c r="F243" s="55"/>
      <c r="G243" s="55"/>
      <c r="H243" s="64"/>
      <c r="I243" s="64"/>
      <c r="J243" s="64"/>
      <c r="K243" s="64"/>
      <c r="L243" s="64"/>
      <c r="M243" s="64"/>
      <c r="N243" s="64"/>
      <c r="O243" s="64"/>
      <c r="P243" s="64"/>
      <c r="Q243" s="64"/>
      <c r="R243" s="64"/>
      <c r="S243" s="64"/>
      <c r="T243" s="55"/>
      <c r="U243" s="55"/>
      <c r="V243" s="55"/>
      <c r="W243" s="64"/>
      <c r="X243" s="64"/>
      <c r="Y243" s="55"/>
      <c r="Z243" s="55"/>
      <c r="AA243" s="55"/>
      <c r="AB243" s="64"/>
      <c r="AC243" s="64"/>
      <c r="AD243" s="64"/>
      <c r="AE243" s="64"/>
      <c r="AF243" s="64"/>
      <c r="AG243" s="55"/>
      <c r="AH243" s="55"/>
      <c r="AI243" s="64"/>
      <c r="AJ243" s="64"/>
      <c r="AK243" s="64"/>
      <c r="AL243" s="64"/>
      <c r="AM243" s="64"/>
      <c r="AN243" s="64"/>
      <c r="AO243" s="55"/>
      <c r="AP243" s="55"/>
      <c r="AQ243" s="64"/>
      <c r="AR243" s="64"/>
      <c r="AS243" s="64"/>
      <c r="AT243" s="64"/>
      <c r="AU243" s="64"/>
      <c r="AV243" s="55"/>
      <c r="AW243" s="55"/>
      <c r="AX243" s="64"/>
      <c r="AY243" s="64"/>
      <c r="AZ243" s="64"/>
      <c r="BA243" s="64"/>
      <c r="BB243" s="64"/>
      <c r="BC243" s="55"/>
      <c r="BD243" s="55"/>
      <c r="BE243" s="64"/>
      <c r="BF243" s="55"/>
      <c r="BG243" s="64"/>
      <c r="BH243" s="64"/>
      <c r="BI243" s="64"/>
      <c r="BJ243" s="64"/>
      <c r="BK243" s="55"/>
      <c r="BL243" s="55"/>
      <c r="BM243" s="55"/>
      <c r="BN243" s="64"/>
      <c r="BO243" s="64"/>
      <c r="BP243" s="64"/>
      <c r="BQ243" s="64"/>
      <c r="BR243" s="64"/>
      <c r="BS243" s="64"/>
      <c r="BT243" s="64"/>
      <c r="BU243" s="64"/>
      <c r="BV243" s="64"/>
      <c r="BW243" s="55"/>
      <c r="BX243" s="55"/>
      <c r="BY243" s="55"/>
      <c r="BZ243" s="55"/>
      <c r="CA243" s="55"/>
      <c r="CB243" s="55"/>
      <c r="CC243" s="55"/>
      <c r="CD243" s="55"/>
      <c r="CE243" s="55"/>
      <c r="CF243" s="55"/>
      <c r="CG243" s="55"/>
      <c r="CH243" s="55"/>
    </row>
    <row r="244" ht="16.5" customHeight="1">
      <c r="A244" s="55"/>
      <c r="B244" s="55"/>
      <c r="C244" s="55"/>
      <c r="D244" s="55"/>
      <c r="E244" s="55"/>
      <c r="F244" s="55"/>
      <c r="G244" s="55"/>
      <c r="H244" s="64"/>
      <c r="I244" s="64"/>
      <c r="J244" s="64"/>
      <c r="K244" s="64"/>
      <c r="L244" s="64"/>
      <c r="M244" s="64"/>
      <c r="N244" s="64"/>
      <c r="O244" s="64"/>
      <c r="P244" s="64"/>
      <c r="Q244" s="64"/>
      <c r="R244" s="64"/>
      <c r="S244" s="64"/>
      <c r="T244" s="55"/>
      <c r="U244" s="55"/>
      <c r="V244" s="55"/>
      <c r="W244" s="64"/>
      <c r="X244" s="64"/>
      <c r="Y244" s="55"/>
      <c r="Z244" s="55"/>
      <c r="AA244" s="55"/>
      <c r="AB244" s="64"/>
      <c r="AC244" s="64"/>
      <c r="AD244" s="64"/>
      <c r="AE244" s="64"/>
      <c r="AF244" s="64"/>
      <c r="AG244" s="55"/>
      <c r="AH244" s="55"/>
      <c r="AI244" s="64"/>
      <c r="AJ244" s="64"/>
      <c r="AK244" s="64"/>
      <c r="AL244" s="64"/>
      <c r="AM244" s="64"/>
      <c r="AN244" s="64"/>
      <c r="AO244" s="55"/>
      <c r="AP244" s="55"/>
      <c r="AQ244" s="64"/>
      <c r="AR244" s="64"/>
      <c r="AS244" s="64"/>
      <c r="AT244" s="64"/>
      <c r="AU244" s="64"/>
      <c r="AV244" s="55"/>
      <c r="AW244" s="55"/>
      <c r="AX244" s="64"/>
      <c r="AY244" s="64"/>
      <c r="AZ244" s="64"/>
      <c r="BA244" s="64"/>
      <c r="BB244" s="64"/>
      <c r="BC244" s="55"/>
      <c r="BD244" s="55"/>
      <c r="BE244" s="64"/>
      <c r="BF244" s="55"/>
      <c r="BG244" s="64"/>
      <c r="BH244" s="64"/>
      <c r="BI244" s="64"/>
      <c r="BJ244" s="64"/>
      <c r="BK244" s="55"/>
      <c r="BL244" s="55"/>
      <c r="BM244" s="55"/>
      <c r="BN244" s="64"/>
      <c r="BO244" s="64"/>
      <c r="BP244" s="64"/>
      <c r="BQ244" s="64"/>
      <c r="BR244" s="64"/>
      <c r="BS244" s="64"/>
      <c r="BT244" s="64"/>
      <c r="BU244" s="64"/>
      <c r="BV244" s="64"/>
      <c r="BW244" s="55"/>
      <c r="BX244" s="55"/>
      <c r="BY244" s="55"/>
      <c r="BZ244" s="55"/>
      <c r="CA244" s="55"/>
      <c r="CB244" s="55"/>
      <c r="CC244" s="55"/>
      <c r="CD244" s="55"/>
      <c r="CE244" s="55"/>
      <c r="CF244" s="55"/>
      <c r="CG244" s="55"/>
      <c r="CH244" s="55"/>
    </row>
    <row r="245" ht="16.5" customHeight="1">
      <c r="A245" s="55"/>
      <c r="B245" s="55"/>
      <c r="C245" s="55"/>
      <c r="D245" s="55"/>
      <c r="E245" s="55"/>
      <c r="F245" s="55"/>
      <c r="G245" s="55"/>
      <c r="H245" s="64"/>
      <c r="I245" s="64"/>
      <c r="J245" s="64"/>
      <c r="K245" s="64"/>
      <c r="L245" s="64"/>
      <c r="M245" s="64"/>
      <c r="N245" s="64"/>
      <c r="O245" s="64"/>
      <c r="P245" s="64"/>
      <c r="Q245" s="64"/>
      <c r="R245" s="64"/>
      <c r="S245" s="64"/>
      <c r="T245" s="55"/>
      <c r="U245" s="55"/>
      <c r="V245" s="55"/>
      <c r="W245" s="64"/>
      <c r="X245" s="64"/>
      <c r="Y245" s="55"/>
      <c r="Z245" s="55"/>
      <c r="AA245" s="55"/>
      <c r="AB245" s="64"/>
      <c r="AC245" s="64"/>
      <c r="AD245" s="64"/>
      <c r="AE245" s="64"/>
      <c r="AF245" s="64"/>
      <c r="AG245" s="55"/>
      <c r="AH245" s="55"/>
      <c r="AI245" s="64"/>
      <c r="AJ245" s="64"/>
      <c r="AK245" s="64"/>
      <c r="AL245" s="64"/>
      <c r="AM245" s="64"/>
      <c r="AN245" s="64"/>
      <c r="AO245" s="55"/>
      <c r="AP245" s="55"/>
      <c r="AQ245" s="64"/>
      <c r="AR245" s="64"/>
      <c r="AS245" s="64"/>
      <c r="AT245" s="64"/>
      <c r="AU245" s="64"/>
      <c r="AV245" s="55"/>
      <c r="AW245" s="55"/>
      <c r="AX245" s="64"/>
      <c r="AY245" s="64"/>
      <c r="AZ245" s="64"/>
      <c r="BA245" s="64"/>
      <c r="BB245" s="64"/>
      <c r="BC245" s="55"/>
      <c r="BD245" s="55"/>
      <c r="BE245" s="64"/>
      <c r="BF245" s="55"/>
      <c r="BG245" s="64"/>
      <c r="BH245" s="64"/>
      <c r="BI245" s="64"/>
      <c r="BJ245" s="64"/>
      <c r="BK245" s="55"/>
      <c r="BL245" s="55"/>
      <c r="BM245" s="55"/>
      <c r="BN245" s="64"/>
      <c r="BO245" s="64"/>
      <c r="BP245" s="64"/>
      <c r="BQ245" s="64"/>
      <c r="BR245" s="64"/>
      <c r="BS245" s="64"/>
      <c r="BT245" s="64"/>
      <c r="BU245" s="64"/>
      <c r="BV245" s="64"/>
      <c r="BW245" s="55"/>
      <c r="BX245" s="55"/>
      <c r="BY245" s="55"/>
      <c r="BZ245" s="55"/>
      <c r="CA245" s="55"/>
      <c r="CB245" s="55"/>
      <c r="CC245" s="55"/>
      <c r="CD245" s="55"/>
      <c r="CE245" s="55"/>
      <c r="CF245" s="55"/>
      <c r="CG245" s="55"/>
      <c r="CH245" s="55"/>
    </row>
    <row r="246" ht="16.5" customHeight="1">
      <c r="A246" s="55"/>
      <c r="B246" s="55"/>
      <c r="C246" s="55"/>
      <c r="D246" s="55"/>
      <c r="E246" s="55"/>
      <c r="F246" s="55"/>
      <c r="G246" s="55"/>
      <c r="H246" s="64"/>
      <c r="I246" s="64"/>
      <c r="J246" s="64"/>
      <c r="K246" s="64"/>
      <c r="L246" s="64"/>
      <c r="M246" s="64"/>
      <c r="N246" s="64"/>
      <c r="O246" s="64"/>
      <c r="P246" s="64"/>
      <c r="Q246" s="64"/>
      <c r="R246" s="64"/>
      <c r="S246" s="64"/>
      <c r="T246" s="55"/>
      <c r="U246" s="55"/>
      <c r="V246" s="55"/>
      <c r="W246" s="64"/>
      <c r="X246" s="64"/>
      <c r="Y246" s="55"/>
      <c r="Z246" s="55"/>
      <c r="AA246" s="55"/>
      <c r="AB246" s="64"/>
      <c r="AC246" s="64"/>
      <c r="AD246" s="64"/>
      <c r="AE246" s="64"/>
      <c r="AF246" s="64"/>
      <c r="AG246" s="55"/>
      <c r="AH246" s="55"/>
      <c r="AI246" s="64"/>
      <c r="AJ246" s="64"/>
      <c r="AK246" s="64"/>
      <c r="AL246" s="64"/>
      <c r="AM246" s="64"/>
      <c r="AN246" s="64"/>
      <c r="AO246" s="55"/>
      <c r="AP246" s="55"/>
      <c r="AQ246" s="64"/>
      <c r="AR246" s="64"/>
      <c r="AS246" s="64"/>
      <c r="AT246" s="64"/>
      <c r="AU246" s="64"/>
      <c r="AV246" s="55"/>
      <c r="AW246" s="55"/>
      <c r="AX246" s="64"/>
      <c r="AY246" s="64"/>
      <c r="AZ246" s="64"/>
      <c r="BA246" s="64"/>
      <c r="BB246" s="64"/>
      <c r="BC246" s="55"/>
      <c r="BD246" s="55"/>
      <c r="BE246" s="64"/>
      <c r="BF246" s="55"/>
      <c r="BG246" s="64"/>
      <c r="BH246" s="64"/>
      <c r="BI246" s="64"/>
      <c r="BJ246" s="64"/>
      <c r="BK246" s="55"/>
      <c r="BL246" s="55"/>
      <c r="BM246" s="55"/>
      <c r="BN246" s="64"/>
      <c r="BO246" s="64"/>
      <c r="BP246" s="64"/>
      <c r="BQ246" s="64"/>
      <c r="BR246" s="64"/>
      <c r="BS246" s="64"/>
      <c r="BT246" s="64"/>
      <c r="BU246" s="64"/>
      <c r="BV246" s="64"/>
      <c r="BW246" s="55"/>
      <c r="BX246" s="55"/>
      <c r="BY246" s="55"/>
      <c r="BZ246" s="55"/>
      <c r="CA246" s="55"/>
      <c r="CB246" s="55"/>
      <c r="CC246" s="55"/>
      <c r="CD246" s="55"/>
      <c r="CE246" s="55"/>
      <c r="CF246" s="55"/>
      <c r="CG246" s="55"/>
      <c r="CH246" s="55"/>
    </row>
    <row r="247" ht="16.5" customHeight="1">
      <c r="A247" s="55"/>
      <c r="B247" s="55"/>
      <c r="C247" s="55"/>
      <c r="D247" s="55"/>
      <c r="E247" s="55"/>
      <c r="F247" s="55"/>
      <c r="G247" s="55"/>
      <c r="H247" s="64"/>
      <c r="I247" s="64"/>
      <c r="J247" s="64"/>
      <c r="K247" s="64"/>
      <c r="L247" s="64"/>
      <c r="M247" s="64"/>
      <c r="N247" s="64"/>
      <c r="O247" s="64"/>
      <c r="P247" s="64"/>
      <c r="Q247" s="64"/>
      <c r="R247" s="64"/>
      <c r="S247" s="64"/>
      <c r="T247" s="55"/>
      <c r="U247" s="55"/>
      <c r="V247" s="55"/>
      <c r="W247" s="64"/>
      <c r="X247" s="64"/>
      <c r="Y247" s="55"/>
      <c r="Z247" s="55"/>
      <c r="AA247" s="55"/>
      <c r="AB247" s="64"/>
      <c r="AC247" s="64"/>
      <c r="AD247" s="64"/>
      <c r="AE247" s="64"/>
      <c r="AF247" s="64"/>
      <c r="AG247" s="55"/>
      <c r="AH247" s="55"/>
      <c r="AI247" s="64"/>
      <c r="AJ247" s="64"/>
      <c r="AK247" s="64"/>
      <c r="AL247" s="64"/>
      <c r="AM247" s="64"/>
      <c r="AN247" s="64"/>
      <c r="AO247" s="55"/>
      <c r="AP247" s="55"/>
      <c r="AQ247" s="64"/>
      <c r="AR247" s="64"/>
      <c r="AS247" s="64"/>
      <c r="AT247" s="64"/>
      <c r="AU247" s="64"/>
      <c r="AV247" s="55"/>
      <c r="AW247" s="55"/>
      <c r="AX247" s="64"/>
      <c r="AY247" s="64"/>
      <c r="AZ247" s="64"/>
      <c r="BA247" s="64"/>
      <c r="BB247" s="64"/>
      <c r="BC247" s="55"/>
      <c r="BD247" s="55"/>
      <c r="BE247" s="64"/>
      <c r="BF247" s="55"/>
      <c r="BG247" s="64"/>
      <c r="BH247" s="64"/>
      <c r="BI247" s="64"/>
      <c r="BJ247" s="64"/>
      <c r="BK247" s="55"/>
      <c r="BL247" s="55"/>
      <c r="BM247" s="55"/>
      <c r="BN247" s="64"/>
      <c r="BO247" s="64"/>
      <c r="BP247" s="64"/>
      <c r="BQ247" s="64"/>
      <c r="BR247" s="64"/>
      <c r="BS247" s="64"/>
      <c r="BT247" s="64"/>
      <c r="BU247" s="64"/>
      <c r="BV247" s="64"/>
      <c r="BW247" s="55"/>
      <c r="BX247" s="55"/>
      <c r="BY247" s="55"/>
      <c r="BZ247" s="55"/>
      <c r="CA247" s="55"/>
      <c r="CB247" s="55"/>
      <c r="CC247" s="55"/>
      <c r="CD247" s="55"/>
      <c r="CE247" s="55"/>
      <c r="CF247" s="55"/>
      <c r="CG247" s="55"/>
      <c r="CH247" s="55"/>
    </row>
    <row r="248" ht="16.5" customHeight="1">
      <c r="A248" s="55"/>
      <c r="B248" s="55"/>
      <c r="C248" s="55"/>
      <c r="D248" s="55"/>
      <c r="E248" s="55"/>
      <c r="F248" s="55"/>
      <c r="G248" s="55"/>
      <c r="H248" s="64"/>
      <c r="I248" s="64"/>
      <c r="J248" s="64"/>
      <c r="K248" s="64"/>
      <c r="L248" s="64"/>
      <c r="M248" s="64"/>
      <c r="N248" s="64"/>
      <c r="O248" s="64"/>
      <c r="P248" s="64"/>
      <c r="Q248" s="64"/>
      <c r="R248" s="64"/>
      <c r="S248" s="64"/>
      <c r="T248" s="55"/>
      <c r="U248" s="55"/>
      <c r="V248" s="55"/>
      <c r="W248" s="64"/>
      <c r="X248" s="64"/>
      <c r="Y248" s="55"/>
      <c r="Z248" s="55"/>
      <c r="AA248" s="55"/>
      <c r="AB248" s="64"/>
      <c r="AC248" s="64"/>
      <c r="AD248" s="64"/>
      <c r="AE248" s="64"/>
      <c r="AF248" s="64"/>
      <c r="AG248" s="55"/>
      <c r="AH248" s="55"/>
      <c r="AI248" s="64"/>
      <c r="AJ248" s="64"/>
      <c r="AK248" s="64"/>
      <c r="AL248" s="64"/>
      <c r="AM248" s="64"/>
      <c r="AN248" s="64"/>
      <c r="AO248" s="55"/>
      <c r="AP248" s="55"/>
      <c r="AQ248" s="64"/>
      <c r="AR248" s="64"/>
      <c r="AS248" s="64"/>
      <c r="AT248" s="64"/>
      <c r="AU248" s="64"/>
      <c r="AV248" s="55"/>
      <c r="AW248" s="55"/>
      <c r="AX248" s="64"/>
      <c r="AY248" s="64"/>
      <c r="AZ248" s="64"/>
      <c r="BA248" s="64"/>
      <c r="BB248" s="64"/>
      <c r="BC248" s="55"/>
      <c r="BD248" s="55"/>
      <c r="BE248" s="64"/>
      <c r="BF248" s="55"/>
      <c r="BG248" s="64"/>
      <c r="BH248" s="64"/>
      <c r="BI248" s="64"/>
      <c r="BJ248" s="64"/>
      <c r="BK248" s="55"/>
      <c r="BL248" s="55"/>
      <c r="BM248" s="55"/>
      <c r="BN248" s="64"/>
      <c r="BO248" s="64"/>
      <c r="BP248" s="64"/>
      <c r="BQ248" s="64"/>
      <c r="BR248" s="64"/>
      <c r="BS248" s="64"/>
      <c r="BT248" s="64"/>
      <c r="BU248" s="64"/>
      <c r="BV248" s="64"/>
      <c r="BW248" s="55"/>
      <c r="BX248" s="55"/>
      <c r="BY248" s="55"/>
      <c r="BZ248" s="55"/>
      <c r="CA248" s="55"/>
      <c r="CB248" s="55"/>
      <c r="CC248" s="55"/>
      <c r="CD248" s="55"/>
      <c r="CE248" s="55"/>
      <c r="CF248" s="55"/>
      <c r="CG248" s="55"/>
      <c r="CH248" s="55"/>
    </row>
    <row r="249" ht="16.5" customHeight="1">
      <c r="A249" s="55"/>
      <c r="B249" s="55"/>
      <c r="C249" s="55"/>
      <c r="D249" s="55"/>
      <c r="E249" s="55"/>
      <c r="F249" s="55"/>
      <c r="G249" s="55"/>
      <c r="H249" s="64"/>
      <c r="I249" s="64"/>
      <c r="J249" s="64"/>
      <c r="K249" s="64"/>
      <c r="L249" s="64"/>
      <c r="M249" s="64"/>
      <c r="N249" s="64"/>
      <c r="O249" s="64"/>
      <c r="P249" s="64"/>
      <c r="Q249" s="64"/>
      <c r="R249" s="64"/>
      <c r="S249" s="64"/>
      <c r="T249" s="55"/>
      <c r="U249" s="55"/>
      <c r="V249" s="55"/>
      <c r="W249" s="64"/>
      <c r="X249" s="64"/>
      <c r="Y249" s="55"/>
      <c r="Z249" s="55"/>
      <c r="AA249" s="55"/>
      <c r="AB249" s="64"/>
      <c r="AC249" s="64"/>
      <c r="AD249" s="64"/>
      <c r="AE249" s="64"/>
      <c r="AF249" s="64"/>
      <c r="AG249" s="55"/>
      <c r="AH249" s="55"/>
      <c r="AI249" s="64"/>
      <c r="AJ249" s="64"/>
      <c r="AK249" s="64"/>
      <c r="AL249" s="64"/>
      <c r="AM249" s="64"/>
      <c r="AN249" s="64"/>
      <c r="AO249" s="55"/>
      <c r="AP249" s="55"/>
      <c r="AQ249" s="64"/>
      <c r="AR249" s="64"/>
      <c r="AS249" s="64"/>
      <c r="AT249" s="64"/>
      <c r="AU249" s="64"/>
      <c r="AV249" s="55"/>
      <c r="AW249" s="55"/>
      <c r="AX249" s="64"/>
      <c r="AY249" s="64"/>
      <c r="AZ249" s="64"/>
      <c r="BA249" s="64"/>
      <c r="BB249" s="64"/>
      <c r="BC249" s="55"/>
      <c r="BD249" s="55"/>
      <c r="BE249" s="64"/>
      <c r="BF249" s="55"/>
      <c r="BG249" s="64"/>
      <c r="BH249" s="64"/>
      <c r="BI249" s="64"/>
      <c r="BJ249" s="64"/>
      <c r="BK249" s="55"/>
      <c r="BL249" s="55"/>
      <c r="BM249" s="55"/>
      <c r="BN249" s="64"/>
      <c r="BO249" s="64"/>
      <c r="BP249" s="64"/>
      <c r="BQ249" s="64"/>
      <c r="BR249" s="64"/>
      <c r="BS249" s="64"/>
      <c r="BT249" s="64"/>
      <c r="BU249" s="64"/>
      <c r="BV249" s="64"/>
      <c r="BW249" s="55"/>
      <c r="BX249" s="55"/>
      <c r="BY249" s="55"/>
      <c r="BZ249" s="55"/>
      <c r="CA249" s="55"/>
      <c r="CB249" s="55"/>
      <c r="CC249" s="55"/>
      <c r="CD249" s="55"/>
      <c r="CE249" s="55"/>
      <c r="CF249" s="55"/>
      <c r="CG249" s="55"/>
      <c r="CH249" s="55"/>
    </row>
    <row r="250" ht="16.5" customHeight="1">
      <c r="A250" s="55"/>
      <c r="B250" s="55"/>
      <c r="C250" s="55"/>
      <c r="D250" s="55"/>
      <c r="E250" s="55"/>
      <c r="F250" s="55"/>
      <c r="G250" s="55"/>
      <c r="H250" s="64"/>
      <c r="I250" s="64"/>
      <c r="J250" s="64"/>
      <c r="K250" s="64"/>
      <c r="L250" s="64"/>
      <c r="M250" s="64"/>
      <c r="N250" s="64"/>
      <c r="O250" s="64"/>
      <c r="P250" s="64"/>
      <c r="Q250" s="64"/>
      <c r="R250" s="64"/>
      <c r="S250" s="64"/>
      <c r="T250" s="55"/>
      <c r="U250" s="55"/>
      <c r="V250" s="55"/>
      <c r="W250" s="64"/>
      <c r="X250" s="64"/>
      <c r="Y250" s="55"/>
      <c r="Z250" s="55"/>
      <c r="AA250" s="55"/>
      <c r="AB250" s="64"/>
      <c r="AC250" s="64"/>
      <c r="AD250" s="64"/>
      <c r="AE250" s="64"/>
      <c r="AF250" s="64"/>
      <c r="AG250" s="55"/>
      <c r="AH250" s="55"/>
      <c r="AI250" s="64"/>
      <c r="AJ250" s="64"/>
      <c r="AK250" s="64"/>
      <c r="AL250" s="64"/>
      <c r="AM250" s="64"/>
      <c r="AN250" s="64"/>
      <c r="AO250" s="55"/>
      <c r="AP250" s="55"/>
      <c r="AQ250" s="64"/>
      <c r="AR250" s="64"/>
      <c r="AS250" s="64"/>
      <c r="AT250" s="64"/>
      <c r="AU250" s="64"/>
      <c r="AV250" s="55"/>
      <c r="AW250" s="55"/>
      <c r="AX250" s="64"/>
      <c r="AY250" s="64"/>
      <c r="AZ250" s="64"/>
      <c r="BA250" s="64"/>
      <c r="BB250" s="64"/>
      <c r="BC250" s="55"/>
      <c r="BD250" s="55"/>
      <c r="BE250" s="64"/>
      <c r="BF250" s="55"/>
      <c r="BG250" s="64"/>
      <c r="BH250" s="64"/>
      <c r="BI250" s="64"/>
      <c r="BJ250" s="64"/>
      <c r="BK250" s="55"/>
      <c r="BL250" s="55"/>
      <c r="BM250" s="55"/>
      <c r="BN250" s="64"/>
      <c r="BO250" s="64"/>
      <c r="BP250" s="64"/>
      <c r="BQ250" s="64"/>
      <c r="BR250" s="64"/>
      <c r="BS250" s="64"/>
      <c r="BT250" s="64"/>
      <c r="BU250" s="64"/>
      <c r="BV250" s="64"/>
      <c r="BW250" s="55"/>
      <c r="BX250" s="55"/>
      <c r="BY250" s="55"/>
      <c r="BZ250" s="55"/>
      <c r="CA250" s="55"/>
      <c r="CB250" s="55"/>
      <c r="CC250" s="55"/>
      <c r="CD250" s="55"/>
      <c r="CE250" s="55"/>
      <c r="CF250" s="55"/>
      <c r="CG250" s="55"/>
      <c r="CH250" s="55"/>
    </row>
    <row r="251" ht="16.5" customHeight="1">
      <c r="A251" s="55"/>
      <c r="B251" s="55"/>
      <c r="C251" s="55"/>
      <c r="D251" s="55"/>
      <c r="E251" s="55"/>
      <c r="F251" s="55"/>
      <c r="G251" s="55"/>
      <c r="H251" s="64"/>
      <c r="I251" s="64"/>
      <c r="J251" s="64"/>
      <c r="K251" s="64"/>
      <c r="L251" s="64"/>
      <c r="M251" s="64"/>
      <c r="N251" s="64"/>
      <c r="O251" s="64"/>
      <c r="P251" s="64"/>
      <c r="Q251" s="64"/>
      <c r="R251" s="64"/>
      <c r="S251" s="64"/>
      <c r="T251" s="55"/>
      <c r="U251" s="55"/>
      <c r="V251" s="55"/>
      <c r="W251" s="64"/>
      <c r="X251" s="64"/>
      <c r="Y251" s="55"/>
      <c r="Z251" s="55"/>
      <c r="AA251" s="55"/>
      <c r="AB251" s="64"/>
      <c r="AC251" s="64"/>
      <c r="AD251" s="64"/>
      <c r="AE251" s="64"/>
      <c r="AF251" s="64"/>
      <c r="AG251" s="55"/>
      <c r="AH251" s="55"/>
      <c r="AI251" s="64"/>
      <c r="AJ251" s="64"/>
      <c r="AK251" s="64"/>
      <c r="AL251" s="64"/>
      <c r="AM251" s="64"/>
      <c r="AN251" s="64"/>
      <c r="AO251" s="55"/>
      <c r="AP251" s="55"/>
      <c r="AQ251" s="64"/>
      <c r="AR251" s="64"/>
      <c r="AS251" s="64"/>
      <c r="AT251" s="64"/>
      <c r="AU251" s="64"/>
      <c r="AV251" s="55"/>
      <c r="AW251" s="55"/>
      <c r="AX251" s="64"/>
      <c r="AY251" s="64"/>
      <c r="AZ251" s="64"/>
      <c r="BA251" s="64"/>
      <c r="BB251" s="64"/>
      <c r="BC251" s="55"/>
      <c r="BD251" s="55"/>
      <c r="BE251" s="64"/>
      <c r="BF251" s="55"/>
      <c r="BG251" s="64"/>
      <c r="BH251" s="64"/>
      <c r="BI251" s="64"/>
      <c r="BJ251" s="64"/>
      <c r="BK251" s="55"/>
      <c r="BL251" s="55"/>
      <c r="BM251" s="55"/>
      <c r="BN251" s="64"/>
      <c r="BO251" s="64"/>
      <c r="BP251" s="64"/>
      <c r="BQ251" s="64"/>
      <c r="BR251" s="64"/>
      <c r="BS251" s="64"/>
      <c r="BT251" s="64"/>
      <c r="BU251" s="64"/>
      <c r="BV251" s="64"/>
      <c r="BW251" s="55"/>
      <c r="BX251" s="55"/>
      <c r="BY251" s="55"/>
      <c r="BZ251" s="55"/>
      <c r="CA251" s="55"/>
      <c r="CB251" s="55"/>
      <c r="CC251" s="55"/>
      <c r="CD251" s="55"/>
      <c r="CE251" s="55"/>
      <c r="CF251" s="55"/>
      <c r="CG251" s="55"/>
      <c r="CH251" s="55"/>
    </row>
    <row r="252" ht="16.5" customHeight="1">
      <c r="A252" s="55"/>
      <c r="B252" s="55"/>
      <c r="C252" s="55"/>
      <c r="D252" s="55"/>
      <c r="E252" s="55"/>
      <c r="F252" s="55"/>
      <c r="G252" s="55"/>
      <c r="H252" s="64"/>
      <c r="I252" s="64"/>
      <c r="J252" s="64"/>
      <c r="K252" s="64"/>
      <c r="L252" s="64"/>
      <c r="M252" s="64"/>
      <c r="N252" s="64"/>
      <c r="O252" s="64"/>
      <c r="P252" s="64"/>
      <c r="Q252" s="64"/>
      <c r="R252" s="64"/>
      <c r="S252" s="64"/>
      <c r="T252" s="55"/>
      <c r="U252" s="55"/>
      <c r="V252" s="55"/>
      <c r="W252" s="64"/>
      <c r="X252" s="64"/>
      <c r="Y252" s="55"/>
      <c r="Z252" s="55"/>
      <c r="AA252" s="55"/>
      <c r="AB252" s="64"/>
      <c r="AC252" s="64"/>
      <c r="AD252" s="64"/>
      <c r="AE252" s="64"/>
      <c r="AF252" s="64"/>
      <c r="AG252" s="55"/>
      <c r="AH252" s="55"/>
      <c r="AI252" s="64"/>
      <c r="AJ252" s="64"/>
      <c r="AK252" s="64"/>
      <c r="AL252" s="64"/>
      <c r="AM252" s="64"/>
      <c r="AN252" s="64"/>
      <c r="AO252" s="55"/>
      <c r="AP252" s="55"/>
      <c r="AQ252" s="64"/>
      <c r="AR252" s="64"/>
      <c r="AS252" s="64"/>
      <c r="AT252" s="64"/>
      <c r="AU252" s="64"/>
      <c r="AV252" s="55"/>
      <c r="AW252" s="55"/>
      <c r="AX252" s="64"/>
      <c r="AY252" s="64"/>
      <c r="AZ252" s="64"/>
      <c r="BA252" s="64"/>
      <c r="BB252" s="64"/>
      <c r="BC252" s="55"/>
      <c r="BD252" s="55"/>
      <c r="BE252" s="64"/>
      <c r="BF252" s="55"/>
      <c r="BG252" s="64"/>
      <c r="BH252" s="64"/>
      <c r="BI252" s="64"/>
      <c r="BJ252" s="64"/>
      <c r="BK252" s="55"/>
      <c r="BL252" s="55"/>
      <c r="BM252" s="55"/>
      <c r="BN252" s="64"/>
      <c r="BO252" s="64"/>
      <c r="BP252" s="64"/>
      <c r="BQ252" s="64"/>
      <c r="BR252" s="64"/>
      <c r="BS252" s="64"/>
      <c r="BT252" s="64"/>
      <c r="BU252" s="64"/>
      <c r="BV252" s="64"/>
      <c r="BW252" s="55"/>
      <c r="BX252" s="55"/>
      <c r="BY252" s="55"/>
      <c r="BZ252" s="55"/>
      <c r="CA252" s="55"/>
      <c r="CB252" s="55"/>
      <c r="CC252" s="55"/>
      <c r="CD252" s="55"/>
      <c r="CE252" s="55"/>
      <c r="CF252" s="55"/>
      <c r="CG252" s="55"/>
      <c r="CH252" s="55"/>
    </row>
    <row r="253" ht="16.5" customHeight="1">
      <c r="A253" s="55"/>
      <c r="B253" s="55"/>
      <c r="C253" s="55"/>
      <c r="D253" s="55"/>
      <c r="E253" s="55"/>
      <c r="F253" s="55"/>
      <c r="G253" s="55"/>
      <c r="H253" s="64"/>
      <c r="I253" s="64"/>
      <c r="J253" s="64"/>
      <c r="K253" s="64"/>
      <c r="L253" s="64"/>
      <c r="M253" s="64"/>
      <c r="N253" s="64"/>
      <c r="O253" s="64"/>
      <c r="P253" s="64"/>
      <c r="Q253" s="64"/>
      <c r="R253" s="64"/>
      <c r="S253" s="64"/>
      <c r="T253" s="55"/>
      <c r="U253" s="55"/>
      <c r="V253" s="55"/>
      <c r="W253" s="64"/>
      <c r="X253" s="64"/>
      <c r="Y253" s="55"/>
      <c r="Z253" s="55"/>
      <c r="AA253" s="55"/>
      <c r="AB253" s="64"/>
      <c r="AC253" s="64"/>
      <c r="AD253" s="64"/>
      <c r="AE253" s="64"/>
      <c r="AF253" s="64"/>
      <c r="AG253" s="55"/>
      <c r="AH253" s="55"/>
      <c r="AI253" s="64"/>
      <c r="AJ253" s="64"/>
      <c r="AK253" s="64"/>
      <c r="AL253" s="64"/>
      <c r="AM253" s="64"/>
      <c r="AN253" s="64"/>
      <c r="AO253" s="55"/>
      <c r="AP253" s="55"/>
      <c r="AQ253" s="64"/>
      <c r="AR253" s="64"/>
      <c r="AS253" s="64"/>
      <c r="AT253" s="64"/>
      <c r="AU253" s="64"/>
      <c r="AV253" s="55"/>
      <c r="AW253" s="55"/>
      <c r="AX253" s="64"/>
      <c r="AY253" s="64"/>
      <c r="AZ253" s="64"/>
      <c r="BA253" s="64"/>
      <c r="BB253" s="64"/>
      <c r="BC253" s="55"/>
      <c r="BD253" s="55"/>
      <c r="BE253" s="64"/>
      <c r="BF253" s="55"/>
      <c r="BG253" s="64"/>
      <c r="BH253" s="64"/>
      <c r="BI253" s="64"/>
      <c r="BJ253" s="64"/>
      <c r="BK253" s="55"/>
      <c r="BL253" s="55"/>
      <c r="BM253" s="55"/>
      <c r="BN253" s="64"/>
      <c r="BO253" s="64"/>
      <c r="BP253" s="64"/>
      <c r="BQ253" s="64"/>
      <c r="BR253" s="64"/>
      <c r="BS253" s="64"/>
      <c r="BT253" s="64"/>
      <c r="BU253" s="64"/>
      <c r="BV253" s="64"/>
      <c r="BW253" s="55"/>
      <c r="BX253" s="55"/>
      <c r="BY253" s="55"/>
      <c r="BZ253" s="55"/>
      <c r="CA253" s="55"/>
      <c r="CB253" s="55"/>
      <c r="CC253" s="55"/>
      <c r="CD253" s="55"/>
      <c r="CE253" s="55"/>
      <c r="CF253" s="55"/>
      <c r="CG253" s="55"/>
      <c r="CH253" s="55"/>
    </row>
    <row r="254" ht="16.5" customHeight="1">
      <c r="A254" s="55"/>
      <c r="B254" s="55"/>
      <c r="C254" s="55"/>
      <c r="D254" s="55"/>
      <c r="E254" s="55"/>
      <c r="F254" s="55"/>
      <c r="G254" s="55"/>
      <c r="H254" s="64"/>
      <c r="I254" s="64"/>
      <c r="J254" s="64"/>
      <c r="K254" s="64"/>
      <c r="L254" s="64"/>
      <c r="M254" s="64"/>
      <c r="N254" s="64"/>
      <c r="O254" s="64"/>
      <c r="P254" s="64"/>
      <c r="Q254" s="64"/>
      <c r="R254" s="64"/>
      <c r="S254" s="64"/>
      <c r="T254" s="55"/>
      <c r="U254" s="55"/>
      <c r="V254" s="55"/>
      <c r="W254" s="64"/>
      <c r="X254" s="64"/>
      <c r="Y254" s="55"/>
      <c r="Z254" s="55"/>
      <c r="AA254" s="55"/>
      <c r="AB254" s="64"/>
      <c r="AC254" s="64"/>
      <c r="AD254" s="64"/>
      <c r="AE254" s="64"/>
      <c r="AF254" s="64"/>
      <c r="AG254" s="55"/>
      <c r="AH254" s="55"/>
      <c r="AI254" s="64"/>
      <c r="AJ254" s="64"/>
      <c r="AK254" s="64"/>
      <c r="AL254" s="64"/>
      <c r="AM254" s="64"/>
      <c r="AN254" s="64"/>
      <c r="AO254" s="55"/>
      <c r="AP254" s="55"/>
      <c r="AQ254" s="64"/>
      <c r="AR254" s="64"/>
      <c r="AS254" s="64"/>
      <c r="AT254" s="64"/>
      <c r="AU254" s="64"/>
      <c r="AV254" s="55"/>
      <c r="AW254" s="55"/>
      <c r="AX254" s="64"/>
      <c r="AY254" s="64"/>
      <c r="AZ254" s="64"/>
      <c r="BA254" s="64"/>
      <c r="BB254" s="64"/>
      <c r="BC254" s="55"/>
      <c r="BD254" s="55"/>
      <c r="BE254" s="64"/>
      <c r="BF254" s="55"/>
      <c r="BG254" s="64"/>
      <c r="BH254" s="64"/>
      <c r="BI254" s="64"/>
      <c r="BJ254" s="64"/>
      <c r="BK254" s="55"/>
      <c r="BL254" s="55"/>
      <c r="BM254" s="55"/>
      <c r="BN254" s="64"/>
      <c r="BO254" s="64"/>
      <c r="BP254" s="64"/>
      <c r="BQ254" s="64"/>
      <c r="BR254" s="64"/>
      <c r="BS254" s="64"/>
      <c r="BT254" s="64"/>
      <c r="BU254" s="64"/>
      <c r="BV254" s="64"/>
      <c r="BW254" s="55"/>
      <c r="BX254" s="55"/>
      <c r="BY254" s="55"/>
      <c r="BZ254" s="55"/>
      <c r="CA254" s="55"/>
      <c r="CB254" s="55"/>
      <c r="CC254" s="55"/>
      <c r="CD254" s="55"/>
      <c r="CE254" s="55"/>
      <c r="CF254" s="55"/>
      <c r="CG254" s="55"/>
      <c r="CH254" s="55"/>
    </row>
    <row r="255" ht="16.5" customHeight="1">
      <c r="A255" s="55"/>
      <c r="B255" s="55"/>
      <c r="C255" s="55"/>
      <c r="D255" s="55"/>
      <c r="E255" s="55"/>
      <c r="F255" s="55"/>
      <c r="G255" s="55"/>
      <c r="H255" s="64"/>
      <c r="I255" s="64"/>
      <c r="J255" s="64"/>
      <c r="K255" s="64"/>
      <c r="L255" s="64"/>
      <c r="M255" s="64"/>
      <c r="N255" s="64"/>
      <c r="O255" s="64"/>
      <c r="P255" s="64"/>
      <c r="Q255" s="64"/>
      <c r="R255" s="64"/>
      <c r="S255" s="64"/>
      <c r="T255" s="55"/>
      <c r="U255" s="55"/>
      <c r="V255" s="55"/>
      <c r="W255" s="64"/>
      <c r="X255" s="64"/>
      <c r="Y255" s="55"/>
      <c r="Z255" s="55"/>
      <c r="AA255" s="55"/>
      <c r="AB255" s="64"/>
      <c r="AC255" s="64"/>
      <c r="AD255" s="64"/>
      <c r="AE255" s="64"/>
      <c r="AF255" s="64"/>
      <c r="AG255" s="55"/>
      <c r="AH255" s="55"/>
      <c r="AI255" s="64"/>
      <c r="AJ255" s="64"/>
      <c r="AK255" s="64"/>
      <c r="AL255" s="64"/>
      <c r="AM255" s="64"/>
      <c r="AN255" s="64"/>
      <c r="AO255" s="55"/>
      <c r="AP255" s="55"/>
      <c r="AQ255" s="64"/>
      <c r="AR255" s="64"/>
      <c r="AS255" s="64"/>
      <c r="AT255" s="64"/>
      <c r="AU255" s="64"/>
      <c r="AV255" s="55"/>
      <c r="AW255" s="55"/>
      <c r="AX255" s="64"/>
      <c r="AY255" s="64"/>
      <c r="AZ255" s="64"/>
      <c r="BA255" s="64"/>
      <c r="BB255" s="64"/>
      <c r="BC255" s="55"/>
      <c r="BD255" s="55"/>
      <c r="BE255" s="64"/>
      <c r="BF255" s="55"/>
      <c r="BG255" s="64"/>
      <c r="BH255" s="64"/>
      <c r="BI255" s="64"/>
      <c r="BJ255" s="64"/>
      <c r="BK255" s="55"/>
      <c r="BL255" s="55"/>
      <c r="BM255" s="55"/>
      <c r="BN255" s="64"/>
      <c r="BO255" s="64"/>
      <c r="BP255" s="64"/>
      <c r="BQ255" s="64"/>
      <c r="BR255" s="64"/>
      <c r="BS255" s="64"/>
      <c r="BT255" s="64"/>
      <c r="BU255" s="64"/>
      <c r="BV255" s="64"/>
      <c r="BW255" s="55"/>
      <c r="BX255" s="55"/>
      <c r="BY255" s="55"/>
      <c r="BZ255" s="55"/>
      <c r="CA255" s="55"/>
      <c r="CB255" s="55"/>
      <c r="CC255" s="55"/>
      <c r="CD255" s="55"/>
      <c r="CE255" s="55"/>
      <c r="CF255" s="55"/>
      <c r="CG255" s="55"/>
      <c r="CH255" s="55"/>
    </row>
    <row r="256" ht="16.5" customHeight="1">
      <c r="A256" s="55"/>
      <c r="B256" s="55"/>
      <c r="C256" s="55"/>
      <c r="D256" s="55"/>
      <c r="E256" s="55"/>
      <c r="F256" s="55"/>
      <c r="G256" s="55"/>
      <c r="H256" s="64"/>
      <c r="I256" s="64"/>
      <c r="J256" s="64"/>
      <c r="K256" s="64"/>
      <c r="L256" s="64"/>
      <c r="M256" s="64"/>
      <c r="N256" s="64"/>
      <c r="O256" s="64"/>
      <c r="P256" s="64"/>
      <c r="Q256" s="64"/>
      <c r="R256" s="64"/>
      <c r="S256" s="64"/>
      <c r="T256" s="55"/>
      <c r="U256" s="55"/>
      <c r="V256" s="55"/>
      <c r="W256" s="64"/>
      <c r="X256" s="64"/>
      <c r="Y256" s="55"/>
      <c r="Z256" s="55"/>
      <c r="AA256" s="55"/>
      <c r="AB256" s="64"/>
      <c r="AC256" s="64"/>
      <c r="AD256" s="64"/>
      <c r="AE256" s="64"/>
      <c r="AF256" s="64"/>
      <c r="AG256" s="55"/>
      <c r="AH256" s="55"/>
      <c r="AI256" s="64"/>
      <c r="AJ256" s="64"/>
      <c r="AK256" s="64"/>
      <c r="AL256" s="64"/>
      <c r="AM256" s="64"/>
      <c r="AN256" s="64"/>
      <c r="AO256" s="55"/>
      <c r="AP256" s="55"/>
      <c r="AQ256" s="64"/>
      <c r="AR256" s="64"/>
      <c r="AS256" s="64"/>
      <c r="AT256" s="64"/>
      <c r="AU256" s="64"/>
      <c r="AV256" s="55"/>
      <c r="AW256" s="55"/>
      <c r="AX256" s="64"/>
      <c r="AY256" s="64"/>
      <c r="AZ256" s="64"/>
      <c r="BA256" s="64"/>
      <c r="BB256" s="64"/>
      <c r="BC256" s="55"/>
      <c r="BD256" s="55"/>
      <c r="BE256" s="64"/>
      <c r="BF256" s="55"/>
      <c r="BG256" s="64"/>
      <c r="BH256" s="64"/>
      <c r="BI256" s="64"/>
      <c r="BJ256" s="64"/>
      <c r="BK256" s="55"/>
      <c r="BL256" s="55"/>
      <c r="BM256" s="55"/>
      <c r="BN256" s="64"/>
      <c r="BO256" s="64"/>
      <c r="BP256" s="64"/>
      <c r="BQ256" s="64"/>
      <c r="BR256" s="64"/>
      <c r="BS256" s="64"/>
      <c r="BT256" s="64"/>
      <c r="BU256" s="64"/>
      <c r="BV256" s="64"/>
      <c r="BW256" s="55"/>
      <c r="BX256" s="55"/>
      <c r="BY256" s="55"/>
      <c r="BZ256" s="55"/>
      <c r="CA256" s="55"/>
      <c r="CB256" s="55"/>
      <c r="CC256" s="55"/>
      <c r="CD256" s="55"/>
      <c r="CE256" s="55"/>
      <c r="CF256" s="55"/>
      <c r="CG256" s="55"/>
      <c r="CH256" s="55"/>
    </row>
    <row r="257" ht="16.5" customHeight="1">
      <c r="A257" s="55"/>
      <c r="B257" s="55"/>
      <c r="C257" s="55"/>
      <c r="D257" s="55"/>
      <c r="E257" s="55"/>
      <c r="F257" s="55"/>
      <c r="G257" s="55"/>
      <c r="H257" s="64"/>
      <c r="I257" s="64"/>
      <c r="J257" s="64"/>
      <c r="K257" s="64"/>
      <c r="L257" s="64"/>
      <c r="M257" s="64"/>
      <c r="N257" s="64"/>
      <c r="O257" s="64"/>
      <c r="P257" s="64"/>
      <c r="Q257" s="64"/>
      <c r="R257" s="64"/>
      <c r="S257" s="64"/>
      <c r="T257" s="55"/>
      <c r="U257" s="55"/>
      <c r="V257" s="55"/>
      <c r="W257" s="64"/>
      <c r="X257" s="64"/>
      <c r="Y257" s="55"/>
      <c r="Z257" s="55"/>
      <c r="AA257" s="55"/>
      <c r="AB257" s="64"/>
      <c r="AC257" s="64"/>
      <c r="AD257" s="64"/>
      <c r="AE257" s="64"/>
      <c r="AF257" s="64"/>
      <c r="AG257" s="55"/>
      <c r="AH257" s="55"/>
      <c r="AI257" s="64"/>
      <c r="AJ257" s="64"/>
      <c r="AK257" s="64"/>
      <c r="AL257" s="64"/>
      <c r="AM257" s="64"/>
      <c r="AN257" s="64"/>
      <c r="AO257" s="55"/>
      <c r="AP257" s="55"/>
      <c r="AQ257" s="64"/>
      <c r="AR257" s="64"/>
      <c r="AS257" s="64"/>
      <c r="AT257" s="64"/>
      <c r="AU257" s="64"/>
      <c r="AV257" s="55"/>
      <c r="AW257" s="55"/>
      <c r="AX257" s="64"/>
      <c r="AY257" s="64"/>
      <c r="AZ257" s="64"/>
      <c r="BA257" s="64"/>
      <c r="BB257" s="64"/>
      <c r="BC257" s="55"/>
      <c r="BD257" s="55"/>
      <c r="BE257" s="64"/>
      <c r="BF257" s="55"/>
      <c r="BG257" s="64"/>
      <c r="BH257" s="64"/>
      <c r="BI257" s="64"/>
      <c r="BJ257" s="64"/>
      <c r="BK257" s="55"/>
      <c r="BL257" s="55"/>
      <c r="BM257" s="55"/>
      <c r="BN257" s="64"/>
      <c r="BO257" s="64"/>
      <c r="BP257" s="64"/>
      <c r="BQ257" s="64"/>
      <c r="BR257" s="64"/>
      <c r="BS257" s="64"/>
      <c r="BT257" s="64"/>
      <c r="BU257" s="64"/>
      <c r="BV257" s="64"/>
      <c r="BW257" s="55"/>
      <c r="BX257" s="55"/>
      <c r="BY257" s="55"/>
      <c r="BZ257" s="55"/>
      <c r="CA257" s="55"/>
      <c r="CB257" s="55"/>
      <c r="CC257" s="55"/>
      <c r="CD257" s="55"/>
      <c r="CE257" s="55"/>
      <c r="CF257" s="55"/>
      <c r="CG257" s="55"/>
      <c r="CH257" s="55"/>
    </row>
    <row r="258" ht="16.5" customHeight="1">
      <c r="A258" s="55"/>
      <c r="B258" s="55"/>
      <c r="C258" s="55"/>
      <c r="D258" s="55"/>
      <c r="E258" s="55"/>
      <c r="F258" s="55"/>
      <c r="G258" s="55"/>
      <c r="H258" s="64"/>
      <c r="I258" s="64"/>
      <c r="J258" s="64"/>
      <c r="K258" s="64"/>
      <c r="L258" s="64"/>
      <c r="M258" s="64"/>
      <c r="N258" s="64"/>
      <c r="O258" s="64"/>
      <c r="P258" s="64"/>
      <c r="Q258" s="64"/>
      <c r="R258" s="64"/>
      <c r="S258" s="64"/>
      <c r="T258" s="55"/>
      <c r="U258" s="55"/>
      <c r="V258" s="55"/>
      <c r="W258" s="64"/>
      <c r="X258" s="64"/>
      <c r="Y258" s="55"/>
      <c r="Z258" s="55"/>
      <c r="AA258" s="55"/>
      <c r="AB258" s="64"/>
      <c r="AC258" s="64"/>
      <c r="AD258" s="64"/>
      <c r="AE258" s="64"/>
      <c r="AF258" s="64"/>
      <c r="AG258" s="55"/>
      <c r="AH258" s="55"/>
      <c r="AI258" s="64"/>
      <c r="AJ258" s="64"/>
      <c r="AK258" s="64"/>
      <c r="AL258" s="64"/>
      <c r="AM258" s="64"/>
      <c r="AN258" s="64"/>
      <c r="AO258" s="55"/>
      <c r="AP258" s="55"/>
      <c r="AQ258" s="64"/>
      <c r="AR258" s="64"/>
      <c r="AS258" s="64"/>
      <c r="AT258" s="64"/>
      <c r="AU258" s="64"/>
      <c r="AV258" s="55"/>
      <c r="AW258" s="55"/>
      <c r="AX258" s="64"/>
      <c r="AY258" s="64"/>
      <c r="AZ258" s="64"/>
      <c r="BA258" s="64"/>
      <c r="BB258" s="64"/>
      <c r="BC258" s="55"/>
      <c r="BD258" s="55"/>
      <c r="BE258" s="64"/>
      <c r="BF258" s="55"/>
      <c r="BG258" s="64"/>
      <c r="BH258" s="64"/>
      <c r="BI258" s="64"/>
      <c r="BJ258" s="64"/>
      <c r="BK258" s="55"/>
      <c r="BL258" s="55"/>
      <c r="BM258" s="55"/>
      <c r="BN258" s="64"/>
      <c r="BO258" s="64"/>
      <c r="BP258" s="64"/>
      <c r="BQ258" s="64"/>
      <c r="BR258" s="64"/>
      <c r="BS258" s="64"/>
      <c r="BT258" s="64"/>
      <c r="BU258" s="64"/>
      <c r="BV258" s="64"/>
      <c r="BW258" s="55"/>
      <c r="BX258" s="55"/>
      <c r="BY258" s="55"/>
      <c r="BZ258" s="55"/>
      <c r="CA258" s="55"/>
      <c r="CB258" s="55"/>
      <c r="CC258" s="55"/>
      <c r="CD258" s="55"/>
      <c r="CE258" s="55"/>
      <c r="CF258" s="55"/>
      <c r="CG258" s="55"/>
      <c r="CH258" s="55"/>
    </row>
    <row r="259" ht="16.5" customHeight="1">
      <c r="A259" s="55"/>
      <c r="B259" s="55"/>
      <c r="C259" s="55"/>
      <c r="D259" s="55"/>
      <c r="E259" s="55"/>
      <c r="F259" s="55"/>
      <c r="G259" s="55"/>
      <c r="H259" s="64"/>
      <c r="I259" s="64"/>
      <c r="J259" s="64"/>
      <c r="K259" s="64"/>
      <c r="L259" s="64"/>
      <c r="M259" s="64"/>
      <c r="N259" s="64"/>
      <c r="O259" s="64"/>
      <c r="P259" s="64"/>
      <c r="Q259" s="64"/>
      <c r="R259" s="64"/>
      <c r="S259" s="64"/>
      <c r="T259" s="55"/>
      <c r="U259" s="55"/>
      <c r="V259" s="55"/>
      <c r="W259" s="64"/>
      <c r="X259" s="64"/>
      <c r="Y259" s="55"/>
      <c r="Z259" s="55"/>
      <c r="AA259" s="55"/>
      <c r="AB259" s="64"/>
      <c r="AC259" s="64"/>
      <c r="AD259" s="64"/>
      <c r="AE259" s="64"/>
      <c r="AF259" s="64"/>
      <c r="AG259" s="55"/>
      <c r="AH259" s="55"/>
      <c r="AI259" s="64"/>
      <c r="AJ259" s="64"/>
      <c r="AK259" s="64"/>
      <c r="AL259" s="64"/>
      <c r="AM259" s="64"/>
      <c r="AN259" s="64"/>
      <c r="AO259" s="55"/>
      <c r="AP259" s="55"/>
      <c r="AQ259" s="64"/>
      <c r="AR259" s="64"/>
      <c r="AS259" s="64"/>
      <c r="AT259" s="64"/>
      <c r="AU259" s="64"/>
      <c r="AV259" s="55"/>
      <c r="AW259" s="55"/>
      <c r="AX259" s="64"/>
      <c r="AY259" s="64"/>
      <c r="AZ259" s="64"/>
      <c r="BA259" s="64"/>
      <c r="BB259" s="64"/>
      <c r="BC259" s="55"/>
      <c r="BD259" s="55"/>
      <c r="BE259" s="64"/>
      <c r="BF259" s="55"/>
      <c r="BG259" s="64"/>
      <c r="BH259" s="64"/>
      <c r="BI259" s="64"/>
      <c r="BJ259" s="64"/>
      <c r="BK259" s="55"/>
      <c r="BL259" s="55"/>
      <c r="BM259" s="55"/>
      <c r="BN259" s="64"/>
      <c r="BO259" s="64"/>
      <c r="BP259" s="64"/>
      <c r="BQ259" s="64"/>
      <c r="BR259" s="64"/>
      <c r="BS259" s="64"/>
      <c r="BT259" s="64"/>
      <c r="BU259" s="64"/>
      <c r="BV259" s="64"/>
      <c r="BW259" s="55"/>
      <c r="BX259" s="55"/>
      <c r="BY259" s="55"/>
      <c r="BZ259" s="55"/>
      <c r="CA259" s="55"/>
      <c r="CB259" s="55"/>
      <c r="CC259" s="55"/>
      <c r="CD259" s="55"/>
      <c r="CE259" s="55"/>
      <c r="CF259" s="55"/>
      <c r="CG259" s="55"/>
      <c r="CH259" s="55"/>
    </row>
    <row r="260" ht="16.5" customHeight="1">
      <c r="A260" s="55"/>
      <c r="B260" s="55"/>
      <c r="C260" s="55"/>
      <c r="D260" s="55"/>
      <c r="E260" s="55"/>
      <c r="F260" s="55"/>
      <c r="G260" s="55"/>
      <c r="H260" s="64"/>
      <c r="I260" s="64"/>
      <c r="J260" s="64"/>
      <c r="K260" s="64"/>
      <c r="L260" s="64"/>
      <c r="M260" s="64"/>
      <c r="N260" s="64"/>
      <c r="O260" s="64"/>
      <c r="P260" s="64"/>
      <c r="Q260" s="64"/>
      <c r="R260" s="64"/>
      <c r="S260" s="64"/>
      <c r="T260" s="55"/>
      <c r="U260" s="55"/>
      <c r="V260" s="55"/>
      <c r="W260" s="64"/>
      <c r="X260" s="64"/>
      <c r="Y260" s="55"/>
      <c r="Z260" s="55"/>
      <c r="AA260" s="55"/>
      <c r="AB260" s="64"/>
      <c r="AC260" s="64"/>
      <c r="AD260" s="64"/>
      <c r="AE260" s="64"/>
      <c r="AF260" s="64"/>
      <c r="AG260" s="55"/>
      <c r="AH260" s="55"/>
      <c r="AI260" s="64"/>
      <c r="AJ260" s="64"/>
      <c r="AK260" s="64"/>
      <c r="AL260" s="64"/>
      <c r="AM260" s="64"/>
      <c r="AN260" s="64"/>
      <c r="AO260" s="55"/>
      <c r="AP260" s="55"/>
      <c r="AQ260" s="64"/>
      <c r="AR260" s="64"/>
      <c r="AS260" s="64"/>
      <c r="AT260" s="64"/>
      <c r="AU260" s="64"/>
      <c r="AV260" s="55"/>
      <c r="AW260" s="55"/>
      <c r="AX260" s="64"/>
      <c r="AY260" s="64"/>
      <c r="AZ260" s="64"/>
      <c r="BA260" s="64"/>
      <c r="BB260" s="64"/>
      <c r="BC260" s="55"/>
      <c r="BD260" s="55"/>
      <c r="BE260" s="64"/>
      <c r="BF260" s="55"/>
      <c r="BG260" s="64"/>
      <c r="BH260" s="64"/>
      <c r="BI260" s="64"/>
      <c r="BJ260" s="64"/>
      <c r="BK260" s="55"/>
      <c r="BL260" s="55"/>
      <c r="BM260" s="55"/>
      <c r="BN260" s="64"/>
      <c r="BO260" s="64"/>
      <c r="BP260" s="64"/>
      <c r="BQ260" s="64"/>
      <c r="BR260" s="64"/>
      <c r="BS260" s="64"/>
      <c r="BT260" s="64"/>
      <c r="BU260" s="64"/>
      <c r="BV260" s="64"/>
      <c r="BW260" s="55"/>
      <c r="BX260" s="55"/>
      <c r="BY260" s="55"/>
      <c r="BZ260" s="55"/>
      <c r="CA260" s="55"/>
      <c r="CB260" s="55"/>
      <c r="CC260" s="55"/>
      <c r="CD260" s="55"/>
      <c r="CE260" s="55"/>
      <c r="CF260" s="55"/>
      <c r="CG260" s="55"/>
      <c r="CH260" s="55"/>
    </row>
    <row r="261" ht="16.5" customHeight="1">
      <c r="A261" s="55"/>
      <c r="B261" s="55"/>
      <c r="C261" s="55"/>
      <c r="D261" s="55"/>
      <c r="E261" s="55"/>
      <c r="F261" s="55"/>
      <c r="G261" s="55"/>
      <c r="H261" s="64"/>
      <c r="I261" s="64"/>
      <c r="J261" s="64"/>
      <c r="K261" s="64"/>
      <c r="L261" s="64"/>
      <c r="M261" s="64"/>
      <c r="N261" s="64"/>
      <c r="O261" s="64"/>
      <c r="P261" s="64"/>
      <c r="Q261" s="64"/>
      <c r="R261" s="64"/>
      <c r="S261" s="64"/>
      <c r="T261" s="55"/>
      <c r="U261" s="55"/>
      <c r="V261" s="55"/>
      <c r="W261" s="64"/>
      <c r="X261" s="64"/>
      <c r="Y261" s="55"/>
      <c r="Z261" s="55"/>
      <c r="AA261" s="55"/>
      <c r="AB261" s="64"/>
      <c r="AC261" s="64"/>
      <c r="AD261" s="64"/>
      <c r="AE261" s="64"/>
      <c r="AF261" s="64"/>
      <c r="AG261" s="55"/>
      <c r="AH261" s="55"/>
      <c r="AI261" s="64"/>
      <c r="AJ261" s="64"/>
      <c r="AK261" s="64"/>
      <c r="AL261" s="64"/>
      <c r="AM261" s="64"/>
      <c r="AN261" s="64"/>
      <c r="AO261" s="55"/>
      <c r="AP261" s="55"/>
      <c r="AQ261" s="64"/>
      <c r="AR261" s="64"/>
      <c r="AS261" s="64"/>
      <c r="AT261" s="64"/>
      <c r="AU261" s="64"/>
      <c r="AV261" s="55"/>
      <c r="AW261" s="55"/>
      <c r="AX261" s="64"/>
      <c r="AY261" s="64"/>
      <c r="AZ261" s="64"/>
      <c r="BA261" s="64"/>
      <c r="BB261" s="64"/>
      <c r="BC261" s="55"/>
      <c r="BD261" s="55"/>
      <c r="BE261" s="64"/>
      <c r="BF261" s="55"/>
      <c r="BG261" s="64"/>
      <c r="BH261" s="64"/>
      <c r="BI261" s="64"/>
      <c r="BJ261" s="64"/>
      <c r="BK261" s="55"/>
      <c r="BL261" s="55"/>
      <c r="BM261" s="55"/>
      <c r="BN261" s="64"/>
      <c r="BO261" s="64"/>
      <c r="BP261" s="64"/>
      <c r="BQ261" s="64"/>
      <c r="BR261" s="64"/>
      <c r="BS261" s="64"/>
      <c r="BT261" s="64"/>
      <c r="BU261" s="64"/>
      <c r="BV261" s="64"/>
      <c r="BW261" s="55"/>
      <c r="BX261" s="55"/>
      <c r="BY261" s="55"/>
      <c r="BZ261" s="55"/>
      <c r="CA261" s="55"/>
      <c r="CB261" s="55"/>
      <c r="CC261" s="55"/>
      <c r="CD261" s="55"/>
      <c r="CE261" s="55"/>
      <c r="CF261" s="55"/>
      <c r="CG261" s="55"/>
      <c r="CH261" s="55"/>
    </row>
    <row r="262" ht="16.5" customHeight="1">
      <c r="A262" s="55"/>
      <c r="B262" s="55"/>
      <c r="C262" s="55"/>
      <c r="D262" s="55"/>
      <c r="E262" s="55"/>
      <c r="F262" s="55"/>
      <c r="G262" s="55"/>
      <c r="H262" s="64"/>
      <c r="I262" s="64"/>
      <c r="J262" s="64"/>
      <c r="K262" s="64"/>
      <c r="L262" s="64"/>
      <c r="M262" s="64"/>
      <c r="N262" s="64"/>
      <c r="O262" s="64"/>
      <c r="P262" s="64"/>
      <c r="Q262" s="64"/>
      <c r="R262" s="64"/>
      <c r="S262" s="64"/>
      <c r="T262" s="55"/>
      <c r="U262" s="55"/>
      <c r="V262" s="55"/>
      <c r="W262" s="64"/>
      <c r="X262" s="64"/>
      <c r="Y262" s="55"/>
      <c r="Z262" s="55"/>
      <c r="AA262" s="55"/>
      <c r="AB262" s="64"/>
      <c r="AC262" s="64"/>
      <c r="AD262" s="64"/>
      <c r="AE262" s="64"/>
      <c r="AF262" s="64"/>
      <c r="AG262" s="55"/>
      <c r="AH262" s="55"/>
      <c r="AI262" s="64"/>
      <c r="AJ262" s="64"/>
      <c r="AK262" s="64"/>
      <c r="AL262" s="64"/>
      <c r="AM262" s="64"/>
      <c r="AN262" s="64"/>
      <c r="AO262" s="55"/>
      <c r="AP262" s="55"/>
      <c r="AQ262" s="64"/>
      <c r="AR262" s="64"/>
      <c r="AS262" s="64"/>
      <c r="AT262" s="64"/>
      <c r="AU262" s="64"/>
      <c r="AV262" s="55"/>
      <c r="AW262" s="55"/>
      <c r="AX262" s="64"/>
      <c r="AY262" s="64"/>
      <c r="AZ262" s="64"/>
      <c r="BA262" s="64"/>
      <c r="BB262" s="64"/>
      <c r="BC262" s="55"/>
      <c r="BD262" s="55"/>
      <c r="BE262" s="64"/>
      <c r="BF262" s="55"/>
      <c r="BG262" s="64"/>
      <c r="BH262" s="64"/>
      <c r="BI262" s="64"/>
      <c r="BJ262" s="64"/>
      <c r="BK262" s="55"/>
      <c r="BL262" s="55"/>
      <c r="BM262" s="55"/>
      <c r="BN262" s="64"/>
      <c r="BO262" s="64"/>
      <c r="BP262" s="64"/>
      <c r="BQ262" s="64"/>
      <c r="BR262" s="64"/>
      <c r="BS262" s="64"/>
      <c r="BT262" s="64"/>
      <c r="BU262" s="64"/>
      <c r="BV262" s="64"/>
      <c r="BW262" s="55"/>
      <c r="BX262" s="55"/>
      <c r="BY262" s="55"/>
      <c r="BZ262" s="55"/>
      <c r="CA262" s="55"/>
      <c r="CB262" s="55"/>
      <c r="CC262" s="55"/>
      <c r="CD262" s="55"/>
      <c r="CE262" s="55"/>
      <c r="CF262" s="55"/>
      <c r="CG262" s="55"/>
      <c r="CH262" s="55"/>
    </row>
    <row r="263" ht="16.5" customHeight="1">
      <c r="A263" s="55"/>
      <c r="B263" s="55"/>
      <c r="C263" s="55"/>
      <c r="D263" s="55"/>
      <c r="E263" s="55"/>
      <c r="F263" s="55"/>
      <c r="G263" s="55"/>
      <c r="H263" s="64"/>
      <c r="I263" s="64"/>
      <c r="J263" s="64"/>
      <c r="K263" s="64"/>
      <c r="L263" s="64"/>
      <c r="M263" s="64"/>
      <c r="N263" s="64"/>
      <c r="O263" s="64"/>
      <c r="P263" s="64"/>
      <c r="Q263" s="64"/>
      <c r="R263" s="64"/>
      <c r="S263" s="64"/>
      <c r="T263" s="55"/>
      <c r="U263" s="55"/>
      <c r="V263" s="55"/>
      <c r="W263" s="64"/>
      <c r="X263" s="64"/>
      <c r="Y263" s="55"/>
      <c r="Z263" s="55"/>
      <c r="AA263" s="55"/>
      <c r="AB263" s="64"/>
      <c r="AC263" s="64"/>
      <c r="AD263" s="64"/>
      <c r="AE263" s="64"/>
      <c r="AF263" s="64"/>
      <c r="AG263" s="55"/>
      <c r="AH263" s="55"/>
      <c r="AI263" s="64"/>
      <c r="AJ263" s="64"/>
      <c r="AK263" s="64"/>
      <c r="AL263" s="64"/>
      <c r="AM263" s="64"/>
      <c r="AN263" s="64"/>
      <c r="AO263" s="55"/>
      <c r="AP263" s="55"/>
      <c r="AQ263" s="64"/>
      <c r="AR263" s="64"/>
      <c r="AS263" s="64"/>
      <c r="AT263" s="64"/>
      <c r="AU263" s="64"/>
      <c r="AV263" s="55"/>
      <c r="AW263" s="55"/>
      <c r="AX263" s="64"/>
      <c r="AY263" s="64"/>
      <c r="AZ263" s="64"/>
      <c r="BA263" s="64"/>
      <c r="BB263" s="64"/>
      <c r="BC263" s="55"/>
      <c r="BD263" s="55"/>
      <c r="BE263" s="64"/>
      <c r="BF263" s="55"/>
      <c r="BG263" s="64"/>
      <c r="BH263" s="64"/>
      <c r="BI263" s="64"/>
      <c r="BJ263" s="64"/>
      <c r="BK263" s="55"/>
      <c r="BL263" s="55"/>
      <c r="BM263" s="55"/>
      <c r="BN263" s="64"/>
      <c r="BO263" s="64"/>
      <c r="BP263" s="64"/>
      <c r="BQ263" s="64"/>
      <c r="BR263" s="64"/>
      <c r="BS263" s="64"/>
      <c r="BT263" s="64"/>
      <c r="BU263" s="64"/>
      <c r="BV263" s="64"/>
      <c r="BW263" s="55"/>
      <c r="BX263" s="55"/>
      <c r="BY263" s="55"/>
      <c r="BZ263" s="55"/>
      <c r="CA263" s="55"/>
      <c r="CB263" s="55"/>
      <c r="CC263" s="55"/>
      <c r="CD263" s="55"/>
      <c r="CE263" s="55"/>
      <c r="CF263" s="55"/>
      <c r="CG263" s="55"/>
      <c r="CH263" s="55"/>
    </row>
    <row r="264" ht="16.5" customHeight="1">
      <c r="A264" s="55"/>
      <c r="B264" s="55"/>
      <c r="C264" s="55"/>
      <c r="D264" s="55"/>
      <c r="E264" s="55"/>
      <c r="F264" s="55"/>
      <c r="G264" s="55"/>
      <c r="H264" s="64"/>
      <c r="I264" s="64"/>
      <c r="J264" s="64"/>
      <c r="K264" s="64"/>
      <c r="L264" s="64"/>
      <c r="M264" s="64"/>
      <c r="N264" s="64"/>
      <c r="O264" s="64"/>
      <c r="P264" s="64"/>
      <c r="Q264" s="64"/>
      <c r="R264" s="64"/>
      <c r="S264" s="64"/>
      <c r="T264" s="55"/>
      <c r="U264" s="55"/>
      <c r="V264" s="55"/>
      <c r="W264" s="64"/>
      <c r="X264" s="64"/>
      <c r="Y264" s="55"/>
      <c r="Z264" s="55"/>
      <c r="AA264" s="55"/>
      <c r="AB264" s="64"/>
      <c r="AC264" s="64"/>
      <c r="AD264" s="64"/>
      <c r="AE264" s="64"/>
      <c r="AF264" s="64"/>
      <c r="AG264" s="55"/>
      <c r="AH264" s="55"/>
      <c r="AI264" s="64"/>
      <c r="AJ264" s="64"/>
      <c r="AK264" s="64"/>
      <c r="AL264" s="64"/>
      <c r="AM264" s="64"/>
      <c r="AN264" s="64"/>
      <c r="AO264" s="55"/>
      <c r="AP264" s="55"/>
      <c r="AQ264" s="64"/>
      <c r="AR264" s="64"/>
      <c r="AS264" s="64"/>
      <c r="AT264" s="64"/>
      <c r="AU264" s="64"/>
      <c r="AV264" s="55"/>
      <c r="AW264" s="55"/>
      <c r="AX264" s="64"/>
      <c r="AY264" s="64"/>
      <c r="AZ264" s="64"/>
      <c r="BA264" s="64"/>
      <c r="BB264" s="64"/>
      <c r="BC264" s="55"/>
      <c r="BD264" s="55"/>
      <c r="BE264" s="64"/>
      <c r="BF264" s="55"/>
      <c r="BG264" s="64"/>
      <c r="BH264" s="64"/>
      <c r="BI264" s="64"/>
      <c r="BJ264" s="64"/>
      <c r="BK264" s="55"/>
      <c r="BL264" s="55"/>
      <c r="BM264" s="55"/>
      <c r="BN264" s="64"/>
      <c r="BO264" s="64"/>
      <c r="BP264" s="64"/>
      <c r="BQ264" s="64"/>
      <c r="BR264" s="64"/>
      <c r="BS264" s="64"/>
      <c r="BT264" s="64"/>
      <c r="BU264" s="64"/>
      <c r="BV264" s="64"/>
      <c r="BW264" s="55"/>
      <c r="BX264" s="55"/>
      <c r="BY264" s="55"/>
      <c r="BZ264" s="55"/>
      <c r="CA264" s="55"/>
      <c r="CB264" s="55"/>
      <c r="CC264" s="55"/>
      <c r="CD264" s="55"/>
      <c r="CE264" s="55"/>
      <c r="CF264" s="55"/>
      <c r="CG264" s="55"/>
      <c r="CH264" s="55"/>
    </row>
    <row r="265" ht="16.5" customHeight="1">
      <c r="A265" s="55"/>
      <c r="B265" s="55"/>
      <c r="C265" s="55"/>
      <c r="D265" s="55"/>
      <c r="E265" s="55"/>
      <c r="F265" s="55"/>
      <c r="G265" s="55"/>
      <c r="H265" s="64"/>
      <c r="I265" s="64"/>
      <c r="J265" s="64"/>
      <c r="K265" s="64"/>
      <c r="L265" s="64"/>
      <c r="M265" s="64"/>
      <c r="N265" s="64"/>
      <c r="O265" s="64"/>
      <c r="P265" s="64"/>
      <c r="Q265" s="64"/>
      <c r="R265" s="64"/>
      <c r="S265" s="64"/>
      <c r="T265" s="55"/>
      <c r="U265" s="55"/>
      <c r="V265" s="55"/>
      <c r="W265" s="64"/>
      <c r="X265" s="64"/>
      <c r="Y265" s="55"/>
      <c r="Z265" s="55"/>
      <c r="AA265" s="55"/>
      <c r="AB265" s="64"/>
      <c r="AC265" s="64"/>
      <c r="AD265" s="64"/>
      <c r="AE265" s="64"/>
      <c r="AF265" s="64"/>
      <c r="AG265" s="55"/>
      <c r="AH265" s="55"/>
      <c r="AI265" s="64"/>
      <c r="AJ265" s="64"/>
      <c r="AK265" s="64"/>
      <c r="AL265" s="64"/>
      <c r="AM265" s="64"/>
      <c r="AN265" s="64"/>
      <c r="AO265" s="55"/>
      <c r="AP265" s="55"/>
      <c r="AQ265" s="64"/>
      <c r="AR265" s="64"/>
      <c r="AS265" s="64"/>
      <c r="AT265" s="64"/>
      <c r="AU265" s="64"/>
      <c r="AV265" s="55"/>
      <c r="AW265" s="55"/>
      <c r="AX265" s="64"/>
      <c r="AY265" s="64"/>
      <c r="AZ265" s="64"/>
      <c r="BA265" s="64"/>
      <c r="BB265" s="64"/>
      <c r="BC265" s="55"/>
      <c r="BD265" s="55"/>
      <c r="BE265" s="64"/>
      <c r="BF265" s="55"/>
      <c r="BG265" s="64"/>
      <c r="BH265" s="64"/>
      <c r="BI265" s="64"/>
      <c r="BJ265" s="64"/>
      <c r="BK265" s="55"/>
      <c r="BL265" s="55"/>
      <c r="BM265" s="55"/>
      <c r="BN265" s="64"/>
      <c r="BO265" s="64"/>
      <c r="BP265" s="64"/>
      <c r="BQ265" s="64"/>
      <c r="BR265" s="64"/>
      <c r="BS265" s="64"/>
      <c r="BT265" s="64"/>
      <c r="BU265" s="64"/>
      <c r="BV265" s="64"/>
      <c r="BW265" s="55"/>
      <c r="BX265" s="55"/>
      <c r="BY265" s="55"/>
      <c r="BZ265" s="55"/>
      <c r="CA265" s="55"/>
      <c r="CB265" s="55"/>
      <c r="CC265" s="55"/>
      <c r="CD265" s="55"/>
      <c r="CE265" s="55"/>
      <c r="CF265" s="55"/>
      <c r="CG265" s="55"/>
      <c r="CH265" s="55"/>
    </row>
    <row r="266" ht="16.5" customHeight="1">
      <c r="A266" s="55"/>
      <c r="B266" s="55"/>
      <c r="C266" s="55"/>
      <c r="D266" s="55"/>
      <c r="E266" s="55"/>
      <c r="F266" s="55"/>
      <c r="G266" s="55"/>
      <c r="H266" s="64"/>
      <c r="I266" s="64"/>
      <c r="J266" s="64"/>
      <c r="K266" s="64"/>
      <c r="L266" s="64"/>
      <c r="M266" s="64"/>
      <c r="N266" s="64"/>
      <c r="O266" s="64"/>
      <c r="P266" s="64"/>
      <c r="Q266" s="64"/>
      <c r="R266" s="64"/>
      <c r="S266" s="64"/>
      <c r="T266" s="55"/>
      <c r="U266" s="55"/>
      <c r="V266" s="55"/>
      <c r="W266" s="64"/>
      <c r="X266" s="64"/>
      <c r="Y266" s="55"/>
      <c r="Z266" s="55"/>
      <c r="AA266" s="55"/>
      <c r="AB266" s="64"/>
      <c r="AC266" s="64"/>
      <c r="AD266" s="64"/>
      <c r="AE266" s="64"/>
      <c r="AF266" s="64"/>
      <c r="AG266" s="55"/>
      <c r="AH266" s="55"/>
      <c r="AI266" s="64"/>
      <c r="AJ266" s="64"/>
      <c r="AK266" s="64"/>
      <c r="AL266" s="64"/>
      <c r="AM266" s="64"/>
      <c r="AN266" s="64"/>
      <c r="AO266" s="55"/>
      <c r="AP266" s="55"/>
      <c r="AQ266" s="64"/>
      <c r="AR266" s="64"/>
      <c r="AS266" s="64"/>
      <c r="AT266" s="64"/>
      <c r="AU266" s="64"/>
      <c r="AV266" s="55"/>
      <c r="AW266" s="55"/>
      <c r="AX266" s="64"/>
      <c r="AY266" s="64"/>
      <c r="AZ266" s="64"/>
      <c r="BA266" s="64"/>
      <c r="BB266" s="64"/>
      <c r="BC266" s="55"/>
      <c r="BD266" s="55"/>
      <c r="BE266" s="64"/>
      <c r="BF266" s="55"/>
      <c r="BG266" s="64"/>
      <c r="BH266" s="64"/>
      <c r="BI266" s="64"/>
      <c r="BJ266" s="64"/>
      <c r="BK266" s="55"/>
      <c r="BL266" s="55"/>
      <c r="BM266" s="55"/>
      <c r="BN266" s="64"/>
      <c r="BO266" s="64"/>
      <c r="BP266" s="64"/>
      <c r="BQ266" s="64"/>
      <c r="BR266" s="64"/>
      <c r="BS266" s="64"/>
      <c r="BT266" s="64"/>
      <c r="BU266" s="64"/>
      <c r="BV266" s="64"/>
      <c r="BW266" s="55"/>
      <c r="BX266" s="55"/>
      <c r="BY266" s="55"/>
      <c r="BZ266" s="55"/>
      <c r="CA266" s="55"/>
      <c r="CB266" s="55"/>
      <c r="CC266" s="55"/>
      <c r="CD266" s="55"/>
      <c r="CE266" s="55"/>
      <c r="CF266" s="55"/>
      <c r="CG266" s="55"/>
      <c r="CH266" s="55"/>
    </row>
    <row r="267" ht="16.5" customHeight="1">
      <c r="A267" s="55"/>
      <c r="B267" s="55"/>
      <c r="C267" s="55"/>
      <c r="D267" s="55"/>
      <c r="E267" s="55"/>
      <c r="F267" s="55"/>
      <c r="G267" s="55"/>
      <c r="H267" s="64"/>
      <c r="I267" s="64"/>
      <c r="J267" s="64"/>
      <c r="K267" s="64"/>
      <c r="L267" s="64"/>
      <c r="M267" s="64"/>
      <c r="N267" s="64"/>
      <c r="O267" s="64"/>
      <c r="P267" s="64"/>
      <c r="Q267" s="64"/>
      <c r="R267" s="64"/>
      <c r="S267" s="64"/>
      <c r="T267" s="55"/>
      <c r="U267" s="55"/>
      <c r="V267" s="55"/>
      <c r="W267" s="64"/>
      <c r="X267" s="64"/>
      <c r="Y267" s="55"/>
      <c r="Z267" s="55"/>
      <c r="AA267" s="55"/>
      <c r="AB267" s="64"/>
      <c r="AC267" s="64"/>
      <c r="AD267" s="64"/>
      <c r="AE267" s="64"/>
      <c r="AF267" s="64"/>
      <c r="AG267" s="55"/>
      <c r="AH267" s="55"/>
      <c r="AI267" s="64"/>
      <c r="AJ267" s="64"/>
      <c r="AK267" s="64"/>
      <c r="AL267" s="64"/>
      <c r="AM267" s="64"/>
      <c r="AN267" s="64"/>
      <c r="AO267" s="55"/>
      <c r="AP267" s="55"/>
      <c r="AQ267" s="64"/>
      <c r="AR267" s="64"/>
      <c r="AS267" s="64"/>
      <c r="AT267" s="64"/>
      <c r="AU267" s="64"/>
      <c r="AV267" s="55"/>
      <c r="AW267" s="55"/>
      <c r="AX267" s="64"/>
      <c r="AY267" s="64"/>
      <c r="AZ267" s="64"/>
      <c r="BA267" s="64"/>
      <c r="BB267" s="64"/>
      <c r="BC267" s="55"/>
      <c r="BD267" s="55"/>
      <c r="BE267" s="64"/>
      <c r="BF267" s="55"/>
      <c r="BG267" s="64"/>
      <c r="BH267" s="64"/>
      <c r="BI267" s="64"/>
      <c r="BJ267" s="64"/>
      <c r="BK267" s="55"/>
      <c r="BL267" s="55"/>
      <c r="BM267" s="55"/>
      <c r="BN267" s="64"/>
      <c r="BO267" s="64"/>
      <c r="BP267" s="64"/>
      <c r="BQ267" s="64"/>
      <c r="BR267" s="64"/>
      <c r="BS267" s="64"/>
      <c r="BT267" s="64"/>
      <c r="BU267" s="64"/>
      <c r="BV267" s="64"/>
      <c r="BW267" s="55"/>
      <c r="BX267" s="55"/>
      <c r="BY267" s="55"/>
      <c r="BZ267" s="55"/>
      <c r="CA267" s="55"/>
      <c r="CB267" s="55"/>
      <c r="CC267" s="55"/>
      <c r="CD267" s="55"/>
      <c r="CE267" s="55"/>
      <c r="CF267" s="55"/>
      <c r="CG267" s="55"/>
      <c r="CH267" s="55"/>
    </row>
    <row r="268" ht="16.5" customHeight="1">
      <c r="A268" s="55"/>
      <c r="B268" s="55"/>
      <c r="C268" s="55"/>
      <c r="D268" s="55"/>
      <c r="E268" s="55"/>
      <c r="F268" s="55"/>
      <c r="G268" s="55"/>
      <c r="H268" s="64"/>
      <c r="I268" s="64"/>
      <c r="J268" s="64"/>
      <c r="K268" s="64"/>
      <c r="L268" s="64"/>
      <c r="M268" s="64"/>
      <c r="N268" s="64"/>
      <c r="O268" s="64"/>
      <c r="P268" s="64"/>
      <c r="Q268" s="64"/>
      <c r="R268" s="64"/>
      <c r="S268" s="64"/>
      <c r="T268" s="55"/>
      <c r="U268" s="55"/>
      <c r="V268" s="55"/>
      <c r="W268" s="64"/>
      <c r="X268" s="64"/>
      <c r="Y268" s="55"/>
      <c r="Z268" s="55"/>
      <c r="AA268" s="55"/>
      <c r="AB268" s="64"/>
      <c r="AC268" s="64"/>
      <c r="AD268" s="64"/>
      <c r="AE268" s="64"/>
      <c r="AF268" s="64"/>
      <c r="AG268" s="55"/>
      <c r="AH268" s="55"/>
      <c r="AI268" s="64"/>
      <c r="AJ268" s="64"/>
      <c r="AK268" s="64"/>
      <c r="AL268" s="64"/>
      <c r="AM268" s="64"/>
      <c r="AN268" s="64"/>
      <c r="AO268" s="55"/>
      <c r="AP268" s="55"/>
      <c r="AQ268" s="64"/>
      <c r="AR268" s="64"/>
      <c r="AS268" s="64"/>
      <c r="AT268" s="64"/>
      <c r="AU268" s="64"/>
      <c r="AV268" s="55"/>
      <c r="AW268" s="55"/>
      <c r="AX268" s="64"/>
      <c r="AY268" s="64"/>
      <c r="AZ268" s="64"/>
      <c r="BA268" s="64"/>
      <c r="BB268" s="64"/>
      <c r="BC268" s="55"/>
      <c r="BD268" s="55"/>
      <c r="BE268" s="64"/>
      <c r="BF268" s="55"/>
      <c r="BG268" s="64"/>
      <c r="BH268" s="64"/>
      <c r="BI268" s="64"/>
      <c r="BJ268" s="64"/>
      <c r="BK268" s="55"/>
      <c r="BL268" s="55"/>
      <c r="BM268" s="55"/>
      <c r="BN268" s="64"/>
      <c r="BO268" s="64"/>
      <c r="BP268" s="64"/>
      <c r="BQ268" s="64"/>
      <c r="BR268" s="64"/>
      <c r="BS268" s="64"/>
      <c r="BT268" s="64"/>
      <c r="BU268" s="64"/>
      <c r="BV268" s="64"/>
      <c r="BW268" s="55"/>
      <c r="BX268" s="55"/>
      <c r="BY268" s="55"/>
      <c r="BZ268" s="55"/>
      <c r="CA268" s="55"/>
      <c r="CB268" s="55"/>
      <c r="CC268" s="55"/>
      <c r="CD268" s="55"/>
      <c r="CE268" s="55"/>
      <c r="CF268" s="55"/>
      <c r="CG268" s="55"/>
      <c r="CH268" s="55"/>
    </row>
    <row r="269" ht="16.5" customHeight="1">
      <c r="A269" s="55"/>
      <c r="B269" s="55"/>
      <c r="C269" s="55"/>
      <c r="D269" s="55"/>
      <c r="E269" s="55"/>
      <c r="F269" s="55"/>
      <c r="G269" s="55"/>
      <c r="H269" s="64"/>
      <c r="I269" s="64"/>
      <c r="J269" s="64"/>
      <c r="K269" s="64"/>
      <c r="L269" s="64"/>
      <c r="M269" s="64"/>
      <c r="N269" s="64"/>
      <c r="O269" s="64"/>
      <c r="P269" s="64"/>
      <c r="Q269" s="64"/>
      <c r="R269" s="64"/>
      <c r="S269" s="64"/>
      <c r="T269" s="55"/>
      <c r="U269" s="55"/>
      <c r="V269" s="55"/>
      <c r="W269" s="64"/>
      <c r="X269" s="64"/>
      <c r="Y269" s="55"/>
      <c r="Z269" s="55"/>
      <c r="AA269" s="55"/>
      <c r="AB269" s="64"/>
      <c r="AC269" s="64"/>
      <c r="AD269" s="64"/>
      <c r="AE269" s="64"/>
      <c r="AF269" s="64"/>
      <c r="AG269" s="55"/>
      <c r="AH269" s="55"/>
      <c r="AI269" s="64"/>
      <c r="AJ269" s="64"/>
      <c r="AK269" s="64"/>
      <c r="AL269" s="64"/>
      <c r="AM269" s="64"/>
      <c r="AN269" s="64"/>
      <c r="AO269" s="55"/>
      <c r="AP269" s="55"/>
      <c r="AQ269" s="64"/>
      <c r="AR269" s="64"/>
      <c r="AS269" s="64"/>
      <c r="AT269" s="64"/>
      <c r="AU269" s="64"/>
      <c r="AV269" s="55"/>
      <c r="AW269" s="55"/>
      <c r="AX269" s="64"/>
      <c r="AY269" s="64"/>
      <c r="AZ269" s="64"/>
      <c r="BA269" s="64"/>
      <c r="BB269" s="64"/>
      <c r="BC269" s="55"/>
      <c r="BD269" s="55"/>
      <c r="BE269" s="64"/>
      <c r="BF269" s="55"/>
      <c r="BG269" s="64"/>
      <c r="BH269" s="64"/>
      <c r="BI269" s="64"/>
      <c r="BJ269" s="64"/>
      <c r="BK269" s="55"/>
      <c r="BL269" s="55"/>
      <c r="BM269" s="55"/>
      <c r="BN269" s="64"/>
      <c r="BO269" s="64"/>
      <c r="BP269" s="64"/>
      <c r="BQ269" s="64"/>
      <c r="BR269" s="64"/>
      <c r="BS269" s="64"/>
      <c r="BT269" s="64"/>
      <c r="BU269" s="64"/>
      <c r="BV269" s="64"/>
      <c r="BW269" s="55"/>
      <c r="BX269" s="55"/>
      <c r="BY269" s="55"/>
      <c r="BZ269" s="55"/>
      <c r="CA269" s="55"/>
      <c r="CB269" s="55"/>
      <c r="CC269" s="55"/>
      <c r="CD269" s="55"/>
      <c r="CE269" s="55"/>
      <c r="CF269" s="55"/>
      <c r="CG269" s="55"/>
      <c r="CH269" s="55"/>
    </row>
    <row r="270" ht="16.5" customHeight="1">
      <c r="A270" s="55"/>
      <c r="B270" s="55"/>
      <c r="C270" s="55"/>
      <c r="D270" s="55"/>
      <c r="E270" s="55"/>
      <c r="F270" s="55"/>
      <c r="G270" s="55"/>
      <c r="H270" s="64"/>
      <c r="I270" s="64"/>
      <c r="J270" s="64"/>
      <c r="K270" s="64"/>
      <c r="L270" s="64"/>
      <c r="M270" s="64"/>
      <c r="N270" s="64"/>
      <c r="O270" s="64"/>
      <c r="P270" s="64"/>
      <c r="Q270" s="64"/>
      <c r="R270" s="64"/>
      <c r="S270" s="64"/>
      <c r="T270" s="55"/>
      <c r="U270" s="55"/>
      <c r="V270" s="55"/>
      <c r="W270" s="64"/>
      <c r="X270" s="64"/>
      <c r="Y270" s="55"/>
      <c r="Z270" s="55"/>
      <c r="AA270" s="55"/>
      <c r="AB270" s="64"/>
      <c r="AC270" s="64"/>
      <c r="AD270" s="64"/>
      <c r="AE270" s="64"/>
      <c r="AF270" s="64"/>
      <c r="AG270" s="55"/>
      <c r="AH270" s="55"/>
      <c r="AI270" s="64"/>
      <c r="AJ270" s="64"/>
      <c r="AK270" s="64"/>
      <c r="AL270" s="64"/>
      <c r="AM270" s="64"/>
      <c r="AN270" s="64"/>
      <c r="AO270" s="55"/>
      <c r="AP270" s="55"/>
      <c r="AQ270" s="64"/>
      <c r="AR270" s="64"/>
      <c r="AS270" s="64"/>
      <c r="AT270" s="64"/>
      <c r="AU270" s="64"/>
      <c r="AV270" s="55"/>
      <c r="AW270" s="55"/>
      <c r="AX270" s="64"/>
      <c r="AY270" s="64"/>
      <c r="AZ270" s="64"/>
      <c r="BA270" s="64"/>
      <c r="BB270" s="64"/>
      <c r="BC270" s="55"/>
      <c r="BD270" s="55"/>
      <c r="BE270" s="64"/>
      <c r="BF270" s="55"/>
      <c r="BG270" s="64"/>
      <c r="BH270" s="64"/>
      <c r="BI270" s="64"/>
      <c r="BJ270" s="64"/>
      <c r="BK270" s="55"/>
      <c r="BL270" s="55"/>
      <c r="BM270" s="55"/>
      <c r="BN270" s="64"/>
      <c r="BO270" s="64"/>
      <c r="BP270" s="64"/>
      <c r="BQ270" s="64"/>
      <c r="BR270" s="64"/>
      <c r="BS270" s="64"/>
      <c r="BT270" s="64"/>
      <c r="BU270" s="64"/>
      <c r="BV270" s="64"/>
      <c r="BW270" s="55"/>
      <c r="BX270" s="55"/>
      <c r="BY270" s="55"/>
      <c r="BZ270" s="55"/>
      <c r="CA270" s="55"/>
      <c r="CB270" s="55"/>
      <c r="CC270" s="55"/>
      <c r="CD270" s="55"/>
      <c r="CE270" s="55"/>
      <c r="CF270" s="55"/>
      <c r="CG270" s="55"/>
      <c r="CH270" s="55"/>
    </row>
    <row r="271" ht="16.5" customHeight="1">
      <c r="A271" s="55"/>
      <c r="B271" s="55"/>
      <c r="C271" s="55"/>
      <c r="D271" s="55"/>
      <c r="E271" s="55"/>
      <c r="F271" s="55"/>
      <c r="G271" s="55"/>
      <c r="H271" s="64"/>
      <c r="I271" s="64"/>
      <c r="J271" s="64"/>
      <c r="K271" s="64"/>
      <c r="L271" s="64"/>
      <c r="M271" s="64"/>
      <c r="N271" s="64"/>
      <c r="O271" s="64"/>
      <c r="P271" s="64"/>
      <c r="Q271" s="64"/>
      <c r="R271" s="64"/>
      <c r="S271" s="64"/>
      <c r="T271" s="55"/>
      <c r="U271" s="55"/>
      <c r="V271" s="55"/>
      <c r="W271" s="64"/>
      <c r="X271" s="64"/>
      <c r="Y271" s="55"/>
      <c r="Z271" s="55"/>
      <c r="AA271" s="55"/>
      <c r="AB271" s="64"/>
      <c r="AC271" s="64"/>
      <c r="AD271" s="64"/>
      <c r="AE271" s="64"/>
      <c r="AF271" s="64"/>
      <c r="AG271" s="55"/>
      <c r="AH271" s="55"/>
      <c r="AI271" s="64"/>
      <c r="AJ271" s="64"/>
      <c r="AK271" s="64"/>
      <c r="AL271" s="64"/>
      <c r="AM271" s="64"/>
      <c r="AN271" s="64"/>
      <c r="AO271" s="55"/>
      <c r="AP271" s="55"/>
      <c r="AQ271" s="64"/>
      <c r="AR271" s="64"/>
      <c r="AS271" s="64"/>
      <c r="AT271" s="64"/>
      <c r="AU271" s="64"/>
      <c r="AV271" s="55"/>
      <c r="AW271" s="55"/>
      <c r="AX271" s="64"/>
      <c r="AY271" s="64"/>
      <c r="AZ271" s="64"/>
      <c r="BA271" s="64"/>
      <c r="BB271" s="64"/>
      <c r="BC271" s="55"/>
      <c r="BD271" s="55"/>
      <c r="BE271" s="64"/>
      <c r="BF271" s="55"/>
      <c r="BG271" s="64"/>
      <c r="BH271" s="64"/>
      <c r="BI271" s="64"/>
      <c r="BJ271" s="64"/>
      <c r="BK271" s="55"/>
      <c r="BL271" s="55"/>
      <c r="BM271" s="55"/>
      <c r="BN271" s="64"/>
      <c r="BO271" s="64"/>
      <c r="BP271" s="64"/>
      <c r="BQ271" s="64"/>
      <c r="BR271" s="64"/>
      <c r="BS271" s="64"/>
      <c r="BT271" s="64"/>
      <c r="BU271" s="64"/>
      <c r="BV271" s="64"/>
      <c r="BW271" s="55"/>
      <c r="BX271" s="55"/>
      <c r="BY271" s="55"/>
      <c r="BZ271" s="55"/>
      <c r="CA271" s="55"/>
      <c r="CB271" s="55"/>
      <c r="CC271" s="55"/>
      <c r="CD271" s="55"/>
      <c r="CE271" s="55"/>
      <c r="CF271" s="55"/>
      <c r="CG271" s="55"/>
      <c r="CH271" s="55"/>
    </row>
    <row r="272" ht="16.5" customHeight="1">
      <c r="A272" s="55"/>
      <c r="B272" s="55"/>
      <c r="C272" s="55"/>
      <c r="D272" s="55"/>
      <c r="E272" s="55"/>
      <c r="F272" s="55"/>
      <c r="G272" s="55"/>
      <c r="H272" s="64"/>
      <c r="I272" s="64"/>
      <c r="J272" s="64"/>
      <c r="K272" s="64"/>
      <c r="L272" s="64"/>
      <c r="M272" s="64"/>
      <c r="N272" s="64"/>
      <c r="O272" s="64"/>
      <c r="P272" s="64"/>
      <c r="Q272" s="64"/>
      <c r="R272" s="64"/>
      <c r="S272" s="64"/>
      <c r="T272" s="55"/>
      <c r="U272" s="55"/>
      <c r="V272" s="55"/>
      <c r="W272" s="64"/>
      <c r="X272" s="64"/>
      <c r="Y272" s="55"/>
      <c r="Z272" s="55"/>
      <c r="AA272" s="55"/>
      <c r="AB272" s="64"/>
      <c r="AC272" s="64"/>
      <c r="AD272" s="64"/>
      <c r="AE272" s="64"/>
      <c r="AF272" s="64"/>
      <c r="AG272" s="55"/>
      <c r="AH272" s="55"/>
      <c r="AI272" s="64"/>
      <c r="AJ272" s="64"/>
      <c r="AK272" s="64"/>
      <c r="AL272" s="64"/>
      <c r="AM272" s="64"/>
      <c r="AN272" s="64"/>
      <c r="AO272" s="55"/>
      <c r="AP272" s="55"/>
      <c r="AQ272" s="64"/>
      <c r="AR272" s="64"/>
      <c r="AS272" s="64"/>
      <c r="AT272" s="64"/>
      <c r="AU272" s="64"/>
      <c r="AV272" s="55"/>
      <c r="AW272" s="55"/>
      <c r="AX272" s="64"/>
      <c r="AY272" s="64"/>
      <c r="AZ272" s="64"/>
      <c r="BA272" s="64"/>
      <c r="BB272" s="64"/>
      <c r="BC272" s="55"/>
      <c r="BD272" s="55"/>
      <c r="BE272" s="64"/>
      <c r="BF272" s="55"/>
      <c r="BG272" s="64"/>
      <c r="BH272" s="64"/>
      <c r="BI272" s="64"/>
      <c r="BJ272" s="64"/>
      <c r="BK272" s="55"/>
      <c r="BL272" s="55"/>
      <c r="BM272" s="55"/>
      <c r="BN272" s="64"/>
      <c r="BO272" s="64"/>
      <c r="BP272" s="64"/>
      <c r="BQ272" s="64"/>
      <c r="BR272" s="64"/>
      <c r="BS272" s="64"/>
      <c r="BT272" s="64"/>
      <c r="BU272" s="64"/>
      <c r="BV272" s="64"/>
      <c r="BW272" s="55"/>
      <c r="BX272" s="55"/>
      <c r="BY272" s="55"/>
      <c r="BZ272" s="55"/>
      <c r="CA272" s="55"/>
      <c r="CB272" s="55"/>
      <c r="CC272" s="55"/>
      <c r="CD272" s="55"/>
      <c r="CE272" s="55"/>
      <c r="CF272" s="55"/>
      <c r="CG272" s="55"/>
      <c r="CH272" s="55"/>
    </row>
    <row r="273" ht="16.5" customHeight="1">
      <c r="A273" s="55"/>
      <c r="B273" s="55"/>
      <c r="C273" s="55"/>
      <c r="D273" s="55"/>
      <c r="E273" s="55"/>
      <c r="F273" s="55"/>
      <c r="G273" s="55"/>
      <c r="H273" s="64"/>
      <c r="I273" s="64"/>
      <c r="J273" s="64"/>
      <c r="K273" s="64"/>
      <c r="L273" s="64"/>
      <c r="M273" s="64"/>
      <c r="N273" s="64"/>
      <c r="O273" s="64"/>
      <c r="P273" s="64"/>
      <c r="Q273" s="64"/>
      <c r="R273" s="64"/>
      <c r="S273" s="64"/>
      <c r="T273" s="55"/>
      <c r="U273" s="55"/>
      <c r="V273" s="55"/>
      <c r="W273" s="64"/>
      <c r="X273" s="64"/>
      <c r="Y273" s="55"/>
      <c r="Z273" s="55"/>
      <c r="AA273" s="55"/>
      <c r="AB273" s="64"/>
      <c r="AC273" s="64"/>
      <c r="AD273" s="64"/>
      <c r="AE273" s="64"/>
      <c r="AF273" s="64"/>
      <c r="AG273" s="55"/>
      <c r="AH273" s="55"/>
      <c r="AI273" s="64"/>
      <c r="AJ273" s="64"/>
      <c r="AK273" s="64"/>
      <c r="AL273" s="64"/>
      <c r="AM273" s="64"/>
      <c r="AN273" s="64"/>
      <c r="AO273" s="55"/>
      <c r="AP273" s="55"/>
      <c r="AQ273" s="64"/>
      <c r="AR273" s="64"/>
      <c r="AS273" s="64"/>
      <c r="AT273" s="64"/>
      <c r="AU273" s="64"/>
      <c r="AV273" s="55"/>
      <c r="AW273" s="55"/>
      <c r="AX273" s="64"/>
      <c r="AY273" s="64"/>
      <c r="AZ273" s="64"/>
      <c r="BA273" s="64"/>
      <c r="BB273" s="64"/>
      <c r="BC273" s="55"/>
      <c r="BD273" s="55"/>
      <c r="BE273" s="64"/>
      <c r="BF273" s="55"/>
      <c r="BG273" s="64"/>
      <c r="BH273" s="64"/>
      <c r="BI273" s="64"/>
      <c r="BJ273" s="64"/>
      <c r="BK273" s="55"/>
      <c r="BL273" s="55"/>
      <c r="BM273" s="55"/>
      <c r="BN273" s="64"/>
      <c r="BO273" s="64"/>
      <c r="BP273" s="64"/>
      <c r="BQ273" s="64"/>
      <c r="BR273" s="64"/>
      <c r="BS273" s="64"/>
      <c r="BT273" s="64"/>
      <c r="BU273" s="64"/>
      <c r="BV273" s="64"/>
      <c r="BW273" s="55"/>
      <c r="BX273" s="55"/>
      <c r="BY273" s="55"/>
      <c r="BZ273" s="55"/>
      <c r="CA273" s="55"/>
      <c r="CB273" s="55"/>
      <c r="CC273" s="55"/>
      <c r="CD273" s="55"/>
      <c r="CE273" s="55"/>
      <c r="CF273" s="55"/>
      <c r="CG273" s="55"/>
      <c r="CH273" s="55"/>
    </row>
    <row r="274" ht="16.5" customHeight="1">
      <c r="A274" s="55"/>
      <c r="B274" s="55"/>
      <c r="C274" s="55"/>
      <c r="D274" s="55"/>
      <c r="E274" s="55"/>
      <c r="F274" s="55"/>
      <c r="G274" s="55"/>
      <c r="H274" s="64"/>
      <c r="I274" s="64"/>
      <c r="J274" s="64"/>
      <c r="K274" s="64"/>
      <c r="L274" s="64"/>
      <c r="M274" s="64"/>
      <c r="N274" s="64"/>
      <c r="O274" s="64"/>
      <c r="P274" s="64"/>
      <c r="Q274" s="64"/>
      <c r="R274" s="64"/>
      <c r="S274" s="64"/>
      <c r="T274" s="55"/>
      <c r="U274" s="55"/>
      <c r="V274" s="55"/>
      <c r="W274" s="64"/>
      <c r="X274" s="64"/>
      <c r="Y274" s="55"/>
      <c r="Z274" s="55"/>
      <c r="AA274" s="55"/>
      <c r="AB274" s="64"/>
      <c r="AC274" s="64"/>
      <c r="AD274" s="64"/>
      <c r="AE274" s="64"/>
      <c r="AF274" s="64"/>
      <c r="AG274" s="55"/>
      <c r="AH274" s="55"/>
      <c r="AI274" s="64"/>
      <c r="AJ274" s="64"/>
      <c r="AK274" s="64"/>
      <c r="AL274" s="64"/>
      <c r="AM274" s="64"/>
      <c r="AN274" s="64"/>
      <c r="AO274" s="55"/>
      <c r="AP274" s="55"/>
      <c r="AQ274" s="64"/>
      <c r="AR274" s="64"/>
      <c r="AS274" s="64"/>
      <c r="AT274" s="64"/>
      <c r="AU274" s="64"/>
      <c r="AV274" s="55"/>
      <c r="AW274" s="55"/>
      <c r="AX274" s="64"/>
      <c r="AY274" s="64"/>
      <c r="AZ274" s="64"/>
      <c r="BA274" s="64"/>
      <c r="BB274" s="64"/>
      <c r="BC274" s="55"/>
      <c r="BD274" s="55"/>
      <c r="BE274" s="64"/>
      <c r="BF274" s="55"/>
      <c r="BG274" s="64"/>
      <c r="BH274" s="64"/>
      <c r="BI274" s="64"/>
      <c r="BJ274" s="64"/>
      <c r="BK274" s="55"/>
      <c r="BL274" s="55"/>
      <c r="BM274" s="55"/>
      <c r="BN274" s="64"/>
      <c r="BO274" s="64"/>
      <c r="BP274" s="64"/>
      <c r="BQ274" s="64"/>
      <c r="BR274" s="64"/>
      <c r="BS274" s="64"/>
      <c r="BT274" s="64"/>
      <c r="BU274" s="64"/>
      <c r="BV274" s="64"/>
      <c r="BW274" s="55"/>
      <c r="BX274" s="55"/>
      <c r="BY274" s="55"/>
      <c r="BZ274" s="55"/>
      <c r="CA274" s="55"/>
      <c r="CB274" s="55"/>
      <c r="CC274" s="55"/>
      <c r="CD274" s="55"/>
      <c r="CE274" s="55"/>
      <c r="CF274" s="55"/>
      <c r="CG274" s="55"/>
      <c r="CH274" s="55"/>
    </row>
    <row r="275" ht="16.5" customHeight="1">
      <c r="A275" s="55"/>
      <c r="B275" s="55"/>
      <c r="C275" s="55"/>
      <c r="D275" s="55"/>
      <c r="E275" s="55"/>
      <c r="F275" s="55"/>
      <c r="G275" s="55"/>
      <c r="H275" s="64"/>
      <c r="I275" s="64"/>
      <c r="J275" s="64"/>
      <c r="K275" s="64"/>
      <c r="L275" s="64"/>
      <c r="M275" s="64"/>
      <c r="N275" s="64"/>
      <c r="O275" s="64"/>
      <c r="P275" s="64"/>
      <c r="Q275" s="64"/>
      <c r="R275" s="64"/>
      <c r="S275" s="64"/>
      <c r="T275" s="55"/>
      <c r="U275" s="55"/>
      <c r="V275" s="55"/>
      <c r="W275" s="64"/>
      <c r="X275" s="64"/>
      <c r="Y275" s="55"/>
      <c r="Z275" s="55"/>
      <c r="AA275" s="55"/>
      <c r="AB275" s="64"/>
      <c r="AC275" s="64"/>
      <c r="AD275" s="64"/>
      <c r="AE275" s="64"/>
      <c r="AF275" s="64"/>
      <c r="AG275" s="55"/>
      <c r="AH275" s="55"/>
      <c r="AI275" s="64"/>
      <c r="AJ275" s="64"/>
      <c r="AK275" s="64"/>
      <c r="AL275" s="64"/>
      <c r="AM275" s="64"/>
      <c r="AN275" s="64"/>
      <c r="AO275" s="55"/>
      <c r="AP275" s="55"/>
      <c r="AQ275" s="64"/>
      <c r="AR275" s="64"/>
      <c r="AS275" s="64"/>
      <c r="AT275" s="64"/>
      <c r="AU275" s="64"/>
      <c r="AV275" s="55"/>
      <c r="AW275" s="55"/>
      <c r="AX275" s="64"/>
      <c r="AY275" s="64"/>
      <c r="AZ275" s="64"/>
      <c r="BA275" s="64"/>
      <c r="BB275" s="64"/>
      <c r="BC275" s="55"/>
      <c r="BD275" s="55"/>
      <c r="BE275" s="64"/>
      <c r="BF275" s="55"/>
      <c r="BG275" s="64"/>
      <c r="BH275" s="64"/>
      <c r="BI275" s="64"/>
      <c r="BJ275" s="64"/>
      <c r="BK275" s="55"/>
      <c r="BL275" s="55"/>
      <c r="BM275" s="55"/>
      <c r="BN275" s="64"/>
      <c r="BO275" s="64"/>
      <c r="BP275" s="64"/>
      <c r="BQ275" s="64"/>
      <c r="BR275" s="64"/>
      <c r="BS275" s="64"/>
      <c r="BT275" s="64"/>
      <c r="BU275" s="64"/>
      <c r="BV275" s="64"/>
      <c r="BW275" s="55"/>
      <c r="BX275" s="55"/>
      <c r="BY275" s="55"/>
      <c r="BZ275" s="55"/>
      <c r="CA275" s="55"/>
      <c r="CB275" s="55"/>
      <c r="CC275" s="55"/>
      <c r="CD275" s="55"/>
      <c r="CE275" s="55"/>
      <c r="CF275" s="55"/>
      <c r="CG275" s="55"/>
      <c r="CH275" s="55"/>
    </row>
    <row r="276" ht="16.5" customHeight="1">
      <c r="A276" s="55"/>
      <c r="B276" s="55"/>
      <c r="C276" s="55"/>
      <c r="D276" s="55"/>
      <c r="E276" s="55"/>
      <c r="F276" s="55"/>
      <c r="G276" s="55"/>
      <c r="H276" s="64"/>
      <c r="I276" s="64"/>
      <c r="J276" s="64"/>
      <c r="K276" s="64"/>
      <c r="L276" s="64"/>
      <c r="M276" s="64"/>
      <c r="N276" s="64"/>
      <c r="O276" s="64"/>
      <c r="P276" s="64"/>
      <c r="Q276" s="64"/>
      <c r="R276" s="64"/>
      <c r="S276" s="64"/>
      <c r="T276" s="55"/>
      <c r="U276" s="55"/>
      <c r="V276" s="55"/>
      <c r="W276" s="64"/>
      <c r="X276" s="64"/>
      <c r="Y276" s="55"/>
      <c r="Z276" s="55"/>
      <c r="AA276" s="55"/>
      <c r="AB276" s="64"/>
      <c r="AC276" s="64"/>
      <c r="AD276" s="64"/>
      <c r="AE276" s="64"/>
      <c r="AF276" s="64"/>
      <c r="AG276" s="55"/>
      <c r="AH276" s="55"/>
      <c r="AI276" s="64"/>
      <c r="AJ276" s="64"/>
      <c r="AK276" s="64"/>
      <c r="AL276" s="64"/>
      <c r="AM276" s="64"/>
      <c r="AN276" s="64"/>
      <c r="AO276" s="55"/>
      <c r="AP276" s="55"/>
      <c r="AQ276" s="64"/>
      <c r="AR276" s="64"/>
      <c r="AS276" s="64"/>
      <c r="AT276" s="64"/>
      <c r="AU276" s="64"/>
      <c r="AV276" s="55"/>
      <c r="AW276" s="55"/>
      <c r="AX276" s="64"/>
      <c r="AY276" s="64"/>
      <c r="AZ276" s="64"/>
      <c r="BA276" s="64"/>
      <c r="BB276" s="64"/>
      <c r="BC276" s="55"/>
      <c r="BD276" s="55"/>
      <c r="BE276" s="64"/>
      <c r="BF276" s="55"/>
      <c r="BG276" s="64"/>
      <c r="BH276" s="64"/>
      <c r="BI276" s="64"/>
      <c r="BJ276" s="64"/>
      <c r="BK276" s="55"/>
      <c r="BL276" s="55"/>
      <c r="BM276" s="55"/>
      <c r="BN276" s="64"/>
      <c r="BO276" s="64"/>
      <c r="BP276" s="64"/>
      <c r="BQ276" s="64"/>
      <c r="BR276" s="64"/>
      <c r="BS276" s="64"/>
      <c r="BT276" s="64"/>
      <c r="BU276" s="64"/>
      <c r="BV276" s="64"/>
      <c r="BW276" s="55"/>
      <c r="BX276" s="55"/>
      <c r="BY276" s="55"/>
      <c r="BZ276" s="55"/>
      <c r="CA276" s="55"/>
      <c r="CB276" s="55"/>
      <c r="CC276" s="55"/>
      <c r="CD276" s="55"/>
      <c r="CE276" s="55"/>
      <c r="CF276" s="55"/>
      <c r="CG276" s="55"/>
      <c r="CH276" s="55"/>
    </row>
    <row r="277" ht="16.5" customHeight="1">
      <c r="A277" s="55"/>
      <c r="B277" s="55"/>
      <c r="C277" s="55"/>
      <c r="D277" s="55"/>
      <c r="E277" s="55"/>
      <c r="F277" s="55"/>
      <c r="G277" s="55"/>
      <c r="H277" s="64"/>
      <c r="I277" s="64"/>
      <c r="J277" s="64"/>
      <c r="K277" s="64"/>
      <c r="L277" s="64"/>
      <c r="M277" s="64"/>
      <c r="N277" s="64"/>
      <c r="O277" s="64"/>
      <c r="P277" s="64"/>
      <c r="Q277" s="64"/>
      <c r="R277" s="64"/>
      <c r="S277" s="64"/>
      <c r="T277" s="55"/>
      <c r="U277" s="55"/>
      <c r="V277" s="55"/>
      <c r="W277" s="64"/>
      <c r="X277" s="64"/>
      <c r="Y277" s="55"/>
      <c r="Z277" s="55"/>
      <c r="AA277" s="55"/>
      <c r="AB277" s="64"/>
      <c r="AC277" s="64"/>
      <c r="AD277" s="64"/>
      <c r="AE277" s="64"/>
      <c r="AF277" s="64"/>
      <c r="AG277" s="55"/>
      <c r="AH277" s="55"/>
      <c r="AI277" s="64"/>
      <c r="AJ277" s="64"/>
      <c r="AK277" s="64"/>
      <c r="AL277" s="64"/>
      <c r="AM277" s="64"/>
      <c r="AN277" s="64"/>
      <c r="AO277" s="55"/>
      <c r="AP277" s="55"/>
      <c r="AQ277" s="64"/>
      <c r="AR277" s="64"/>
      <c r="AS277" s="64"/>
      <c r="AT277" s="64"/>
      <c r="AU277" s="64"/>
      <c r="AV277" s="55"/>
      <c r="AW277" s="55"/>
      <c r="AX277" s="64"/>
      <c r="AY277" s="64"/>
      <c r="AZ277" s="64"/>
      <c r="BA277" s="64"/>
      <c r="BB277" s="64"/>
      <c r="BC277" s="55"/>
      <c r="BD277" s="55"/>
      <c r="BE277" s="64"/>
      <c r="BF277" s="55"/>
      <c r="BG277" s="64"/>
      <c r="BH277" s="64"/>
      <c r="BI277" s="64"/>
      <c r="BJ277" s="64"/>
      <c r="BK277" s="55"/>
      <c r="BL277" s="55"/>
      <c r="BM277" s="55"/>
      <c r="BN277" s="64"/>
      <c r="BO277" s="64"/>
      <c r="BP277" s="64"/>
      <c r="BQ277" s="64"/>
      <c r="BR277" s="64"/>
      <c r="BS277" s="64"/>
      <c r="BT277" s="64"/>
      <c r="BU277" s="64"/>
      <c r="BV277" s="64"/>
      <c r="BW277" s="55"/>
      <c r="BX277" s="55"/>
      <c r="BY277" s="55"/>
      <c r="BZ277" s="55"/>
      <c r="CA277" s="55"/>
      <c r="CB277" s="55"/>
      <c r="CC277" s="55"/>
      <c r="CD277" s="55"/>
      <c r="CE277" s="55"/>
      <c r="CF277" s="55"/>
      <c r="CG277" s="55"/>
      <c r="CH277" s="55"/>
    </row>
    <row r="278" ht="16.5" customHeight="1">
      <c r="A278" s="55"/>
      <c r="B278" s="55"/>
      <c r="C278" s="55"/>
      <c r="D278" s="55"/>
      <c r="E278" s="55"/>
      <c r="F278" s="55"/>
      <c r="G278" s="55"/>
      <c r="H278" s="64"/>
      <c r="I278" s="64"/>
      <c r="J278" s="64"/>
      <c r="K278" s="64"/>
      <c r="L278" s="64"/>
      <c r="M278" s="64"/>
      <c r="N278" s="64"/>
      <c r="O278" s="64"/>
      <c r="P278" s="64"/>
      <c r="Q278" s="64"/>
      <c r="R278" s="64"/>
      <c r="S278" s="64"/>
      <c r="T278" s="55"/>
      <c r="U278" s="55"/>
      <c r="V278" s="55"/>
      <c r="W278" s="64"/>
      <c r="X278" s="64"/>
      <c r="Y278" s="55"/>
      <c r="Z278" s="55"/>
      <c r="AA278" s="55"/>
      <c r="AB278" s="64"/>
      <c r="AC278" s="64"/>
      <c r="AD278" s="64"/>
      <c r="AE278" s="64"/>
      <c r="AF278" s="64"/>
      <c r="AG278" s="55"/>
      <c r="AH278" s="55"/>
      <c r="AI278" s="64"/>
      <c r="AJ278" s="64"/>
      <c r="AK278" s="64"/>
      <c r="AL278" s="64"/>
      <c r="AM278" s="64"/>
      <c r="AN278" s="64"/>
      <c r="AO278" s="55"/>
      <c r="AP278" s="55"/>
      <c r="AQ278" s="64"/>
      <c r="AR278" s="64"/>
      <c r="AS278" s="64"/>
      <c r="AT278" s="64"/>
      <c r="AU278" s="64"/>
      <c r="AV278" s="55"/>
      <c r="AW278" s="55"/>
      <c r="AX278" s="64"/>
      <c r="AY278" s="64"/>
      <c r="AZ278" s="64"/>
      <c r="BA278" s="64"/>
      <c r="BB278" s="64"/>
      <c r="BC278" s="55"/>
      <c r="BD278" s="55"/>
      <c r="BE278" s="64"/>
      <c r="BF278" s="55"/>
      <c r="BG278" s="64"/>
      <c r="BH278" s="64"/>
      <c r="BI278" s="64"/>
      <c r="BJ278" s="64"/>
      <c r="BK278" s="55"/>
      <c r="BL278" s="55"/>
      <c r="BM278" s="55"/>
      <c r="BN278" s="64"/>
      <c r="BO278" s="64"/>
      <c r="BP278" s="64"/>
      <c r="BQ278" s="64"/>
      <c r="BR278" s="64"/>
      <c r="BS278" s="64"/>
      <c r="BT278" s="64"/>
      <c r="BU278" s="64"/>
      <c r="BV278" s="64"/>
      <c r="BW278" s="55"/>
      <c r="BX278" s="55"/>
      <c r="BY278" s="55"/>
      <c r="BZ278" s="55"/>
      <c r="CA278" s="55"/>
      <c r="CB278" s="55"/>
      <c r="CC278" s="55"/>
      <c r="CD278" s="55"/>
      <c r="CE278" s="55"/>
      <c r="CF278" s="55"/>
      <c r="CG278" s="55"/>
      <c r="CH278" s="55"/>
    </row>
    <row r="279" ht="16.5" customHeight="1">
      <c r="A279" s="55"/>
      <c r="B279" s="55"/>
      <c r="C279" s="55"/>
      <c r="D279" s="55"/>
      <c r="E279" s="55"/>
      <c r="F279" s="55"/>
      <c r="G279" s="55"/>
      <c r="H279" s="64"/>
      <c r="I279" s="64"/>
      <c r="J279" s="64"/>
      <c r="K279" s="64"/>
      <c r="L279" s="64"/>
      <c r="M279" s="64"/>
      <c r="N279" s="64"/>
      <c r="O279" s="64"/>
      <c r="P279" s="64"/>
      <c r="Q279" s="64"/>
      <c r="R279" s="64"/>
      <c r="S279" s="64"/>
      <c r="T279" s="55"/>
      <c r="U279" s="55"/>
      <c r="V279" s="55"/>
      <c r="W279" s="64"/>
      <c r="X279" s="64"/>
      <c r="Y279" s="55"/>
      <c r="Z279" s="55"/>
      <c r="AA279" s="55"/>
      <c r="AB279" s="64"/>
      <c r="AC279" s="64"/>
      <c r="AD279" s="64"/>
      <c r="AE279" s="64"/>
      <c r="AF279" s="64"/>
      <c r="AG279" s="55"/>
      <c r="AH279" s="55"/>
      <c r="AI279" s="64"/>
      <c r="AJ279" s="64"/>
      <c r="AK279" s="64"/>
      <c r="AL279" s="64"/>
      <c r="AM279" s="64"/>
      <c r="AN279" s="64"/>
      <c r="AO279" s="55"/>
      <c r="AP279" s="55"/>
      <c r="AQ279" s="64"/>
      <c r="AR279" s="64"/>
      <c r="AS279" s="64"/>
      <c r="AT279" s="64"/>
      <c r="AU279" s="64"/>
      <c r="AV279" s="55"/>
      <c r="AW279" s="55"/>
      <c r="AX279" s="64"/>
      <c r="AY279" s="64"/>
      <c r="AZ279" s="64"/>
      <c r="BA279" s="64"/>
      <c r="BB279" s="64"/>
      <c r="BC279" s="55"/>
      <c r="BD279" s="55"/>
      <c r="BE279" s="64"/>
      <c r="BF279" s="55"/>
      <c r="BG279" s="64"/>
      <c r="BH279" s="64"/>
      <c r="BI279" s="64"/>
      <c r="BJ279" s="64"/>
      <c r="BK279" s="55"/>
      <c r="BL279" s="55"/>
      <c r="BM279" s="55"/>
      <c r="BN279" s="64"/>
      <c r="BO279" s="64"/>
      <c r="BP279" s="64"/>
      <c r="BQ279" s="64"/>
      <c r="BR279" s="64"/>
      <c r="BS279" s="64"/>
      <c r="BT279" s="64"/>
      <c r="BU279" s="64"/>
      <c r="BV279" s="64"/>
      <c r="BW279" s="55"/>
      <c r="BX279" s="55"/>
      <c r="BY279" s="55"/>
      <c r="BZ279" s="55"/>
      <c r="CA279" s="55"/>
      <c r="CB279" s="55"/>
      <c r="CC279" s="55"/>
      <c r="CD279" s="55"/>
      <c r="CE279" s="55"/>
      <c r="CF279" s="55"/>
      <c r="CG279" s="55"/>
      <c r="CH279" s="55"/>
    </row>
    <row r="280" ht="16.5" customHeight="1">
      <c r="A280" s="55"/>
      <c r="B280" s="55"/>
      <c r="C280" s="55"/>
      <c r="D280" s="55"/>
      <c r="E280" s="55"/>
      <c r="F280" s="55"/>
      <c r="G280" s="55"/>
      <c r="H280" s="64"/>
      <c r="I280" s="64"/>
      <c r="J280" s="64"/>
      <c r="K280" s="64"/>
      <c r="L280" s="64"/>
      <c r="M280" s="64"/>
      <c r="N280" s="64"/>
      <c r="O280" s="64"/>
      <c r="P280" s="64"/>
      <c r="Q280" s="64"/>
      <c r="R280" s="64"/>
      <c r="S280" s="64"/>
      <c r="T280" s="55"/>
      <c r="U280" s="55"/>
      <c r="V280" s="55"/>
      <c r="W280" s="64"/>
      <c r="X280" s="64"/>
      <c r="Y280" s="55"/>
      <c r="Z280" s="55"/>
      <c r="AA280" s="55"/>
      <c r="AB280" s="64"/>
      <c r="AC280" s="64"/>
      <c r="AD280" s="64"/>
      <c r="AE280" s="64"/>
      <c r="AF280" s="64"/>
      <c r="AG280" s="55"/>
      <c r="AH280" s="55"/>
      <c r="AI280" s="64"/>
      <c r="AJ280" s="64"/>
      <c r="AK280" s="64"/>
      <c r="AL280" s="64"/>
      <c r="AM280" s="64"/>
      <c r="AN280" s="64"/>
      <c r="AO280" s="55"/>
      <c r="AP280" s="55"/>
      <c r="AQ280" s="64"/>
      <c r="AR280" s="64"/>
      <c r="AS280" s="64"/>
      <c r="AT280" s="64"/>
      <c r="AU280" s="64"/>
      <c r="AV280" s="55"/>
      <c r="AW280" s="55"/>
      <c r="AX280" s="64"/>
      <c r="AY280" s="64"/>
      <c r="AZ280" s="64"/>
      <c r="BA280" s="64"/>
      <c r="BB280" s="64"/>
      <c r="BC280" s="55"/>
      <c r="BD280" s="55"/>
      <c r="BE280" s="64"/>
      <c r="BF280" s="55"/>
      <c r="BG280" s="64"/>
      <c r="BH280" s="64"/>
      <c r="BI280" s="64"/>
      <c r="BJ280" s="64"/>
      <c r="BK280" s="55"/>
      <c r="BL280" s="55"/>
      <c r="BM280" s="55"/>
      <c r="BN280" s="64"/>
      <c r="BO280" s="64"/>
      <c r="BP280" s="64"/>
      <c r="BQ280" s="64"/>
      <c r="BR280" s="64"/>
      <c r="BS280" s="64"/>
      <c r="BT280" s="64"/>
      <c r="BU280" s="64"/>
      <c r="BV280" s="64"/>
      <c r="BW280" s="55"/>
      <c r="BX280" s="55"/>
      <c r="BY280" s="55"/>
      <c r="BZ280" s="55"/>
      <c r="CA280" s="55"/>
      <c r="CB280" s="55"/>
      <c r="CC280" s="55"/>
      <c r="CD280" s="55"/>
      <c r="CE280" s="55"/>
      <c r="CF280" s="55"/>
      <c r="CG280" s="55"/>
      <c r="CH280" s="55"/>
    </row>
    <row r="281" ht="16.5" customHeight="1">
      <c r="A281" s="55"/>
      <c r="B281" s="55"/>
      <c r="C281" s="55"/>
      <c r="D281" s="55"/>
      <c r="E281" s="55"/>
      <c r="F281" s="55"/>
      <c r="G281" s="55"/>
      <c r="H281" s="64"/>
      <c r="I281" s="64"/>
      <c r="J281" s="64"/>
      <c r="K281" s="64"/>
      <c r="L281" s="64"/>
      <c r="M281" s="64"/>
      <c r="N281" s="64"/>
      <c r="O281" s="64"/>
      <c r="P281" s="64"/>
      <c r="Q281" s="64"/>
      <c r="R281" s="64"/>
      <c r="S281" s="64"/>
      <c r="T281" s="55"/>
      <c r="U281" s="55"/>
      <c r="V281" s="55"/>
      <c r="W281" s="64"/>
      <c r="X281" s="64"/>
      <c r="Y281" s="55"/>
      <c r="Z281" s="55"/>
      <c r="AA281" s="55"/>
      <c r="AB281" s="64"/>
      <c r="AC281" s="64"/>
      <c r="AD281" s="64"/>
      <c r="AE281" s="64"/>
      <c r="AF281" s="64"/>
      <c r="AG281" s="55"/>
      <c r="AH281" s="55"/>
      <c r="AI281" s="64"/>
      <c r="AJ281" s="64"/>
      <c r="AK281" s="64"/>
      <c r="AL281" s="64"/>
      <c r="AM281" s="64"/>
      <c r="AN281" s="64"/>
      <c r="AO281" s="55"/>
      <c r="AP281" s="55"/>
      <c r="AQ281" s="64"/>
      <c r="AR281" s="64"/>
      <c r="AS281" s="64"/>
      <c r="AT281" s="64"/>
      <c r="AU281" s="64"/>
      <c r="AV281" s="55"/>
      <c r="AW281" s="55"/>
      <c r="AX281" s="64"/>
      <c r="AY281" s="64"/>
      <c r="AZ281" s="64"/>
      <c r="BA281" s="64"/>
      <c r="BB281" s="64"/>
      <c r="BC281" s="55"/>
      <c r="BD281" s="55"/>
      <c r="BE281" s="64"/>
      <c r="BF281" s="55"/>
      <c r="BG281" s="64"/>
      <c r="BH281" s="64"/>
      <c r="BI281" s="64"/>
      <c r="BJ281" s="64"/>
      <c r="BK281" s="55"/>
      <c r="BL281" s="55"/>
      <c r="BM281" s="55"/>
      <c r="BN281" s="64"/>
      <c r="BO281" s="64"/>
      <c r="BP281" s="64"/>
      <c r="BQ281" s="64"/>
      <c r="BR281" s="64"/>
      <c r="BS281" s="64"/>
      <c r="BT281" s="64"/>
      <c r="BU281" s="64"/>
      <c r="BV281" s="64"/>
      <c r="BW281" s="55"/>
      <c r="BX281" s="55"/>
      <c r="BY281" s="55"/>
      <c r="BZ281" s="55"/>
      <c r="CA281" s="55"/>
      <c r="CB281" s="55"/>
      <c r="CC281" s="55"/>
      <c r="CD281" s="55"/>
      <c r="CE281" s="55"/>
      <c r="CF281" s="55"/>
      <c r="CG281" s="55"/>
      <c r="CH281" s="55"/>
    </row>
    <row r="282" ht="16.5" customHeight="1">
      <c r="A282" s="55"/>
      <c r="B282" s="55"/>
      <c r="C282" s="55"/>
      <c r="D282" s="55"/>
      <c r="E282" s="55"/>
      <c r="F282" s="55"/>
      <c r="G282" s="55"/>
      <c r="H282" s="64"/>
      <c r="I282" s="64"/>
      <c r="J282" s="64"/>
      <c r="K282" s="64"/>
      <c r="L282" s="64"/>
      <c r="M282" s="64"/>
      <c r="N282" s="64"/>
      <c r="O282" s="64"/>
      <c r="P282" s="64"/>
      <c r="Q282" s="64"/>
      <c r="R282" s="64"/>
      <c r="S282" s="64"/>
      <c r="T282" s="55"/>
      <c r="U282" s="55"/>
      <c r="V282" s="55"/>
      <c r="W282" s="64"/>
      <c r="X282" s="64"/>
      <c r="Y282" s="55"/>
      <c r="Z282" s="55"/>
      <c r="AA282" s="55"/>
      <c r="AB282" s="64"/>
      <c r="AC282" s="64"/>
      <c r="AD282" s="64"/>
      <c r="AE282" s="64"/>
      <c r="AF282" s="64"/>
      <c r="AG282" s="55"/>
      <c r="AH282" s="55"/>
      <c r="AI282" s="64"/>
      <c r="AJ282" s="64"/>
      <c r="AK282" s="64"/>
      <c r="AL282" s="64"/>
      <c r="AM282" s="64"/>
      <c r="AN282" s="64"/>
      <c r="AO282" s="55"/>
      <c r="AP282" s="55"/>
      <c r="AQ282" s="64"/>
      <c r="AR282" s="64"/>
      <c r="AS282" s="64"/>
      <c r="AT282" s="64"/>
      <c r="AU282" s="64"/>
      <c r="AV282" s="55"/>
      <c r="AW282" s="55"/>
      <c r="AX282" s="64"/>
      <c r="AY282" s="64"/>
      <c r="AZ282" s="64"/>
      <c r="BA282" s="64"/>
      <c r="BB282" s="64"/>
      <c r="BC282" s="55"/>
      <c r="BD282" s="55"/>
      <c r="BE282" s="64"/>
      <c r="BF282" s="55"/>
      <c r="BG282" s="64"/>
      <c r="BH282" s="64"/>
      <c r="BI282" s="64"/>
      <c r="BJ282" s="64"/>
      <c r="BK282" s="55"/>
      <c r="BL282" s="55"/>
      <c r="BM282" s="55"/>
      <c r="BN282" s="64"/>
      <c r="BO282" s="64"/>
      <c r="BP282" s="64"/>
      <c r="BQ282" s="64"/>
      <c r="BR282" s="64"/>
      <c r="BS282" s="64"/>
      <c r="BT282" s="64"/>
      <c r="BU282" s="64"/>
      <c r="BV282" s="64"/>
      <c r="BW282" s="55"/>
      <c r="BX282" s="55"/>
      <c r="BY282" s="55"/>
      <c r="BZ282" s="55"/>
      <c r="CA282" s="55"/>
      <c r="CB282" s="55"/>
      <c r="CC282" s="55"/>
      <c r="CD282" s="55"/>
      <c r="CE282" s="55"/>
      <c r="CF282" s="55"/>
      <c r="CG282" s="55"/>
      <c r="CH282" s="55"/>
    </row>
    <row r="283" ht="16.5" customHeight="1">
      <c r="A283" s="55"/>
      <c r="B283" s="55"/>
      <c r="C283" s="55"/>
      <c r="D283" s="55"/>
      <c r="E283" s="55"/>
      <c r="F283" s="55"/>
      <c r="G283" s="55"/>
      <c r="H283" s="64"/>
      <c r="I283" s="64"/>
      <c r="J283" s="64"/>
      <c r="K283" s="64"/>
      <c r="L283" s="64"/>
      <c r="M283" s="64"/>
      <c r="N283" s="64"/>
      <c r="O283" s="64"/>
      <c r="P283" s="64"/>
      <c r="Q283" s="64"/>
      <c r="R283" s="64"/>
      <c r="S283" s="64"/>
      <c r="T283" s="55"/>
      <c r="U283" s="55"/>
      <c r="V283" s="55"/>
      <c r="W283" s="64"/>
      <c r="X283" s="64"/>
      <c r="Y283" s="55"/>
      <c r="Z283" s="55"/>
      <c r="AA283" s="55"/>
      <c r="AB283" s="64"/>
      <c r="AC283" s="64"/>
      <c r="AD283" s="64"/>
      <c r="AE283" s="64"/>
      <c r="AF283" s="64"/>
      <c r="AG283" s="55"/>
      <c r="AH283" s="55"/>
      <c r="AI283" s="64"/>
      <c r="AJ283" s="64"/>
      <c r="AK283" s="64"/>
      <c r="AL283" s="64"/>
      <c r="AM283" s="64"/>
      <c r="AN283" s="64"/>
      <c r="AO283" s="55"/>
      <c r="AP283" s="55"/>
      <c r="AQ283" s="64"/>
      <c r="AR283" s="64"/>
      <c r="AS283" s="64"/>
      <c r="AT283" s="64"/>
      <c r="AU283" s="64"/>
      <c r="AV283" s="55"/>
      <c r="AW283" s="55"/>
      <c r="AX283" s="64"/>
      <c r="AY283" s="64"/>
      <c r="AZ283" s="64"/>
      <c r="BA283" s="64"/>
      <c r="BB283" s="64"/>
      <c r="BC283" s="55"/>
      <c r="BD283" s="55"/>
      <c r="BE283" s="64"/>
      <c r="BF283" s="55"/>
      <c r="BG283" s="64"/>
      <c r="BH283" s="64"/>
      <c r="BI283" s="64"/>
      <c r="BJ283" s="64"/>
      <c r="BK283" s="55"/>
      <c r="BL283" s="55"/>
      <c r="BM283" s="55"/>
      <c r="BN283" s="64"/>
      <c r="BO283" s="64"/>
      <c r="BP283" s="64"/>
      <c r="BQ283" s="64"/>
      <c r="BR283" s="64"/>
      <c r="BS283" s="64"/>
      <c r="BT283" s="64"/>
      <c r="BU283" s="64"/>
      <c r="BV283" s="64"/>
      <c r="BW283" s="55"/>
      <c r="BX283" s="55"/>
      <c r="BY283" s="55"/>
      <c r="BZ283" s="55"/>
      <c r="CA283" s="55"/>
      <c r="CB283" s="55"/>
      <c r="CC283" s="55"/>
      <c r="CD283" s="55"/>
      <c r="CE283" s="55"/>
      <c r="CF283" s="55"/>
      <c r="CG283" s="55"/>
      <c r="CH283" s="55"/>
    </row>
    <row r="284" ht="16.5" customHeight="1">
      <c r="A284" s="55"/>
      <c r="B284" s="55"/>
      <c r="C284" s="55"/>
      <c r="D284" s="55"/>
      <c r="E284" s="55"/>
      <c r="F284" s="55"/>
      <c r="G284" s="55"/>
      <c r="H284" s="64"/>
      <c r="I284" s="64"/>
      <c r="J284" s="64"/>
      <c r="K284" s="64"/>
      <c r="L284" s="64"/>
      <c r="M284" s="64"/>
      <c r="N284" s="64"/>
      <c r="O284" s="64"/>
      <c r="P284" s="64"/>
      <c r="Q284" s="64"/>
      <c r="R284" s="64"/>
      <c r="S284" s="64"/>
      <c r="T284" s="55"/>
      <c r="U284" s="55"/>
      <c r="V284" s="55"/>
      <c r="W284" s="64"/>
      <c r="X284" s="64"/>
      <c r="Y284" s="55"/>
      <c r="Z284" s="55"/>
      <c r="AA284" s="55"/>
      <c r="AB284" s="64"/>
      <c r="AC284" s="64"/>
      <c r="AD284" s="64"/>
      <c r="AE284" s="64"/>
      <c r="AF284" s="64"/>
      <c r="AG284" s="55"/>
      <c r="AH284" s="55"/>
      <c r="AI284" s="64"/>
      <c r="AJ284" s="64"/>
      <c r="AK284" s="64"/>
      <c r="AL284" s="64"/>
      <c r="AM284" s="64"/>
      <c r="AN284" s="64"/>
      <c r="AO284" s="55"/>
      <c r="AP284" s="55"/>
      <c r="AQ284" s="64"/>
      <c r="AR284" s="64"/>
      <c r="AS284" s="64"/>
      <c r="AT284" s="64"/>
      <c r="AU284" s="64"/>
      <c r="AV284" s="55"/>
      <c r="AW284" s="55"/>
      <c r="AX284" s="64"/>
      <c r="AY284" s="64"/>
      <c r="AZ284" s="64"/>
      <c r="BA284" s="64"/>
      <c r="BB284" s="64"/>
      <c r="BC284" s="55"/>
      <c r="BD284" s="55"/>
      <c r="BE284" s="64"/>
      <c r="BF284" s="55"/>
      <c r="BG284" s="64"/>
      <c r="BH284" s="64"/>
      <c r="BI284" s="64"/>
      <c r="BJ284" s="64"/>
      <c r="BK284" s="55"/>
      <c r="BL284" s="55"/>
      <c r="BM284" s="55"/>
      <c r="BN284" s="64"/>
      <c r="BO284" s="64"/>
      <c r="BP284" s="64"/>
      <c r="BQ284" s="64"/>
      <c r="BR284" s="64"/>
      <c r="BS284" s="64"/>
      <c r="BT284" s="64"/>
      <c r="BU284" s="64"/>
      <c r="BV284" s="64"/>
      <c r="BW284" s="55"/>
      <c r="BX284" s="55"/>
      <c r="BY284" s="55"/>
      <c r="BZ284" s="55"/>
      <c r="CA284" s="55"/>
      <c r="CB284" s="55"/>
      <c r="CC284" s="55"/>
      <c r="CD284" s="55"/>
      <c r="CE284" s="55"/>
      <c r="CF284" s="55"/>
      <c r="CG284" s="55"/>
      <c r="CH284" s="55"/>
    </row>
    <row r="285" ht="16.5" customHeight="1">
      <c r="A285" s="55"/>
      <c r="B285" s="55"/>
      <c r="C285" s="55"/>
      <c r="D285" s="55"/>
      <c r="E285" s="55"/>
      <c r="F285" s="55"/>
      <c r="G285" s="55"/>
      <c r="H285" s="64"/>
      <c r="I285" s="64"/>
      <c r="J285" s="64"/>
      <c r="K285" s="64"/>
      <c r="L285" s="64"/>
      <c r="M285" s="64"/>
      <c r="N285" s="64"/>
      <c r="O285" s="64"/>
      <c r="P285" s="64"/>
      <c r="Q285" s="64"/>
      <c r="R285" s="64"/>
      <c r="S285" s="64"/>
      <c r="T285" s="55"/>
      <c r="U285" s="55"/>
      <c r="V285" s="55"/>
      <c r="W285" s="64"/>
      <c r="X285" s="64"/>
      <c r="Y285" s="55"/>
      <c r="Z285" s="55"/>
      <c r="AA285" s="55"/>
      <c r="AB285" s="64"/>
      <c r="AC285" s="64"/>
      <c r="AD285" s="64"/>
      <c r="AE285" s="64"/>
      <c r="AF285" s="64"/>
      <c r="AG285" s="55"/>
      <c r="AH285" s="55"/>
      <c r="AI285" s="64"/>
      <c r="AJ285" s="64"/>
      <c r="AK285" s="64"/>
      <c r="AL285" s="64"/>
      <c r="AM285" s="64"/>
      <c r="AN285" s="64"/>
      <c r="AO285" s="55"/>
      <c r="AP285" s="55"/>
      <c r="AQ285" s="64"/>
      <c r="AR285" s="64"/>
      <c r="AS285" s="64"/>
      <c r="AT285" s="64"/>
      <c r="AU285" s="64"/>
      <c r="AV285" s="55"/>
      <c r="AW285" s="55"/>
      <c r="AX285" s="64"/>
      <c r="AY285" s="64"/>
      <c r="AZ285" s="64"/>
      <c r="BA285" s="64"/>
      <c r="BB285" s="64"/>
      <c r="BC285" s="55"/>
      <c r="BD285" s="55"/>
      <c r="BE285" s="64"/>
      <c r="BF285" s="55"/>
      <c r="BG285" s="64"/>
      <c r="BH285" s="64"/>
      <c r="BI285" s="64"/>
      <c r="BJ285" s="64"/>
      <c r="BK285" s="55"/>
      <c r="BL285" s="55"/>
      <c r="BM285" s="55"/>
      <c r="BN285" s="64"/>
      <c r="BO285" s="64"/>
      <c r="BP285" s="64"/>
      <c r="BQ285" s="64"/>
      <c r="BR285" s="64"/>
      <c r="BS285" s="64"/>
      <c r="BT285" s="64"/>
      <c r="BU285" s="64"/>
      <c r="BV285" s="64"/>
      <c r="BW285" s="55"/>
      <c r="BX285" s="55"/>
      <c r="BY285" s="55"/>
      <c r="BZ285" s="55"/>
      <c r="CA285" s="55"/>
      <c r="CB285" s="55"/>
      <c r="CC285" s="55"/>
      <c r="CD285" s="55"/>
      <c r="CE285" s="55"/>
      <c r="CF285" s="55"/>
      <c r="CG285" s="55"/>
      <c r="CH285" s="55"/>
    </row>
    <row r="286" ht="16.5" customHeight="1">
      <c r="A286" s="55"/>
      <c r="B286" s="55"/>
      <c r="C286" s="55"/>
      <c r="D286" s="55"/>
      <c r="E286" s="55"/>
      <c r="F286" s="55"/>
      <c r="G286" s="55"/>
      <c r="H286" s="64"/>
      <c r="I286" s="64"/>
      <c r="J286" s="64"/>
      <c r="K286" s="64"/>
      <c r="L286" s="64"/>
      <c r="M286" s="64"/>
      <c r="N286" s="64"/>
      <c r="O286" s="64"/>
      <c r="P286" s="64"/>
      <c r="Q286" s="64"/>
      <c r="R286" s="64"/>
      <c r="S286" s="64"/>
      <c r="T286" s="55"/>
      <c r="U286" s="55"/>
      <c r="V286" s="55"/>
      <c r="W286" s="64"/>
      <c r="X286" s="64"/>
      <c r="Y286" s="55"/>
      <c r="Z286" s="55"/>
      <c r="AA286" s="55"/>
      <c r="AB286" s="64"/>
      <c r="AC286" s="64"/>
      <c r="AD286" s="64"/>
      <c r="AE286" s="64"/>
      <c r="AF286" s="64"/>
      <c r="AG286" s="55"/>
      <c r="AH286" s="55"/>
      <c r="AI286" s="64"/>
      <c r="AJ286" s="64"/>
      <c r="AK286" s="64"/>
      <c r="AL286" s="64"/>
      <c r="AM286" s="64"/>
      <c r="AN286" s="64"/>
      <c r="AO286" s="55"/>
      <c r="AP286" s="55"/>
      <c r="AQ286" s="64"/>
      <c r="AR286" s="64"/>
      <c r="AS286" s="64"/>
      <c r="AT286" s="64"/>
      <c r="AU286" s="64"/>
      <c r="AV286" s="55"/>
      <c r="AW286" s="55"/>
      <c r="AX286" s="64"/>
      <c r="AY286" s="64"/>
      <c r="AZ286" s="64"/>
      <c r="BA286" s="64"/>
      <c r="BB286" s="64"/>
      <c r="BC286" s="55"/>
      <c r="BD286" s="55"/>
      <c r="BE286" s="64"/>
      <c r="BF286" s="55"/>
      <c r="BG286" s="64"/>
      <c r="BH286" s="64"/>
      <c r="BI286" s="64"/>
      <c r="BJ286" s="64"/>
      <c r="BK286" s="55"/>
      <c r="BL286" s="55"/>
      <c r="BM286" s="55"/>
      <c r="BN286" s="64"/>
      <c r="BO286" s="64"/>
      <c r="BP286" s="64"/>
      <c r="BQ286" s="64"/>
      <c r="BR286" s="64"/>
      <c r="BS286" s="64"/>
      <c r="BT286" s="64"/>
      <c r="BU286" s="64"/>
      <c r="BV286" s="64"/>
      <c r="BW286" s="55"/>
      <c r="BX286" s="55"/>
      <c r="BY286" s="55"/>
      <c r="BZ286" s="55"/>
      <c r="CA286" s="55"/>
      <c r="CB286" s="55"/>
      <c r="CC286" s="55"/>
      <c r="CD286" s="55"/>
      <c r="CE286" s="55"/>
      <c r="CF286" s="55"/>
      <c r="CG286" s="55"/>
      <c r="CH286" s="55"/>
    </row>
    <row r="287" ht="16.5" customHeight="1">
      <c r="A287" s="55"/>
      <c r="B287" s="55"/>
      <c r="C287" s="55"/>
      <c r="D287" s="55"/>
      <c r="E287" s="55"/>
      <c r="F287" s="55"/>
      <c r="G287" s="55"/>
      <c r="H287" s="64"/>
      <c r="I287" s="64"/>
      <c r="J287" s="64"/>
      <c r="K287" s="64"/>
      <c r="L287" s="64"/>
      <c r="M287" s="64"/>
      <c r="N287" s="64"/>
      <c r="O287" s="64"/>
      <c r="P287" s="64"/>
      <c r="Q287" s="64"/>
      <c r="R287" s="64"/>
      <c r="S287" s="64"/>
      <c r="T287" s="55"/>
      <c r="U287" s="55"/>
      <c r="V287" s="55"/>
      <c r="W287" s="64"/>
      <c r="X287" s="64"/>
      <c r="Y287" s="55"/>
      <c r="Z287" s="55"/>
      <c r="AA287" s="55"/>
      <c r="AB287" s="64"/>
      <c r="AC287" s="64"/>
      <c r="AD287" s="64"/>
      <c r="AE287" s="64"/>
      <c r="AF287" s="64"/>
      <c r="AG287" s="55"/>
      <c r="AH287" s="55"/>
      <c r="AI287" s="64"/>
      <c r="AJ287" s="64"/>
      <c r="AK287" s="64"/>
      <c r="AL287" s="64"/>
      <c r="AM287" s="64"/>
      <c r="AN287" s="64"/>
      <c r="AO287" s="55"/>
      <c r="AP287" s="55"/>
      <c r="AQ287" s="64"/>
      <c r="AR287" s="64"/>
      <c r="AS287" s="64"/>
      <c r="AT287" s="64"/>
      <c r="AU287" s="64"/>
      <c r="AV287" s="55"/>
      <c r="AW287" s="55"/>
      <c r="AX287" s="64"/>
      <c r="AY287" s="64"/>
      <c r="AZ287" s="64"/>
      <c r="BA287" s="64"/>
      <c r="BB287" s="64"/>
      <c r="BC287" s="55"/>
      <c r="BD287" s="55"/>
      <c r="BE287" s="64"/>
      <c r="BF287" s="55"/>
      <c r="BG287" s="64"/>
      <c r="BH287" s="64"/>
      <c r="BI287" s="64"/>
      <c r="BJ287" s="64"/>
      <c r="BK287" s="55"/>
      <c r="BL287" s="55"/>
      <c r="BM287" s="55"/>
      <c r="BN287" s="64"/>
      <c r="BO287" s="64"/>
      <c r="BP287" s="64"/>
      <c r="BQ287" s="64"/>
      <c r="BR287" s="64"/>
      <c r="BS287" s="64"/>
      <c r="BT287" s="64"/>
      <c r="BU287" s="64"/>
      <c r="BV287" s="64"/>
      <c r="BW287" s="55"/>
      <c r="BX287" s="55"/>
      <c r="BY287" s="55"/>
      <c r="BZ287" s="55"/>
      <c r="CA287" s="55"/>
      <c r="CB287" s="55"/>
      <c r="CC287" s="55"/>
      <c r="CD287" s="55"/>
      <c r="CE287" s="55"/>
      <c r="CF287" s="55"/>
      <c r="CG287" s="55"/>
      <c r="CH287" s="55"/>
    </row>
    <row r="288" ht="16.5" customHeight="1">
      <c r="A288" s="55"/>
      <c r="B288" s="55"/>
      <c r="C288" s="55"/>
      <c r="D288" s="55"/>
      <c r="E288" s="55"/>
      <c r="F288" s="55"/>
      <c r="G288" s="55"/>
      <c r="H288" s="64"/>
      <c r="I288" s="64"/>
      <c r="J288" s="64"/>
      <c r="K288" s="64"/>
      <c r="L288" s="64"/>
      <c r="M288" s="64"/>
      <c r="N288" s="64"/>
      <c r="O288" s="64"/>
      <c r="P288" s="64"/>
      <c r="Q288" s="64"/>
      <c r="R288" s="64"/>
      <c r="S288" s="64"/>
      <c r="T288" s="55"/>
      <c r="U288" s="55"/>
      <c r="V288" s="55"/>
      <c r="W288" s="64"/>
      <c r="X288" s="64"/>
      <c r="Y288" s="55"/>
      <c r="Z288" s="55"/>
      <c r="AA288" s="55"/>
      <c r="AB288" s="64"/>
      <c r="AC288" s="64"/>
      <c r="AD288" s="64"/>
      <c r="AE288" s="64"/>
      <c r="AF288" s="64"/>
      <c r="AG288" s="55"/>
      <c r="AH288" s="55"/>
      <c r="AI288" s="64"/>
      <c r="AJ288" s="64"/>
      <c r="AK288" s="64"/>
      <c r="AL288" s="64"/>
      <c r="AM288" s="64"/>
      <c r="AN288" s="64"/>
      <c r="AO288" s="55"/>
      <c r="AP288" s="55"/>
      <c r="AQ288" s="64"/>
      <c r="AR288" s="64"/>
      <c r="AS288" s="64"/>
      <c r="AT288" s="64"/>
      <c r="AU288" s="64"/>
      <c r="AV288" s="55"/>
      <c r="AW288" s="55"/>
      <c r="AX288" s="64"/>
      <c r="AY288" s="64"/>
      <c r="AZ288" s="64"/>
      <c r="BA288" s="64"/>
      <c r="BB288" s="64"/>
      <c r="BC288" s="55"/>
      <c r="BD288" s="55"/>
      <c r="BE288" s="64"/>
      <c r="BF288" s="55"/>
      <c r="BG288" s="64"/>
      <c r="BH288" s="64"/>
      <c r="BI288" s="64"/>
      <c r="BJ288" s="64"/>
      <c r="BK288" s="55"/>
      <c r="BL288" s="55"/>
      <c r="BM288" s="55"/>
      <c r="BN288" s="64"/>
      <c r="BO288" s="64"/>
      <c r="BP288" s="64"/>
      <c r="BQ288" s="64"/>
      <c r="BR288" s="64"/>
      <c r="BS288" s="64"/>
      <c r="BT288" s="64"/>
      <c r="BU288" s="64"/>
      <c r="BV288" s="64"/>
      <c r="BW288" s="55"/>
      <c r="BX288" s="55"/>
      <c r="BY288" s="55"/>
      <c r="BZ288" s="55"/>
      <c r="CA288" s="55"/>
      <c r="CB288" s="55"/>
      <c r="CC288" s="55"/>
      <c r="CD288" s="55"/>
      <c r="CE288" s="55"/>
      <c r="CF288" s="55"/>
      <c r="CG288" s="55"/>
      <c r="CH288" s="55"/>
    </row>
    <row r="289" ht="16.5" customHeight="1">
      <c r="A289" s="55"/>
      <c r="B289" s="55"/>
      <c r="C289" s="55"/>
      <c r="D289" s="55"/>
      <c r="E289" s="55"/>
      <c r="F289" s="55"/>
      <c r="G289" s="55"/>
      <c r="H289" s="64"/>
      <c r="I289" s="64"/>
      <c r="J289" s="64"/>
      <c r="K289" s="64"/>
      <c r="L289" s="64"/>
      <c r="M289" s="64"/>
      <c r="N289" s="64"/>
      <c r="O289" s="64"/>
      <c r="P289" s="64"/>
      <c r="Q289" s="64"/>
      <c r="R289" s="64"/>
      <c r="S289" s="64"/>
      <c r="T289" s="55"/>
      <c r="U289" s="55"/>
      <c r="V289" s="55"/>
      <c r="W289" s="64"/>
      <c r="X289" s="64"/>
      <c r="Y289" s="55"/>
      <c r="Z289" s="55"/>
      <c r="AA289" s="55"/>
      <c r="AB289" s="64"/>
      <c r="AC289" s="64"/>
      <c r="AD289" s="64"/>
      <c r="AE289" s="64"/>
      <c r="AF289" s="64"/>
      <c r="AG289" s="55"/>
      <c r="AH289" s="55"/>
      <c r="AI289" s="64"/>
      <c r="AJ289" s="64"/>
      <c r="AK289" s="64"/>
      <c r="AL289" s="64"/>
      <c r="AM289" s="64"/>
      <c r="AN289" s="64"/>
      <c r="AO289" s="55"/>
      <c r="AP289" s="55"/>
      <c r="AQ289" s="64"/>
      <c r="AR289" s="64"/>
      <c r="AS289" s="64"/>
      <c r="AT289" s="64"/>
      <c r="AU289" s="64"/>
      <c r="AV289" s="55"/>
      <c r="AW289" s="55"/>
      <c r="AX289" s="64"/>
      <c r="AY289" s="64"/>
      <c r="AZ289" s="64"/>
      <c r="BA289" s="64"/>
      <c r="BB289" s="64"/>
      <c r="BC289" s="55"/>
      <c r="BD289" s="55"/>
      <c r="BE289" s="64"/>
      <c r="BF289" s="55"/>
      <c r="BG289" s="64"/>
      <c r="BH289" s="64"/>
      <c r="BI289" s="64"/>
      <c r="BJ289" s="64"/>
      <c r="BK289" s="55"/>
      <c r="BL289" s="55"/>
      <c r="BM289" s="55"/>
      <c r="BN289" s="64"/>
      <c r="BO289" s="64"/>
      <c r="BP289" s="64"/>
      <c r="BQ289" s="64"/>
      <c r="BR289" s="64"/>
      <c r="BS289" s="64"/>
      <c r="BT289" s="64"/>
      <c r="BU289" s="64"/>
      <c r="BV289" s="64"/>
      <c r="BW289" s="55"/>
      <c r="BX289" s="55"/>
      <c r="BY289" s="55"/>
      <c r="BZ289" s="55"/>
      <c r="CA289" s="55"/>
      <c r="CB289" s="55"/>
      <c r="CC289" s="55"/>
      <c r="CD289" s="55"/>
      <c r="CE289" s="55"/>
      <c r="CF289" s="55"/>
      <c r="CG289" s="55"/>
      <c r="CH289" s="55"/>
    </row>
    <row r="290" ht="16.5" customHeight="1">
      <c r="A290" s="55"/>
      <c r="B290" s="55"/>
      <c r="C290" s="55"/>
      <c r="D290" s="55"/>
      <c r="E290" s="55"/>
      <c r="F290" s="55"/>
      <c r="G290" s="55"/>
      <c r="H290" s="64"/>
      <c r="I290" s="64"/>
      <c r="J290" s="64"/>
      <c r="K290" s="64"/>
      <c r="L290" s="64"/>
      <c r="M290" s="64"/>
      <c r="N290" s="64"/>
      <c r="O290" s="64"/>
      <c r="P290" s="64"/>
      <c r="Q290" s="64"/>
      <c r="R290" s="64"/>
      <c r="S290" s="64"/>
      <c r="T290" s="55"/>
      <c r="U290" s="55"/>
      <c r="V290" s="55"/>
      <c r="W290" s="64"/>
      <c r="X290" s="64"/>
      <c r="Y290" s="55"/>
      <c r="Z290" s="55"/>
      <c r="AA290" s="55"/>
      <c r="AB290" s="64"/>
      <c r="AC290" s="64"/>
      <c r="AD290" s="64"/>
      <c r="AE290" s="64"/>
      <c r="AF290" s="64"/>
      <c r="AG290" s="55"/>
      <c r="AH290" s="55"/>
      <c r="AI290" s="64"/>
      <c r="AJ290" s="64"/>
      <c r="AK290" s="64"/>
      <c r="AL290" s="64"/>
      <c r="AM290" s="64"/>
      <c r="AN290" s="64"/>
      <c r="AO290" s="55"/>
      <c r="AP290" s="55"/>
      <c r="AQ290" s="64"/>
      <c r="AR290" s="64"/>
      <c r="AS290" s="64"/>
      <c r="AT290" s="64"/>
      <c r="AU290" s="64"/>
      <c r="AV290" s="55"/>
      <c r="AW290" s="55"/>
      <c r="AX290" s="64"/>
      <c r="AY290" s="64"/>
      <c r="AZ290" s="64"/>
      <c r="BA290" s="64"/>
      <c r="BB290" s="64"/>
      <c r="BC290" s="55"/>
      <c r="BD290" s="55"/>
      <c r="BE290" s="64"/>
      <c r="BF290" s="55"/>
      <c r="BG290" s="64"/>
      <c r="BH290" s="64"/>
      <c r="BI290" s="64"/>
      <c r="BJ290" s="64"/>
      <c r="BK290" s="55"/>
      <c r="BL290" s="55"/>
      <c r="BM290" s="55"/>
      <c r="BN290" s="64"/>
      <c r="BO290" s="64"/>
      <c r="BP290" s="64"/>
      <c r="BQ290" s="64"/>
      <c r="BR290" s="64"/>
      <c r="BS290" s="64"/>
      <c r="BT290" s="64"/>
      <c r="BU290" s="64"/>
      <c r="BV290" s="64"/>
      <c r="BW290" s="55"/>
      <c r="BX290" s="55"/>
      <c r="BY290" s="55"/>
      <c r="BZ290" s="55"/>
      <c r="CA290" s="55"/>
      <c r="CB290" s="55"/>
      <c r="CC290" s="55"/>
      <c r="CD290" s="55"/>
      <c r="CE290" s="55"/>
      <c r="CF290" s="55"/>
      <c r="CG290" s="55"/>
      <c r="CH290" s="55"/>
    </row>
    <row r="291" ht="16.5" customHeight="1">
      <c r="A291" s="55"/>
      <c r="B291" s="55"/>
      <c r="C291" s="55"/>
      <c r="D291" s="55"/>
      <c r="E291" s="55"/>
      <c r="F291" s="55"/>
      <c r="G291" s="55"/>
      <c r="H291" s="64"/>
      <c r="I291" s="64"/>
      <c r="J291" s="64"/>
      <c r="K291" s="64"/>
      <c r="L291" s="64"/>
      <c r="M291" s="64"/>
      <c r="N291" s="64"/>
      <c r="O291" s="64"/>
      <c r="P291" s="64"/>
      <c r="Q291" s="64"/>
      <c r="R291" s="64"/>
      <c r="S291" s="64"/>
      <c r="T291" s="55"/>
      <c r="U291" s="55"/>
      <c r="V291" s="55"/>
      <c r="W291" s="64"/>
      <c r="X291" s="64"/>
      <c r="Y291" s="55"/>
      <c r="Z291" s="55"/>
      <c r="AA291" s="55"/>
      <c r="AB291" s="64"/>
      <c r="AC291" s="64"/>
      <c r="AD291" s="64"/>
      <c r="AE291" s="64"/>
      <c r="AF291" s="64"/>
      <c r="AG291" s="55"/>
      <c r="AH291" s="55"/>
      <c r="AI291" s="64"/>
      <c r="AJ291" s="64"/>
      <c r="AK291" s="64"/>
      <c r="AL291" s="64"/>
      <c r="AM291" s="64"/>
      <c r="AN291" s="64"/>
      <c r="AO291" s="55"/>
      <c r="AP291" s="55"/>
      <c r="AQ291" s="64"/>
      <c r="AR291" s="64"/>
      <c r="AS291" s="64"/>
      <c r="AT291" s="64"/>
      <c r="AU291" s="64"/>
      <c r="AV291" s="55"/>
      <c r="AW291" s="55"/>
      <c r="AX291" s="64"/>
      <c r="AY291" s="64"/>
      <c r="AZ291" s="64"/>
      <c r="BA291" s="64"/>
      <c r="BB291" s="64"/>
      <c r="BC291" s="55"/>
      <c r="BD291" s="55"/>
      <c r="BE291" s="64"/>
      <c r="BF291" s="55"/>
      <c r="BG291" s="64"/>
      <c r="BH291" s="64"/>
      <c r="BI291" s="64"/>
      <c r="BJ291" s="64"/>
      <c r="BK291" s="55"/>
      <c r="BL291" s="55"/>
      <c r="BM291" s="55"/>
      <c r="BN291" s="64"/>
      <c r="BO291" s="64"/>
      <c r="BP291" s="64"/>
      <c r="BQ291" s="64"/>
      <c r="BR291" s="64"/>
      <c r="BS291" s="64"/>
      <c r="BT291" s="64"/>
      <c r="BU291" s="64"/>
      <c r="BV291" s="64"/>
      <c r="BW291" s="55"/>
      <c r="BX291" s="55"/>
      <c r="BY291" s="55"/>
      <c r="BZ291" s="55"/>
      <c r="CA291" s="55"/>
      <c r="CB291" s="55"/>
      <c r="CC291" s="55"/>
      <c r="CD291" s="55"/>
      <c r="CE291" s="55"/>
      <c r="CF291" s="55"/>
      <c r="CG291" s="55"/>
      <c r="CH291" s="55"/>
    </row>
    <row r="292" ht="16.5" customHeight="1">
      <c r="A292" s="55"/>
      <c r="B292" s="55"/>
      <c r="C292" s="55"/>
      <c r="D292" s="55"/>
      <c r="E292" s="55"/>
      <c r="F292" s="55"/>
      <c r="G292" s="55"/>
      <c r="H292" s="64"/>
      <c r="I292" s="64"/>
      <c r="J292" s="64"/>
      <c r="K292" s="64"/>
      <c r="L292" s="64"/>
      <c r="M292" s="64"/>
      <c r="N292" s="64"/>
      <c r="O292" s="64"/>
      <c r="P292" s="64"/>
      <c r="Q292" s="64"/>
      <c r="R292" s="64"/>
      <c r="S292" s="64"/>
      <c r="T292" s="55"/>
      <c r="U292" s="55"/>
      <c r="V292" s="55"/>
      <c r="W292" s="64"/>
      <c r="X292" s="64"/>
      <c r="Y292" s="55"/>
      <c r="Z292" s="55"/>
      <c r="AA292" s="55"/>
      <c r="AB292" s="64"/>
      <c r="AC292" s="64"/>
      <c r="AD292" s="64"/>
      <c r="AE292" s="64"/>
      <c r="AF292" s="64"/>
      <c r="AG292" s="55"/>
      <c r="AH292" s="55"/>
      <c r="AI292" s="64"/>
      <c r="AJ292" s="64"/>
      <c r="AK292" s="64"/>
      <c r="AL292" s="64"/>
      <c r="AM292" s="64"/>
      <c r="AN292" s="64"/>
      <c r="AO292" s="55"/>
      <c r="AP292" s="55"/>
      <c r="AQ292" s="64"/>
      <c r="AR292" s="64"/>
      <c r="AS292" s="64"/>
      <c r="AT292" s="64"/>
      <c r="AU292" s="64"/>
      <c r="AV292" s="55"/>
      <c r="AW292" s="55"/>
      <c r="AX292" s="64"/>
      <c r="AY292" s="64"/>
      <c r="AZ292" s="64"/>
      <c r="BA292" s="64"/>
      <c r="BB292" s="64"/>
      <c r="BC292" s="55"/>
      <c r="BD292" s="55"/>
      <c r="BE292" s="64"/>
      <c r="BF292" s="55"/>
      <c r="BG292" s="64"/>
      <c r="BH292" s="64"/>
      <c r="BI292" s="64"/>
      <c r="BJ292" s="64"/>
      <c r="BK292" s="55"/>
      <c r="BL292" s="55"/>
      <c r="BM292" s="55"/>
      <c r="BN292" s="64"/>
      <c r="BO292" s="64"/>
      <c r="BP292" s="64"/>
      <c r="BQ292" s="64"/>
      <c r="BR292" s="64"/>
      <c r="BS292" s="64"/>
      <c r="BT292" s="64"/>
      <c r="BU292" s="64"/>
      <c r="BV292" s="64"/>
      <c r="BW292" s="55"/>
      <c r="BX292" s="55"/>
      <c r="BY292" s="55"/>
      <c r="BZ292" s="55"/>
      <c r="CA292" s="55"/>
      <c r="CB292" s="55"/>
      <c r="CC292" s="55"/>
      <c r="CD292" s="55"/>
      <c r="CE292" s="55"/>
      <c r="CF292" s="55"/>
      <c r="CG292" s="55"/>
      <c r="CH292" s="55"/>
    </row>
    <row r="293" ht="16.5" customHeight="1">
      <c r="A293" s="55"/>
      <c r="B293" s="55"/>
      <c r="C293" s="55"/>
      <c r="D293" s="55"/>
      <c r="E293" s="55"/>
      <c r="F293" s="55"/>
      <c r="G293" s="55"/>
      <c r="H293" s="64"/>
      <c r="I293" s="64"/>
      <c r="J293" s="64"/>
      <c r="K293" s="64"/>
      <c r="L293" s="64"/>
      <c r="M293" s="64"/>
      <c r="N293" s="64"/>
      <c r="O293" s="64"/>
      <c r="P293" s="64"/>
      <c r="Q293" s="64"/>
      <c r="R293" s="64"/>
      <c r="S293" s="64"/>
      <c r="T293" s="55"/>
      <c r="U293" s="55"/>
      <c r="V293" s="55"/>
      <c r="W293" s="64"/>
      <c r="X293" s="64"/>
      <c r="Y293" s="55"/>
      <c r="Z293" s="55"/>
      <c r="AA293" s="55"/>
      <c r="AB293" s="64"/>
      <c r="AC293" s="64"/>
      <c r="AD293" s="64"/>
      <c r="AE293" s="64"/>
      <c r="AF293" s="64"/>
      <c r="AG293" s="55"/>
      <c r="AH293" s="55"/>
      <c r="AI293" s="64"/>
      <c r="AJ293" s="64"/>
      <c r="AK293" s="64"/>
      <c r="AL293" s="64"/>
      <c r="AM293" s="64"/>
      <c r="AN293" s="64"/>
      <c r="AO293" s="55"/>
      <c r="AP293" s="55"/>
      <c r="AQ293" s="64"/>
      <c r="AR293" s="64"/>
      <c r="AS293" s="64"/>
      <c r="AT293" s="64"/>
      <c r="AU293" s="64"/>
      <c r="AV293" s="55"/>
      <c r="AW293" s="55"/>
      <c r="AX293" s="64"/>
      <c r="AY293" s="64"/>
      <c r="AZ293" s="64"/>
      <c r="BA293" s="64"/>
      <c r="BB293" s="64"/>
      <c r="BC293" s="55"/>
      <c r="BD293" s="55"/>
      <c r="BE293" s="64"/>
      <c r="BF293" s="55"/>
      <c r="BG293" s="64"/>
      <c r="BH293" s="64"/>
      <c r="BI293" s="64"/>
      <c r="BJ293" s="64"/>
      <c r="BK293" s="55"/>
      <c r="BL293" s="55"/>
      <c r="BM293" s="55"/>
      <c r="BN293" s="64"/>
      <c r="BO293" s="64"/>
      <c r="BP293" s="64"/>
      <c r="BQ293" s="64"/>
      <c r="BR293" s="64"/>
      <c r="BS293" s="64"/>
      <c r="BT293" s="64"/>
      <c r="BU293" s="64"/>
      <c r="BV293" s="64"/>
      <c r="BW293" s="55"/>
      <c r="BX293" s="55"/>
      <c r="BY293" s="55"/>
      <c r="BZ293" s="55"/>
      <c r="CA293" s="55"/>
      <c r="CB293" s="55"/>
      <c r="CC293" s="55"/>
      <c r="CD293" s="55"/>
      <c r="CE293" s="55"/>
      <c r="CF293" s="55"/>
      <c r="CG293" s="55"/>
      <c r="CH293" s="55"/>
    </row>
    <row r="294" ht="16.5" customHeight="1">
      <c r="A294" s="55"/>
      <c r="B294" s="55"/>
      <c r="C294" s="55"/>
      <c r="D294" s="55"/>
      <c r="E294" s="55"/>
      <c r="F294" s="55"/>
      <c r="G294" s="55"/>
      <c r="H294" s="64"/>
      <c r="I294" s="64"/>
      <c r="J294" s="64"/>
      <c r="K294" s="64"/>
      <c r="L294" s="64"/>
      <c r="M294" s="64"/>
      <c r="N294" s="64"/>
      <c r="O294" s="64"/>
      <c r="P294" s="64"/>
      <c r="Q294" s="64"/>
      <c r="R294" s="64"/>
      <c r="S294" s="64"/>
      <c r="T294" s="55"/>
      <c r="U294" s="55"/>
      <c r="V294" s="55"/>
      <c r="W294" s="64"/>
      <c r="X294" s="64"/>
      <c r="Y294" s="55"/>
      <c r="Z294" s="55"/>
      <c r="AA294" s="55"/>
      <c r="AB294" s="64"/>
      <c r="AC294" s="64"/>
      <c r="AD294" s="64"/>
      <c r="AE294" s="64"/>
      <c r="AF294" s="64"/>
      <c r="AG294" s="55"/>
      <c r="AH294" s="55"/>
      <c r="AI294" s="64"/>
      <c r="AJ294" s="64"/>
      <c r="AK294" s="64"/>
      <c r="AL294" s="64"/>
      <c r="AM294" s="64"/>
      <c r="AN294" s="64"/>
      <c r="AO294" s="55"/>
      <c r="AP294" s="55"/>
      <c r="AQ294" s="64"/>
      <c r="AR294" s="64"/>
      <c r="AS294" s="64"/>
      <c r="AT294" s="64"/>
      <c r="AU294" s="64"/>
      <c r="AV294" s="55"/>
      <c r="AW294" s="55"/>
      <c r="AX294" s="64"/>
      <c r="AY294" s="64"/>
      <c r="AZ294" s="64"/>
      <c r="BA294" s="64"/>
      <c r="BB294" s="64"/>
      <c r="BC294" s="55"/>
      <c r="BD294" s="55"/>
      <c r="BE294" s="64"/>
      <c r="BF294" s="55"/>
      <c r="BG294" s="64"/>
      <c r="BH294" s="64"/>
      <c r="BI294" s="64"/>
      <c r="BJ294" s="64"/>
      <c r="BK294" s="55"/>
      <c r="BL294" s="55"/>
      <c r="BM294" s="55"/>
      <c r="BN294" s="64"/>
      <c r="BO294" s="64"/>
      <c r="BP294" s="64"/>
      <c r="BQ294" s="64"/>
      <c r="BR294" s="64"/>
      <c r="BS294" s="64"/>
      <c r="BT294" s="64"/>
      <c r="BU294" s="64"/>
      <c r="BV294" s="64"/>
      <c r="BW294" s="55"/>
      <c r="BX294" s="55"/>
      <c r="BY294" s="55"/>
      <c r="BZ294" s="55"/>
      <c r="CA294" s="55"/>
      <c r="CB294" s="55"/>
      <c r="CC294" s="55"/>
      <c r="CD294" s="55"/>
      <c r="CE294" s="55"/>
      <c r="CF294" s="55"/>
      <c r="CG294" s="55"/>
      <c r="CH294" s="55"/>
    </row>
    <row r="295" ht="16.5" customHeight="1">
      <c r="A295" s="55"/>
      <c r="B295" s="55"/>
      <c r="C295" s="55"/>
      <c r="D295" s="55"/>
      <c r="E295" s="55"/>
      <c r="F295" s="55"/>
      <c r="G295" s="55"/>
      <c r="H295" s="64"/>
      <c r="I295" s="64"/>
      <c r="J295" s="64"/>
      <c r="K295" s="64"/>
      <c r="L295" s="64"/>
      <c r="M295" s="64"/>
      <c r="N295" s="64"/>
      <c r="O295" s="64"/>
      <c r="P295" s="64"/>
      <c r="Q295" s="64"/>
      <c r="R295" s="64"/>
      <c r="S295" s="64"/>
      <c r="T295" s="55"/>
      <c r="U295" s="55"/>
      <c r="V295" s="55"/>
      <c r="W295" s="64"/>
      <c r="X295" s="64"/>
      <c r="Y295" s="55"/>
      <c r="Z295" s="55"/>
      <c r="AA295" s="55"/>
      <c r="AB295" s="64"/>
      <c r="AC295" s="64"/>
      <c r="AD295" s="64"/>
      <c r="AE295" s="64"/>
      <c r="AF295" s="64"/>
      <c r="AG295" s="55"/>
      <c r="AH295" s="55"/>
      <c r="AI295" s="64"/>
      <c r="AJ295" s="64"/>
      <c r="AK295" s="64"/>
      <c r="AL295" s="64"/>
      <c r="AM295" s="64"/>
      <c r="AN295" s="64"/>
      <c r="AO295" s="55"/>
      <c r="AP295" s="55"/>
      <c r="AQ295" s="64"/>
      <c r="AR295" s="64"/>
      <c r="AS295" s="64"/>
      <c r="AT295" s="64"/>
      <c r="AU295" s="64"/>
      <c r="AV295" s="55"/>
      <c r="AW295" s="55"/>
      <c r="AX295" s="64"/>
      <c r="AY295" s="64"/>
      <c r="AZ295" s="64"/>
      <c r="BA295" s="64"/>
      <c r="BB295" s="64"/>
      <c r="BC295" s="55"/>
      <c r="BD295" s="55"/>
      <c r="BE295" s="64"/>
      <c r="BF295" s="55"/>
      <c r="BG295" s="64"/>
      <c r="BH295" s="64"/>
      <c r="BI295" s="64"/>
      <c r="BJ295" s="64"/>
      <c r="BK295" s="55"/>
      <c r="BL295" s="55"/>
      <c r="BM295" s="55"/>
      <c r="BN295" s="64"/>
      <c r="BO295" s="64"/>
      <c r="BP295" s="64"/>
      <c r="BQ295" s="64"/>
      <c r="BR295" s="64"/>
      <c r="BS295" s="64"/>
      <c r="BT295" s="64"/>
      <c r="BU295" s="64"/>
      <c r="BV295" s="64"/>
      <c r="BW295" s="55"/>
      <c r="BX295" s="55"/>
      <c r="BY295" s="55"/>
      <c r="BZ295" s="55"/>
      <c r="CA295" s="55"/>
      <c r="CB295" s="55"/>
      <c r="CC295" s="55"/>
      <c r="CD295" s="55"/>
      <c r="CE295" s="55"/>
      <c r="CF295" s="55"/>
      <c r="CG295" s="55"/>
      <c r="CH295" s="55"/>
    </row>
    <row r="296" ht="16.5" customHeight="1">
      <c r="A296" s="55"/>
      <c r="B296" s="55"/>
      <c r="C296" s="55"/>
      <c r="D296" s="55"/>
      <c r="E296" s="55"/>
      <c r="F296" s="55"/>
      <c r="G296" s="55"/>
      <c r="H296" s="64"/>
      <c r="I296" s="64"/>
      <c r="J296" s="64"/>
      <c r="K296" s="64"/>
      <c r="L296" s="64"/>
      <c r="M296" s="64"/>
      <c r="N296" s="64"/>
      <c r="O296" s="64"/>
      <c r="P296" s="64"/>
      <c r="Q296" s="64"/>
      <c r="R296" s="64"/>
      <c r="S296" s="64"/>
      <c r="T296" s="55"/>
      <c r="U296" s="55"/>
      <c r="V296" s="55"/>
      <c r="W296" s="64"/>
      <c r="X296" s="64"/>
      <c r="Y296" s="55"/>
      <c r="Z296" s="55"/>
      <c r="AA296" s="55"/>
      <c r="AB296" s="64"/>
      <c r="AC296" s="64"/>
      <c r="AD296" s="64"/>
      <c r="AE296" s="64"/>
      <c r="AF296" s="64"/>
      <c r="AG296" s="55"/>
      <c r="AH296" s="55"/>
      <c r="AI296" s="64"/>
      <c r="AJ296" s="64"/>
      <c r="AK296" s="64"/>
      <c r="AL296" s="64"/>
      <c r="AM296" s="64"/>
      <c r="AN296" s="64"/>
      <c r="AO296" s="55"/>
      <c r="AP296" s="55"/>
      <c r="AQ296" s="64"/>
      <c r="AR296" s="64"/>
      <c r="AS296" s="64"/>
      <c r="AT296" s="64"/>
      <c r="AU296" s="64"/>
      <c r="AV296" s="55"/>
      <c r="AW296" s="55"/>
      <c r="AX296" s="64"/>
      <c r="AY296" s="64"/>
      <c r="AZ296" s="64"/>
      <c r="BA296" s="64"/>
      <c r="BB296" s="64"/>
      <c r="BC296" s="55"/>
      <c r="BD296" s="55"/>
      <c r="BE296" s="64"/>
      <c r="BF296" s="55"/>
      <c r="BG296" s="64"/>
      <c r="BH296" s="64"/>
      <c r="BI296" s="64"/>
      <c r="BJ296" s="64"/>
      <c r="BK296" s="55"/>
      <c r="BL296" s="55"/>
      <c r="BM296" s="55"/>
      <c r="BN296" s="64"/>
      <c r="BO296" s="64"/>
      <c r="BP296" s="64"/>
      <c r="BQ296" s="64"/>
      <c r="BR296" s="64"/>
      <c r="BS296" s="64"/>
      <c r="BT296" s="64"/>
      <c r="BU296" s="64"/>
      <c r="BV296" s="64"/>
      <c r="BW296" s="55"/>
      <c r="BX296" s="55"/>
      <c r="BY296" s="55"/>
      <c r="BZ296" s="55"/>
      <c r="CA296" s="55"/>
      <c r="CB296" s="55"/>
      <c r="CC296" s="55"/>
      <c r="CD296" s="55"/>
      <c r="CE296" s="55"/>
      <c r="CF296" s="55"/>
      <c r="CG296" s="55"/>
      <c r="CH296" s="55"/>
    </row>
    <row r="297" ht="16.5" customHeight="1">
      <c r="A297" s="55"/>
      <c r="B297" s="55"/>
      <c r="C297" s="55"/>
      <c r="D297" s="55"/>
      <c r="E297" s="55"/>
      <c r="F297" s="55"/>
      <c r="G297" s="55"/>
      <c r="H297" s="64"/>
      <c r="I297" s="64"/>
      <c r="J297" s="64"/>
      <c r="K297" s="64"/>
      <c r="L297" s="64"/>
      <c r="M297" s="64"/>
      <c r="N297" s="64"/>
      <c r="O297" s="64"/>
      <c r="P297" s="64"/>
      <c r="Q297" s="64"/>
      <c r="R297" s="64"/>
      <c r="S297" s="64"/>
      <c r="T297" s="55"/>
      <c r="U297" s="55"/>
      <c r="V297" s="55"/>
      <c r="W297" s="64"/>
      <c r="X297" s="64"/>
      <c r="Y297" s="55"/>
      <c r="Z297" s="55"/>
      <c r="AA297" s="55"/>
      <c r="AB297" s="64"/>
      <c r="AC297" s="64"/>
      <c r="AD297" s="64"/>
      <c r="AE297" s="64"/>
      <c r="AF297" s="64"/>
      <c r="AG297" s="55"/>
      <c r="AH297" s="55"/>
      <c r="AI297" s="64"/>
      <c r="AJ297" s="64"/>
      <c r="AK297" s="64"/>
      <c r="AL297" s="64"/>
      <c r="AM297" s="64"/>
      <c r="AN297" s="64"/>
      <c r="AO297" s="55"/>
      <c r="AP297" s="55"/>
      <c r="AQ297" s="64"/>
      <c r="AR297" s="64"/>
      <c r="AS297" s="64"/>
      <c r="AT297" s="64"/>
      <c r="AU297" s="64"/>
      <c r="AV297" s="55"/>
      <c r="AW297" s="55"/>
      <c r="AX297" s="64"/>
      <c r="AY297" s="64"/>
      <c r="AZ297" s="64"/>
      <c r="BA297" s="64"/>
      <c r="BB297" s="64"/>
      <c r="BC297" s="55"/>
      <c r="BD297" s="55"/>
      <c r="BE297" s="64"/>
      <c r="BF297" s="55"/>
      <c r="BG297" s="64"/>
      <c r="BH297" s="64"/>
      <c r="BI297" s="64"/>
      <c r="BJ297" s="64"/>
      <c r="BK297" s="55"/>
      <c r="BL297" s="55"/>
      <c r="BM297" s="55"/>
      <c r="BN297" s="64"/>
      <c r="BO297" s="64"/>
      <c r="BP297" s="64"/>
      <c r="BQ297" s="64"/>
      <c r="BR297" s="64"/>
      <c r="BS297" s="64"/>
      <c r="BT297" s="64"/>
      <c r="BU297" s="64"/>
      <c r="BV297" s="64"/>
      <c r="BW297" s="55"/>
      <c r="BX297" s="55"/>
      <c r="BY297" s="55"/>
      <c r="BZ297" s="55"/>
      <c r="CA297" s="55"/>
      <c r="CB297" s="55"/>
      <c r="CC297" s="55"/>
      <c r="CD297" s="55"/>
      <c r="CE297" s="55"/>
      <c r="CF297" s="55"/>
      <c r="CG297" s="55"/>
      <c r="CH297" s="55"/>
    </row>
    <row r="298" ht="16.5" customHeight="1">
      <c r="A298" s="55"/>
      <c r="B298" s="55"/>
      <c r="C298" s="55"/>
      <c r="D298" s="55"/>
      <c r="E298" s="55"/>
      <c r="F298" s="55"/>
      <c r="G298" s="55"/>
      <c r="H298" s="64"/>
      <c r="I298" s="64"/>
      <c r="J298" s="64"/>
      <c r="K298" s="64"/>
      <c r="L298" s="64"/>
      <c r="M298" s="64"/>
      <c r="N298" s="64"/>
      <c r="O298" s="64"/>
      <c r="P298" s="64"/>
      <c r="Q298" s="64"/>
      <c r="R298" s="64"/>
      <c r="S298" s="64"/>
      <c r="T298" s="55"/>
      <c r="U298" s="55"/>
      <c r="V298" s="55"/>
      <c r="W298" s="64"/>
      <c r="X298" s="64"/>
      <c r="Y298" s="55"/>
      <c r="Z298" s="55"/>
      <c r="AA298" s="55"/>
      <c r="AB298" s="64"/>
      <c r="AC298" s="64"/>
      <c r="AD298" s="64"/>
      <c r="AE298" s="64"/>
      <c r="AF298" s="64"/>
      <c r="AG298" s="55"/>
      <c r="AH298" s="55"/>
      <c r="AI298" s="64"/>
      <c r="AJ298" s="64"/>
      <c r="AK298" s="64"/>
      <c r="AL298" s="64"/>
      <c r="AM298" s="64"/>
      <c r="AN298" s="64"/>
      <c r="AO298" s="55"/>
      <c r="AP298" s="55"/>
      <c r="AQ298" s="64"/>
      <c r="AR298" s="64"/>
      <c r="AS298" s="64"/>
      <c r="AT298" s="64"/>
      <c r="AU298" s="64"/>
      <c r="AV298" s="55"/>
      <c r="AW298" s="55"/>
      <c r="AX298" s="64"/>
      <c r="AY298" s="64"/>
      <c r="AZ298" s="64"/>
      <c r="BA298" s="64"/>
      <c r="BB298" s="64"/>
      <c r="BC298" s="55"/>
      <c r="BD298" s="55"/>
      <c r="BE298" s="64"/>
      <c r="BF298" s="55"/>
      <c r="BG298" s="64"/>
      <c r="BH298" s="64"/>
      <c r="BI298" s="64"/>
      <c r="BJ298" s="64"/>
      <c r="BK298" s="55"/>
      <c r="BL298" s="55"/>
      <c r="BM298" s="55"/>
      <c r="BN298" s="64"/>
      <c r="BO298" s="64"/>
      <c r="BP298" s="64"/>
      <c r="BQ298" s="64"/>
      <c r="BR298" s="64"/>
      <c r="BS298" s="64"/>
      <c r="BT298" s="64"/>
      <c r="BU298" s="64"/>
      <c r="BV298" s="64"/>
      <c r="BW298" s="55"/>
      <c r="BX298" s="55"/>
      <c r="BY298" s="55"/>
      <c r="BZ298" s="55"/>
      <c r="CA298" s="55"/>
      <c r="CB298" s="55"/>
      <c r="CC298" s="55"/>
      <c r="CD298" s="55"/>
      <c r="CE298" s="55"/>
      <c r="CF298" s="55"/>
      <c r="CG298" s="55"/>
      <c r="CH298" s="55"/>
    </row>
    <row r="299" ht="16.5" customHeight="1">
      <c r="A299" s="55"/>
      <c r="B299" s="55"/>
      <c r="C299" s="55"/>
      <c r="D299" s="55"/>
      <c r="E299" s="55"/>
      <c r="F299" s="55"/>
      <c r="G299" s="55"/>
      <c r="H299" s="64"/>
      <c r="I299" s="64"/>
      <c r="J299" s="64"/>
      <c r="K299" s="64"/>
      <c r="L299" s="64"/>
      <c r="M299" s="64"/>
      <c r="N299" s="64"/>
      <c r="O299" s="64"/>
      <c r="P299" s="64"/>
      <c r="Q299" s="64"/>
      <c r="R299" s="64"/>
      <c r="S299" s="64"/>
      <c r="T299" s="55"/>
      <c r="U299" s="55"/>
      <c r="V299" s="55"/>
      <c r="W299" s="64"/>
      <c r="X299" s="64"/>
      <c r="Y299" s="55"/>
      <c r="Z299" s="55"/>
      <c r="AA299" s="55"/>
      <c r="AB299" s="64"/>
      <c r="AC299" s="64"/>
      <c r="AD299" s="64"/>
      <c r="AE299" s="64"/>
      <c r="AF299" s="64"/>
      <c r="AG299" s="55"/>
      <c r="AH299" s="55"/>
      <c r="AI299" s="64"/>
      <c r="AJ299" s="64"/>
      <c r="AK299" s="64"/>
      <c r="AL299" s="64"/>
      <c r="AM299" s="64"/>
      <c r="AN299" s="64"/>
      <c r="AO299" s="55"/>
      <c r="AP299" s="55"/>
      <c r="AQ299" s="64"/>
      <c r="AR299" s="64"/>
      <c r="AS299" s="64"/>
      <c r="AT299" s="64"/>
      <c r="AU299" s="64"/>
      <c r="AV299" s="55"/>
      <c r="AW299" s="55"/>
      <c r="AX299" s="64"/>
      <c r="AY299" s="64"/>
      <c r="AZ299" s="64"/>
      <c r="BA299" s="64"/>
      <c r="BB299" s="64"/>
      <c r="BC299" s="55"/>
      <c r="BD299" s="55"/>
      <c r="BE299" s="64"/>
      <c r="BF299" s="55"/>
      <c r="BG299" s="64"/>
      <c r="BH299" s="64"/>
      <c r="BI299" s="64"/>
      <c r="BJ299" s="64"/>
      <c r="BK299" s="55"/>
      <c r="BL299" s="55"/>
      <c r="BM299" s="55"/>
      <c r="BN299" s="64"/>
      <c r="BO299" s="64"/>
      <c r="BP299" s="64"/>
      <c r="BQ299" s="64"/>
      <c r="BR299" s="64"/>
      <c r="BS299" s="64"/>
      <c r="BT299" s="64"/>
      <c r="BU299" s="64"/>
      <c r="BV299" s="64"/>
      <c r="BW299" s="55"/>
      <c r="BX299" s="55"/>
      <c r="BY299" s="55"/>
      <c r="BZ299" s="55"/>
      <c r="CA299" s="55"/>
      <c r="CB299" s="55"/>
      <c r="CC299" s="55"/>
      <c r="CD299" s="55"/>
      <c r="CE299" s="55"/>
      <c r="CF299" s="55"/>
      <c r="CG299" s="55"/>
      <c r="CH299" s="55"/>
    </row>
    <row r="300" ht="16.5" customHeight="1">
      <c r="A300" s="55"/>
      <c r="B300" s="55"/>
      <c r="C300" s="55"/>
      <c r="D300" s="55"/>
      <c r="E300" s="55"/>
      <c r="F300" s="55"/>
      <c r="G300" s="55"/>
      <c r="H300" s="64"/>
      <c r="I300" s="64"/>
      <c r="J300" s="64"/>
      <c r="K300" s="64"/>
      <c r="L300" s="64"/>
      <c r="M300" s="64"/>
      <c r="N300" s="64"/>
      <c r="O300" s="64"/>
      <c r="P300" s="64"/>
      <c r="Q300" s="64"/>
      <c r="R300" s="64"/>
      <c r="S300" s="64"/>
      <c r="T300" s="55"/>
      <c r="U300" s="55"/>
      <c r="V300" s="55"/>
      <c r="W300" s="64"/>
      <c r="X300" s="64"/>
      <c r="Y300" s="55"/>
      <c r="Z300" s="55"/>
      <c r="AA300" s="55"/>
      <c r="AB300" s="64"/>
      <c r="AC300" s="64"/>
      <c r="AD300" s="64"/>
      <c r="AE300" s="64"/>
      <c r="AF300" s="64"/>
      <c r="AG300" s="55"/>
      <c r="AH300" s="55"/>
      <c r="AI300" s="64"/>
      <c r="AJ300" s="64"/>
      <c r="AK300" s="64"/>
      <c r="AL300" s="64"/>
      <c r="AM300" s="64"/>
      <c r="AN300" s="64"/>
      <c r="AO300" s="55"/>
      <c r="AP300" s="55"/>
      <c r="AQ300" s="64"/>
      <c r="AR300" s="64"/>
      <c r="AS300" s="64"/>
      <c r="AT300" s="64"/>
      <c r="AU300" s="64"/>
      <c r="AV300" s="55"/>
      <c r="AW300" s="55"/>
      <c r="AX300" s="64"/>
      <c r="AY300" s="64"/>
      <c r="AZ300" s="64"/>
      <c r="BA300" s="64"/>
      <c r="BB300" s="64"/>
      <c r="BC300" s="55"/>
      <c r="BD300" s="55"/>
      <c r="BE300" s="64"/>
      <c r="BF300" s="55"/>
      <c r="BG300" s="64"/>
      <c r="BH300" s="64"/>
      <c r="BI300" s="64"/>
      <c r="BJ300" s="64"/>
      <c r="BK300" s="55"/>
      <c r="BL300" s="55"/>
      <c r="BM300" s="55"/>
      <c r="BN300" s="64"/>
      <c r="BO300" s="64"/>
      <c r="BP300" s="64"/>
      <c r="BQ300" s="64"/>
      <c r="BR300" s="64"/>
      <c r="BS300" s="64"/>
      <c r="BT300" s="64"/>
      <c r="BU300" s="64"/>
      <c r="BV300" s="64"/>
      <c r="BW300" s="55"/>
      <c r="BX300" s="55"/>
      <c r="BY300" s="55"/>
      <c r="BZ300" s="55"/>
      <c r="CA300" s="55"/>
      <c r="CB300" s="55"/>
      <c r="CC300" s="55"/>
      <c r="CD300" s="55"/>
      <c r="CE300" s="55"/>
      <c r="CF300" s="55"/>
      <c r="CG300" s="55"/>
      <c r="CH300" s="55"/>
    </row>
    <row r="301" ht="16.5" customHeight="1">
      <c r="A301" s="55"/>
      <c r="B301" s="55"/>
      <c r="C301" s="55"/>
      <c r="D301" s="55"/>
      <c r="E301" s="55"/>
      <c r="F301" s="55"/>
      <c r="G301" s="55"/>
      <c r="H301" s="64"/>
      <c r="I301" s="64"/>
      <c r="J301" s="64"/>
      <c r="K301" s="64"/>
      <c r="L301" s="64"/>
      <c r="M301" s="64"/>
      <c r="N301" s="64"/>
      <c r="O301" s="64"/>
      <c r="P301" s="64"/>
      <c r="Q301" s="64"/>
      <c r="R301" s="64"/>
      <c r="S301" s="64"/>
      <c r="T301" s="55"/>
      <c r="U301" s="55"/>
      <c r="V301" s="55"/>
      <c r="W301" s="64"/>
      <c r="X301" s="64"/>
      <c r="Y301" s="55"/>
      <c r="Z301" s="55"/>
      <c r="AA301" s="55"/>
      <c r="AB301" s="64"/>
      <c r="AC301" s="64"/>
      <c r="AD301" s="64"/>
      <c r="AE301" s="64"/>
      <c r="AF301" s="64"/>
      <c r="AG301" s="55"/>
      <c r="AH301" s="55"/>
      <c r="AI301" s="64"/>
      <c r="AJ301" s="64"/>
      <c r="AK301" s="64"/>
      <c r="AL301" s="64"/>
      <c r="AM301" s="64"/>
      <c r="AN301" s="64"/>
      <c r="AO301" s="55"/>
      <c r="AP301" s="55"/>
      <c r="AQ301" s="64"/>
      <c r="AR301" s="64"/>
      <c r="AS301" s="64"/>
      <c r="AT301" s="64"/>
      <c r="AU301" s="64"/>
      <c r="AV301" s="55"/>
      <c r="AW301" s="55"/>
      <c r="AX301" s="64"/>
      <c r="AY301" s="64"/>
      <c r="AZ301" s="64"/>
      <c r="BA301" s="64"/>
      <c r="BB301" s="64"/>
      <c r="BC301" s="55"/>
      <c r="BD301" s="55"/>
      <c r="BE301" s="64"/>
      <c r="BF301" s="55"/>
      <c r="BG301" s="64"/>
      <c r="BH301" s="64"/>
      <c r="BI301" s="64"/>
      <c r="BJ301" s="64"/>
      <c r="BK301" s="55"/>
      <c r="BL301" s="55"/>
      <c r="BM301" s="55"/>
      <c r="BN301" s="64"/>
      <c r="BO301" s="64"/>
      <c r="BP301" s="64"/>
      <c r="BQ301" s="64"/>
      <c r="BR301" s="64"/>
      <c r="BS301" s="64"/>
      <c r="BT301" s="64"/>
      <c r="BU301" s="64"/>
      <c r="BV301" s="64"/>
      <c r="BW301" s="55"/>
      <c r="BX301" s="55"/>
      <c r="BY301" s="55"/>
      <c r="BZ301" s="55"/>
      <c r="CA301" s="55"/>
      <c r="CB301" s="55"/>
      <c r="CC301" s="55"/>
      <c r="CD301" s="55"/>
      <c r="CE301" s="55"/>
      <c r="CF301" s="55"/>
      <c r="CG301" s="55"/>
      <c r="CH301" s="55"/>
    </row>
    <row r="302" ht="16.5" customHeight="1">
      <c r="A302" s="55"/>
      <c r="B302" s="55"/>
      <c r="C302" s="55"/>
      <c r="D302" s="55"/>
      <c r="E302" s="55"/>
      <c r="F302" s="55"/>
      <c r="G302" s="55"/>
      <c r="H302" s="64"/>
      <c r="I302" s="64"/>
      <c r="J302" s="64"/>
      <c r="K302" s="64"/>
      <c r="L302" s="64"/>
      <c r="M302" s="64"/>
      <c r="N302" s="64"/>
      <c r="O302" s="64"/>
      <c r="P302" s="64"/>
      <c r="Q302" s="64"/>
      <c r="R302" s="64"/>
      <c r="S302" s="64"/>
      <c r="T302" s="55"/>
      <c r="U302" s="55"/>
      <c r="V302" s="55"/>
      <c r="W302" s="64"/>
      <c r="X302" s="64"/>
      <c r="Y302" s="55"/>
      <c r="Z302" s="55"/>
      <c r="AA302" s="55"/>
      <c r="AB302" s="64"/>
      <c r="AC302" s="64"/>
      <c r="AD302" s="64"/>
      <c r="AE302" s="64"/>
      <c r="AF302" s="64"/>
      <c r="AG302" s="55"/>
      <c r="AH302" s="55"/>
      <c r="AI302" s="64"/>
      <c r="AJ302" s="64"/>
      <c r="AK302" s="64"/>
      <c r="AL302" s="64"/>
      <c r="AM302" s="64"/>
      <c r="AN302" s="64"/>
      <c r="AO302" s="55"/>
      <c r="AP302" s="55"/>
      <c r="AQ302" s="64"/>
      <c r="AR302" s="64"/>
      <c r="AS302" s="64"/>
      <c r="AT302" s="64"/>
      <c r="AU302" s="64"/>
      <c r="AV302" s="55"/>
      <c r="AW302" s="55"/>
      <c r="AX302" s="64"/>
      <c r="AY302" s="64"/>
      <c r="AZ302" s="64"/>
      <c r="BA302" s="64"/>
      <c r="BB302" s="64"/>
      <c r="BC302" s="55"/>
      <c r="BD302" s="55"/>
      <c r="BE302" s="64"/>
      <c r="BF302" s="55"/>
      <c r="BG302" s="64"/>
      <c r="BH302" s="64"/>
      <c r="BI302" s="64"/>
      <c r="BJ302" s="64"/>
      <c r="BK302" s="55"/>
      <c r="BL302" s="55"/>
      <c r="BM302" s="55"/>
      <c r="BN302" s="64"/>
      <c r="BO302" s="64"/>
      <c r="BP302" s="64"/>
      <c r="BQ302" s="64"/>
      <c r="BR302" s="64"/>
      <c r="BS302" s="64"/>
      <c r="BT302" s="64"/>
      <c r="BU302" s="64"/>
      <c r="BV302" s="64"/>
      <c r="BW302" s="55"/>
      <c r="BX302" s="55"/>
      <c r="BY302" s="55"/>
      <c r="BZ302" s="55"/>
      <c r="CA302" s="55"/>
      <c r="CB302" s="55"/>
      <c r="CC302" s="55"/>
      <c r="CD302" s="55"/>
      <c r="CE302" s="55"/>
      <c r="CF302" s="55"/>
      <c r="CG302" s="55"/>
      <c r="CH302" s="55"/>
    </row>
    <row r="303" ht="16.5" customHeight="1">
      <c r="A303" s="55"/>
      <c r="B303" s="55"/>
      <c r="C303" s="55"/>
      <c r="D303" s="55"/>
      <c r="E303" s="55"/>
      <c r="F303" s="55"/>
      <c r="G303" s="55"/>
      <c r="H303" s="64"/>
      <c r="I303" s="64"/>
      <c r="J303" s="64"/>
      <c r="K303" s="64"/>
      <c r="L303" s="64"/>
      <c r="M303" s="64"/>
      <c r="N303" s="64"/>
      <c r="O303" s="64"/>
      <c r="P303" s="64"/>
      <c r="Q303" s="64"/>
      <c r="R303" s="64"/>
      <c r="S303" s="64"/>
      <c r="T303" s="55"/>
      <c r="U303" s="55"/>
      <c r="V303" s="55"/>
      <c r="W303" s="64"/>
      <c r="X303" s="64"/>
      <c r="Y303" s="55"/>
      <c r="Z303" s="55"/>
      <c r="AA303" s="55"/>
      <c r="AB303" s="64"/>
      <c r="AC303" s="64"/>
      <c r="AD303" s="64"/>
      <c r="AE303" s="64"/>
      <c r="AF303" s="64"/>
      <c r="AG303" s="55"/>
      <c r="AH303" s="55"/>
      <c r="AI303" s="64"/>
      <c r="AJ303" s="64"/>
      <c r="AK303" s="64"/>
      <c r="AL303" s="64"/>
      <c r="AM303" s="64"/>
      <c r="AN303" s="64"/>
      <c r="AO303" s="55"/>
      <c r="AP303" s="55"/>
      <c r="AQ303" s="64"/>
      <c r="AR303" s="64"/>
      <c r="AS303" s="64"/>
      <c r="AT303" s="64"/>
      <c r="AU303" s="64"/>
      <c r="AV303" s="55"/>
      <c r="AW303" s="55"/>
      <c r="AX303" s="64"/>
      <c r="AY303" s="64"/>
      <c r="AZ303" s="64"/>
      <c r="BA303" s="64"/>
      <c r="BB303" s="64"/>
      <c r="BC303" s="55"/>
      <c r="BD303" s="55"/>
      <c r="BE303" s="64"/>
      <c r="BF303" s="55"/>
      <c r="BG303" s="64"/>
      <c r="BH303" s="64"/>
      <c r="BI303" s="64"/>
      <c r="BJ303" s="64"/>
      <c r="BK303" s="55"/>
      <c r="BL303" s="55"/>
      <c r="BM303" s="55"/>
      <c r="BN303" s="64"/>
      <c r="BO303" s="64"/>
      <c r="BP303" s="64"/>
      <c r="BQ303" s="64"/>
      <c r="BR303" s="64"/>
      <c r="BS303" s="64"/>
      <c r="BT303" s="64"/>
      <c r="BU303" s="64"/>
      <c r="BV303" s="64"/>
      <c r="BW303" s="55"/>
      <c r="BX303" s="55"/>
      <c r="BY303" s="55"/>
      <c r="BZ303" s="55"/>
      <c r="CA303" s="55"/>
      <c r="CB303" s="55"/>
      <c r="CC303" s="55"/>
      <c r="CD303" s="55"/>
      <c r="CE303" s="55"/>
      <c r="CF303" s="55"/>
      <c r="CG303" s="55"/>
      <c r="CH303" s="55"/>
    </row>
    <row r="304" ht="16.5" customHeight="1">
      <c r="A304" s="55"/>
      <c r="B304" s="55"/>
      <c r="C304" s="55"/>
      <c r="D304" s="55"/>
      <c r="E304" s="55"/>
      <c r="F304" s="55"/>
      <c r="G304" s="55"/>
      <c r="H304" s="64"/>
      <c r="I304" s="64"/>
      <c r="J304" s="64"/>
      <c r="K304" s="64"/>
      <c r="L304" s="64"/>
      <c r="M304" s="64"/>
      <c r="N304" s="64"/>
      <c r="O304" s="64"/>
      <c r="P304" s="64"/>
      <c r="Q304" s="64"/>
      <c r="R304" s="64"/>
      <c r="S304" s="64"/>
      <c r="T304" s="55"/>
      <c r="U304" s="55"/>
      <c r="V304" s="55"/>
      <c r="W304" s="64"/>
      <c r="X304" s="64"/>
      <c r="Y304" s="55"/>
      <c r="Z304" s="55"/>
      <c r="AA304" s="55"/>
      <c r="AB304" s="64"/>
      <c r="AC304" s="64"/>
      <c r="AD304" s="64"/>
      <c r="AE304" s="64"/>
      <c r="AF304" s="64"/>
      <c r="AG304" s="55"/>
      <c r="AH304" s="55"/>
      <c r="AI304" s="64"/>
      <c r="AJ304" s="64"/>
      <c r="AK304" s="64"/>
      <c r="AL304" s="64"/>
      <c r="AM304" s="64"/>
      <c r="AN304" s="64"/>
      <c r="AO304" s="55"/>
      <c r="AP304" s="55"/>
      <c r="AQ304" s="64"/>
      <c r="AR304" s="64"/>
      <c r="AS304" s="64"/>
      <c r="AT304" s="64"/>
      <c r="AU304" s="64"/>
      <c r="AV304" s="55"/>
      <c r="AW304" s="55"/>
      <c r="AX304" s="64"/>
      <c r="AY304" s="64"/>
      <c r="AZ304" s="64"/>
      <c r="BA304" s="64"/>
      <c r="BB304" s="64"/>
      <c r="BC304" s="55"/>
      <c r="BD304" s="55"/>
      <c r="BE304" s="64"/>
      <c r="BF304" s="55"/>
      <c r="BG304" s="64"/>
      <c r="BH304" s="64"/>
      <c r="BI304" s="64"/>
      <c r="BJ304" s="64"/>
      <c r="BK304" s="55"/>
      <c r="BL304" s="55"/>
      <c r="BM304" s="55"/>
      <c r="BN304" s="64"/>
      <c r="BO304" s="64"/>
      <c r="BP304" s="64"/>
      <c r="BQ304" s="64"/>
      <c r="BR304" s="64"/>
      <c r="BS304" s="64"/>
      <c r="BT304" s="64"/>
      <c r="BU304" s="64"/>
      <c r="BV304" s="64"/>
      <c r="BW304" s="55"/>
      <c r="BX304" s="55"/>
      <c r="BY304" s="55"/>
      <c r="BZ304" s="55"/>
      <c r="CA304" s="55"/>
      <c r="CB304" s="55"/>
      <c r="CC304" s="55"/>
      <c r="CD304" s="55"/>
      <c r="CE304" s="55"/>
      <c r="CF304" s="55"/>
      <c r="CG304" s="55"/>
      <c r="CH304" s="55"/>
    </row>
    <row r="305" ht="16.5" customHeight="1">
      <c r="A305" s="55"/>
      <c r="B305" s="55"/>
      <c r="C305" s="55"/>
      <c r="D305" s="55"/>
      <c r="E305" s="55"/>
      <c r="F305" s="55"/>
      <c r="G305" s="55"/>
      <c r="H305" s="64"/>
      <c r="I305" s="64"/>
      <c r="J305" s="64"/>
      <c r="K305" s="64"/>
      <c r="L305" s="64"/>
      <c r="M305" s="64"/>
      <c r="N305" s="64"/>
      <c r="O305" s="64"/>
      <c r="P305" s="64"/>
      <c r="Q305" s="64"/>
      <c r="R305" s="64"/>
      <c r="S305" s="64"/>
      <c r="T305" s="55"/>
      <c r="U305" s="55"/>
      <c r="V305" s="55"/>
      <c r="W305" s="64"/>
      <c r="X305" s="64"/>
      <c r="Y305" s="55"/>
      <c r="Z305" s="55"/>
      <c r="AA305" s="55"/>
      <c r="AB305" s="64"/>
      <c r="AC305" s="64"/>
      <c r="AD305" s="64"/>
      <c r="AE305" s="64"/>
      <c r="AF305" s="64"/>
      <c r="AG305" s="55"/>
      <c r="AH305" s="55"/>
      <c r="AI305" s="64"/>
      <c r="AJ305" s="64"/>
      <c r="AK305" s="64"/>
      <c r="AL305" s="64"/>
      <c r="AM305" s="64"/>
      <c r="AN305" s="64"/>
      <c r="AO305" s="55"/>
      <c r="AP305" s="55"/>
      <c r="AQ305" s="64"/>
      <c r="AR305" s="64"/>
      <c r="AS305" s="64"/>
      <c r="AT305" s="64"/>
      <c r="AU305" s="64"/>
      <c r="AV305" s="55"/>
      <c r="AW305" s="55"/>
      <c r="AX305" s="64"/>
      <c r="AY305" s="64"/>
      <c r="AZ305" s="64"/>
      <c r="BA305" s="64"/>
      <c r="BB305" s="64"/>
      <c r="BC305" s="55"/>
      <c r="BD305" s="55"/>
      <c r="BE305" s="64"/>
      <c r="BF305" s="55"/>
      <c r="BG305" s="64"/>
      <c r="BH305" s="64"/>
      <c r="BI305" s="64"/>
      <c r="BJ305" s="64"/>
      <c r="BK305" s="55"/>
      <c r="BL305" s="55"/>
      <c r="BM305" s="55"/>
      <c r="BN305" s="64"/>
      <c r="BO305" s="64"/>
      <c r="BP305" s="64"/>
      <c r="BQ305" s="64"/>
      <c r="BR305" s="64"/>
      <c r="BS305" s="64"/>
      <c r="BT305" s="64"/>
      <c r="BU305" s="64"/>
      <c r="BV305" s="64"/>
      <c r="BW305" s="55"/>
      <c r="BX305" s="55"/>
      <c r="BY305" s="55"/>
      <c r="BZ305" s="55"/>
      <c r="CA305" s="55"/>
      <c r="CB305" s="55"/>
      <c r="CC305" s="55"/>
      <c r="CD305" s="55"/>
      <c r="CE305" s="55"/>
      <c r="CF305" s="55"/>
      <c r="CG305" s="55"/>
      <c r="CH305" s="55"/>
    </row>
    <row r="306" ht="16.5" customHeight="1">
      <c r="A306" s="55"/>
      <c r="B306" s="55"/>
      <c r="C306" s="55"/>
      <c r="D306" s="55"/>
      <c r="E306" s="55"/>
      <c r="F306" s="55"/>
      <c r="G306" s="55"/>
      <c r="H306" s="64"/>
      <c r="I306" s="64"/>
      <c r="J306" s="64"/>
      <c r="K306" s="64"/>
      <c r="L306" s="64"/>
      <c r="M306" s="64"/>
      <c r="N306" s="64"/>
      <c r="O306" s="64"/>
      <c r="P306" s="64"/>
      <c r="Q306" s="64"/>
      <c r="R306" s="64"/>
      <c r="S306" s="64"/>
      <c r="T306" s="55"/>
      <c r="U306" s="55"/>
      <c r="V306" s="55"/>
      <c r="W306" s="64"/>
      <c r="X306" s="64"/>
      <c r="Y306" s="55"/>
      <c r="Z306" s="55"/>
      <c r="AA306" s="55"/>
      <c r="AB306" s="64"/>
      <c r="AC306" s="64"/>
      <c r="AD306" s="64"/>
      <c r="AE306" s="64"/>
      <c r="AF306" s="64"/>
      <c r="AG306" s="55"/>
      <c r="AH306" s="55"/>
      <c r="AI306" s="64"/>
      <c r="AJ306" s="64"/>
      <c r="AK306" s="64"/>
      <c r="AL306" s="64"/>
      <c r="AM306" s="64"/>
      <c r="AN306" s="64"/>
      <c r="AO306" s="55"/>
      <c r="AP306" s="55"/>
      <c r="AQ306" s="64"/>
      <c r="AR306" s="64"/>
      <c r="AS306" s="64"/>
      <c r="AT306" s="64"/>
      <c r="AU306" s="64"/>
      <c r="AV306" s="55"/>
      <c r="AW306" s="55"/>
      <c r="AX306" s="64"/>
      <c r="AY306" s="64"/>
      <c r="AZ306" s="64"/>
      <c r="BA306" s="64"/>
      <c r="BB306" s="64"/>
      <c r="BC306" s="55"/>
      <c r="BD306" s="55"/>
      <c r="BE306" s="64"/>
      <c r="BF306" s="55"/>
      <c r="BG306" s="64"/>
      <c r="BH306" s="64"/>
      <c r="BI306" s="64"/>
      <c r="BJ306" s="64"/>
      <c r="BK306" s="55"/>
      <c r="BL306" s="55"/>
      <c r="BM306" s="55"/>
      <c r="BN306" s="64"/>
      <c r="BO306" s="64"/>
      <c r="BP306" s="64"/>
      <c r="BQ306" s="64"/>
      <c r="BR306" s="64"/>
      <c r="BS306" s="64"/>
      <c r="BT306" s="64"/>
      <c r="BU306" s="64"/>
      <c r="BV306" s="64"/>
      <c r="BW306" s="55"/>
      <c r="BX306" s="55"/>
      <c r="BY306" s="55"/>
      <c r="BZ306" s="55"/>
      <c r="CA306" s="55"/>
      <c r="CB306" s="55"/>
      <c r="CC306" s="55"/>
      <c r="CD306" s="55"/>
      <c r="CE306" s="55"/>
      <c r="CF306" s="55"/>
      <c r="CG306" s="55"/>
      <c r="CH306" s="55"/>
    </row>
    <row r="307" ht="16.5" customHeight="1">
      <c r="A307" s="55"/>
      <c r="B307" s="55"/>
      <c r="C307" s="55"/>
      <c r="D307" s="55"/>
      <c r="E307" s="55"/>
      <c r="F307" s="55"/>
      <c r="G307" s="55"/>
      <c r="H307" s="64"/>
      <c r="I307" s="64"/>
      <c r="J307" s="64"/>
      <c r="K307" s="64"/>
      <c r="L307" s="64"/>
      <c r="M307" s="64"/>
      <c r="N307" s="64"/>
      <c r="O307" s="64"/>
      <c r="P307" s="64"/>
      <c r="Q307" s="64"/>
      <c r="R307" s="64"/>
      <c r="S307" s="64"/>
      <c r="T307" s="55"/>
      <c r="U307" s="55"/>
      <c r="V307" s="55"/>
      <c r="W307" s="64"/>
      <c r="X307" s="64"/>
      <c r="Y307" s="55"/>
      <c r="Z307" s="55"/>
      <c r="AA307" s="55"/>
      <c r="AB307" s="64"/>
      <c r="AC307" s="64"/>
      <c r="AD307" s="64"/>
      <c r="AE307" s="64"/>
      <c r="AF307" s="64"/>
      <c r="AG307" s="55"/>
      <c r="AH307" s="55"/>
      <c r="AI307" s="64"/>
      <c r="AJ307" s="64"/>
      <c r="AK307" s="64"/>
      <c r="AL307" s="64"/>
      <c r="AM307" s="64"/>
      <c r="AN307" s="64"/>
      <c r="AO307" s="55"/>
      <c r="AP307" s="55"/>
      <c r="AQ307" s="64"/>
      <c r="AR307" s="64"/>
      <c r="AS307" s="64"/>
      <c r="AT307" s="64"/>
      <c r="AU307" s="64"/>
      <c r="AV307" s="55"/>
      <c r="AW307" s="55"/>
      <c r="AX307" s="64"/>
      <c r="AY307" s="64"/>
      <c r="AZ307" s="64"/>
      <c r="BA307" s="64"/>
      <c r="BB307" s="64"/>
      <c r="BC307" s="55"/>
      <c r="BD307" s="55"/>
      <c r="BE307" s="64"/>
      <c r="BF307" s="55"/>
      <c r="BG307" s="64"/>
      <c r="BH307" s="64"/>
      <c r="BI307" s="64"/>
      <c r="BJ307" s="64"/>
      <c r="BK307" s="55"/>
      <c r="BL307" s="55"/>
      <c r="BM307" s="55"/>
      <c r="BN307" s="64"/>
      <c r="BO307" s="64"/>
      <c r="BP307" s="64"/>
      <c r="BQ307" s="64"/>
      <c r="BR307" s="64"/>
      <c r="BS307" s="64"/>
      <c r="BT307" s="64"/>
      <c r="BU307" s="64"/>
      <c r="BV307" s="64"/>
      <c r="BW307" s="55"/>
      <c r="BX307" s="55"/>
      <c r="BY307" s="55"/>
      <c r="BZ307" s="55"/>
      <c r="CA307" s="55"/>
      <c r="CB307" s="55"/>
      <c r="CC307" s="55"/>
      <c r="CD307" s="55"/>
      <c r="CE307" s="55"/>
      <c r="CF307" s="55"/>
      <c r="CG307" s="55"/>
      <c r="CH307" s="55"/>
    </row>
    <row r="308" ht="16.5" customHeight="1">
      <c r="A308" s="55"/>
      <c r="B308" s="55"/>
      <c r="C308" s="55"/>
      <c r="D308" s="55"/>
      <c r="E308" s="55"/>
      <c r="F308" s="55"/>
      <c r="G308" s="55"/>
      <c r="H308" s="64"/>
      <c r="I308" s="64"/>
      <c r="J308" s="64"/>
      <c r="K308" s="64"/>
      <c r="L308" s="64"/>
      <c r="M308" s="64"/>
      <c r="N308" s="64"/>
      <c r="O308" s="64"/>
      <c r="P308" s="64"/>
      <c r="Q308" s="64"/>
      <c r="R308" s="64"/>
      <c r="S308" s="64"/>
      <c r="T308" s="55"/>
      <c r="U308" s="55"/>
      <c r="V308" s="55"/>
      <c r="W308" s="64"/>
      <c r="X308" s="64"/>
      <c r="Y308" s="55"/>
      <c r="Z308" s="55"/>
      <c r="AA308" s="55"/>
      <c r="AB308" s="64"/>
      <c r="AC308" s="64"/>
      <c r="AD308" s="64"/>
      <c r="AE308" s="64"/>
      <c r="AF308" s="64"/>
      <c r="AG308" s="55"/>
      <c r="AH308" s="55"/>
      <c r="AI308" s="64"/>
      <c r="AJ308" s="64"/>
      <c r="AK308" s="64"/>
      <c r="AL308" s="64"/>
      <c r="AM308" s="64"/>
      <c r="AN308" s="64"/>
      <c r="AO308" s="55"/>
      <c r="AP308" s="55"/>
      <c r="AQ308" s="64"/>
      <c r="AR308" s="64"/>
      <c r="AS308" s="64"/>
      <c r="AT308" s="64"/>
      <c r="AU308" s="64"/>
      <c r="AV308" s="55"/>
      <c r="AW308" s="55"/>
      <c r="AX308" s="64"/>
      <c r="AY308" s="64"/>
      <c r="AZ308" s="64"/>
      <c r="BA308" s="64"/>
      <c r="BB308" s="64"/>
      <c r="BC308" s="55"/>
      <c r="BD308" s="55"/>
      <c r="BE308" s="64"/>
      <c r="BF308" s="55"/>
      <c r="BG308" s="64"/>
      <c r="BH308" s="64"/>
      <c r="BI308" s="64"/>
      <c r="BJ308" s="64"/>
      <c r="BK308" s="55"/>
      <c r="BL308" s="55"/>
      <c r="BM308" s="55"/>
      <c r="BN308" s="64"/>
      <c r="BO308" s="64"/>
      <c r="BP308" s="64"/>
      <c r="BQ308" s="64"/>
      <c r="BR308" s="64"/>
      <c r="BS308" s="64"/>
      <c r="BT308" s="64"/>
      <c r="BU308" s="64"/>
      <c r="BV308" s="64"/>
      <c r="BW308" s="55"/>
      <c r="BX308" s="55"/>
      <c r="BY308" s="55"/>
      <c r="BZ308" s="55"/>
      <c r="CA308" s="55"/>
      <c r="CB308" s="55"/>
      <c r="CC308" s="55"/>
      <c r="CD308" s="55"/>
      <c r="CE308" s="55"/>
      <c r="CF308" s="55"/>
      <c r="CG308" s="55"/>
      <c r="CH308" s="55"/>
    </row>
    <row r="309" ht="16.5" customHeight="1">
      <c r="A309" s="55"/>
      <c r="B309" s="55"/>
      <c r="C309" s="55"/>
      <c r="D309" s="55"/>
      <c r="E309" s="55"/>
      <c r="F309" s="55"/>
      <c r="G309" s="55"/>
      <c r="H309" s="64"/>
      <c r="I309" s="64"/>
      <c r="J309" s="64"/>
      <c r="K309" s="64"/>
      <c r="L309" s="64"/>
      <c r="M309" s="64"/>
      <c r="N309" s="64"/>
      <c r="O309" s="64"/>
      <c r="P309" s="64"/>
      <c r="Q309" s="64"/>
      <c r="R309" s="64"/>
      <c r="S309" s="64"/>
      <c r="T309" s="55"/>
      <c r="U309" s="55"/>
      <c r="V309" s="55"/>
      <c r="W309" s="64"/>
      <c r="X309" s="64"/>
      <c r="Y309" s="55"/>
      <c r="Z309" s="55"/>
      <c r="AA309" s="55"/>
      <c r="AB309" s="64"/>
      <c r="AC309" s="64"/>
      <c r="AD309" s="64"/>
      <c r="AE309" s="64"/>
      <c r="AF309" s="64"/>
      <c r="AG309" s="55"/>
      <c r="AH309" s="55"/>
      <c r="AI309" s="64"/>
      <c r="AJ309" s="64"/>
      <c r="AK309" s="64"/>
      <c r="AL309" s="64"/>
      <c r="AM309" s="64"/>
      <c r="AN309" s="64"/>
      <c r="AO309" s="55"/>
      <c r="AP309" s="55"/>
      <c r="AQ309" s="64"/>
      <c r="AR309" s="64"/>
      <c r="AS309" s="64"/>
      <c r="AT309" s="64"/>
      <c r="AU309" s="64"/>
      <c r="AV309" s="55"/>
      <c r="AW309" s="55"/>
      <c r="AX309" s="64"/>
      <c r="AY309" s="64"/>
      <c r="AZ309" s="64"/>
      <c r="BA309" s="64"/>
      <c r="BB309" s="64"/>
      <c r="BC309" s="55"/>
      <c r="BD309" s="55"/>
      <c r="BE309" s="64"/>
      <c r="BF309" s="55"/>
      <c r="BG309" s="64"/>
      <c r="BH309" s="64"/>
      <c r="BI309" s="64"/>
      <c r="BJ309" s="64"/>
      <c r="BK309" s="55"/>
      <c r="BL309" s="55"/>
      <c r="BM309" s="55"/>
      <c r="BN309" s="64"/>
      <c r="BO309" s="64"/>
      <c r="BP309" s="64"/>
      <c r="BQ309" s="64"/>
      <c r="BR309" s="64"/>
      <c r="BS309" s="64"/>
      <c r="BT309" s="64"/>
      <c r="BU309" s="64"/>
      <c r="BV309" s="64"/>
      <c r="BW309" s="55"/>
      <c r="BX309" s="55"/>
      <c r="BY309" s="55"/>
      <c r="BZ309" s="55"/>
      <c r="CA309" s="55"/>
      <c r="CB309" s="55"/>
      <c r="CC309" s="55"/>
      <c r="CD309" s="55"/>
      <c r="CE309" s="55"/>
      <c r="CF309" s="55"/>
      <c r="CG309" s="55"/>
      <c r="CH309" s="55"/>
    </row>
    <row r="310" ht="16.5" customHeight="1">
      <c r="A310" s="55"/>
      <c r="B310" s="55"/>
      <c r="C310" s="55"/>
      <c r="D310" s="55"/>
      <c r="E310" s="55"/>
      <c r="F310" s="55"/>
      <c r="G310" s="55"/>
      <c r="H310" s="64"/>
      <c r="I310" s="64"/>
      <c r="J310" s="64"/>
      <c r="K310" s="64"/>
      <c r="L310" s="64"/>
      <c r="M310" s="64"/>
      <c r="N310" s="64"/>
      <c r="O310" s="64"/>
      <c r="P310" s="64"/>
      <c r="Q310" s="64"/>
      <c r="R310" s="64"/>
      <c r="S310" s="64"/>
      <c r="T310" s="55"/>
      <c r="U310" s="55"/>
      <c r="V310" s="55"/>
      <c r="W310" s="64"/>
      <c r="X310" s="64"/>
      <c r="Y310" s="55"/>
      <c r="Z310" s="55"/>
      <c r="AA310" s="55"/>
      <c r="AB310" s="64"/>
      <c r="AC310" s="64"/>
      <c r="AD310" s="64"/>
      <c r="AE310" s="64"/>
      <c r="AF310" s="64"/>
      <c r="AG310" s="55"/>
      <c r="AH310" s="55"/>
      <c r="AI310" s="64"/>
      <c r="AJ310" s="64"/>
      <c r="AK310" s="64"/>
      <c r="AL310" s="64"/>
      <c r="AM310" s="64"/>
      <c r="AN310" s="64"/>
      <c r="AO310" s="55"/>
      <c r="AP310" s="55"/>
      <c r="AQ310" s="64"/>
      <c r="AR310" s="64"/>
      <c r="AS310" s="64"/>
      <c r="AT310" s="64"/>
      <c r="AU310" s="64"/>
      <c r="AV310" s="55"/>
      <c r="AW310" s="55"/>
      <c r="AX310" s="64"/>
      <c r="AY310" s="64"/>
      <c r="AZ310" s="64"/>
      <c r="BA310" s="64"/>
      <c r="BB310" s="64"/>
      <c r="BC310" s="55"/>
      <c r="BD310" s="55"/>
      <c r="BE310" s="64"/>
      <c r="BF310" s="55"/>
      <c r="BG310" s="64"/>
      <c r="BH310" s="64"/>
      <c r="BI310" s="64"/>
      <c r="BJ310" s="64"/>
      <c r="BK310" s="55"/>
      <c r="BL310" s="55"/>
      <c r="BM310" s="55"/>
      <c r="BN310" s="64"/>
      <c r="BO310" s="64"/>
      <c r="BP310" s="64"/>
      <c r="BQ310" s="64"/>
      <c r="BR310" s="64"/>
      <c r="BS310" s="64"/>
      <c r="BT310" s="64"/>
      <c r="BU310" s="64"/>
      <c r="BV310" s="64"/>
      <c r="BW310" s="55"/>
      <c r="BX310" s="55"/>
      <c r="BY310" s="55"/>
      <c r="BZ310" s="55"/>
      <c r="CA310" s="55"/>
      <c r="CB310" s="55"/>
      <c r="CC310" s="55"/>
      <c r="CD310" s="55"/>
      <c r="CE310" s="55"/>
      <c r="CF310" s="55"/>
      <c r="CG310" s="55"/>
      <c r="CH310" s="55"/>
    </row>
    <row r="311" ht="16.5" customHeight="1">
      <c r="A311" s="55"/>
      <c r="B311" s="55"/>
      <c r="C311" s="55"/>
      <c r="D311" s="55"/>
      <c r="E311" s="55"/>
      <c r="F311" s="55"/>
      <c r="G311" s="55"/>
      <c r="H311" s="64"/>
      <c r="I311" s="64"/>
      <c r="J311" s="64"/>
      <c r="K311" s="64"/>
      <c r="L311" s="64"/>
      <c r="M311" s="64"/>
      <c r="N311" s="64"/>
      <c r="O311" s="64"/>
      <c r="P311" s="64"/>
      <c r="Q311" s="64"/>
      <c r="R311" s="64"/>
      <c r="S311" s="64"/>
      <c r="T311" s="55"/>
      <c r="U311" s="55"/>
      <c r="V311" s="55"/>
      <c r="W311" s="64"/>
      <c r="X311" s="64"/>
      <c r="Y311" s="55"/>
      <c r="Z311" s="55"/>
      <c r="AA311" s="55"/>
      <c r="AB311" s="64"/>
      <c r="AC311" s="64"/>
      <c r="AD311" s="64"/>
      <c r="AE311" s="64"/>
      <c r="AF311" s="64"/>
      <c r="AG311" s="55"/>
      <c r="AH311" s="55"/>
      <c r="AI311" s="64"/>
      <c r="AJ311" s="64"/>
      <c r="AK311" s="64"/>
      <c r="AL311" s="64"/>
      <c r="AM311" s="64"/>
      <c r="AN311" s="64"/>
      <c r="AO311" s="55"/>
      <c r="AP311" s="55"/>
      <c r="AQ311" s="64"/>
      <c r="AR311" s="64"/>
      <c r="AS311" s="64"/>
      <c r="AT311" s="64"/>
      <c r="AU311" s="64"/>
      <c r="AV311" s="55"/>
      <c r="AW311" s="55"/>
      <c r="AX311" s="64"/>
      <c r="AY311" s="64"/>
      <c r="AZ311" s="64"/>
      <c r="BA311" s="64"/>
      <c r="BB311" s="64"/>
      <c r="BC311" s="55"/>
      <c r="BD311" s="55"/>
      <c r="BE311" s="64"/>
      <c r="BF311" s="55"/>
      <c r="BG311" s="64"/>
      <c r="BH311" s="64"/>
      <c r="BI311" s="64"/>
      <c r="BJ311" s="64"/>
      <c r="BK311" s="55"/>
      <c r="BL311" s="55"/>
      <c r="BM311" s="55"/>
      <c r="BN311" s="64"/>
      <c r="BO311" s="64"/>
      <c r="BP311" s="64"/>
      <c r="BQ311" s="64"/>
      <c r="BR311" s="64"/>
      <c r="BS311" s="64"/>
      <c r="BT311" s="64"/>
      <c r="BU311" s="64"/>
      <c r="BV311" s="64"/>
      <c r="BW311" s="55"/>
      <c r="BX311" s="55"/>
      <c r="BY311" s="55"/>
      <c r="BZ311" s="55"/>
      <c r="CA311" s="55"/>
      <c r="CB311" s="55"/>
      <c r="CC311" s="55"/>
      <c r="CD311" s="55"/>
      <c r="CE311" s="55"/>
      <c r="CF311" s="55"/>
      <c r="CG311" s="55"/>
      <c r="CH311" s="55"/>
    </row>
    <row r="312" ht="16.5" customHeight="1">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c r="AG312" s="57"/>
      <c r="AH312" s="57"/>
      <c r="AI312" s="57"/>
      <c r="AJ312" s="57"/>
      <c r="AK312" s="57"/>
      <c r="AL312" s="57"/>
      <c r="AM312" s="57"/>
      <c r="AN312" s="57"/>
      <c r="AO312" s="57"/>
      <c r="AP312" s="57"/>
      <c r="AQ312" s="57"/>
      <c r="AR312" s="57"/>
      <c r="AS312" s="57"/>
      <c r="AT312" s="57"/>
      <c r="AU312" s="57"/>
      <c r="AV312" s="57"/>
      <c r="AW312" s="57"/>
      <c r="AX312" s="57"/>
      <c r="AY312" s="57"/>
      <c r="AZ312" s="57"/>
      <c r="BA312" s="57"/>
      <c r="BB312" s="57"/>
      <c r="BC312" s="57"/>
      <c r="BD312" s="57"/>
      <c r="BE312" s="57"/>
      <c r="BF312" s="57"/>
      <c r="BG312" s="57"/>
      <c r="BH312" s="57"/>
      <c r="BI312" s="57"/>
      <c r="BJ312" s="57"/>
      <c r="BK312" s="57"/>
      <c r="BL312" s="57"/>
      <c r="BM312" s="57"/>
      <c r="BN312" s="64"/>
      <c r="BO312" s="64"/>
      <c r="BP312" s="64"/>
      <c r="BQ312" s="64"/>
      <c r="BR312" s="64"/>
      <c r="BS312" s="64"/>
      <c r="BT312" s="64"/>
      <c r="BU312" s="64"/>
      <c r="BV312" s="64"/>
      <c r="BW312" s="57"/>
      <c r="BX312" s="57"/>
      <c r="BY312" s="57"/>
      <c r="BZ312" s="57"/>
      <c r="CA312" s="57"/>
      <c r="CB312" s="57"/>
      <c r="CC312" s="57"/>
      <c r="CD312" s="57"/>
      <c r="CE312" s="57"/>
      <c r="CF312" s="57"/>
      <c r="CG312" s="57"/>
      <c r="CH312" s="57"/>
    </row>
    <row r="313" ht="16.5" customHeight="1">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AO313" s="57"/>
      <c r="AP313" s="57"/>
      <c r="AQ313" s="57"/>
      <c r="AR313" s="57"/>
      <c r="AS313" s="57"/>
      <c r="AT313" s="57"/>
      <c r="AU313" s="57"/>
      <c r="AV313" s="57"/>
      <c r="AW313" s="57"/>
      <c r="AX313" s="57"/>
      <c r="AY313" s="57"/>
      <c r="AZ313" s="57"/>
      <c r="BA313" s="57"/>
      <c r="BB313" s="57"/>
      <c r="BC313" s="57"/>
      <c r="BD313" s="57"/>
      <c r="BE313" s="57"/>
      <c r="BF313" s="57"/>
      <c r="BG313" s="57"/>
      <c r="BH313" s="57"/>
      <c r="BI313" s="57"/>
      <c r="BJ313" s="57"/>
      <c r="BK313" s="57"/>
      <c r="BL313" s="57"/>
      <c r="BM313" s="57"/>
      <c r="BN313" s="64"/>
      <c r="BO313" s="64"/>
      <c r="BP313" s="64"/>
      <c r="BQ313" s="64"/>
      <c r="BR313" s="64"/>
      <c r="BS313" s="64"/>
      <c r="BT313" s="64"/>
      <c r="BU313" s="64"/>
      <c r="BV313" s="64"/>
      <c r="BW313" s="57"/>
      <c r="BX313" s="57"/>
      <c r="BY313" s="57"/>
      <c r="BZ313" s="57"/>
      <c r="CA313" s="57"/>
      <c r="CB313" s="57"/>
      <c r="CC313" s="57"/>
      <c r="CD313" s="57"/>
      <c r="CE313" s="57"/>
      <c r="CF313" s="57"/>
      <c r="CG313" s="57"/>
      <c r="CH313" s="57"/>
    </row>
    <row r="314" ht="16.5" customHeight="1">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c r="AL314" s="57"/>
      <c r="AM314" s="57"/>
      <c r="AN314" s="57"/>
      <c r="AO314" s="57"/>
      <c r="AP314" s="57"/>
      <c r="AQ314" s="57"/>
      <c r="AR314" s="57"/>
      <c r="AS314" s="57"/>
      <c r="AT314" s="57"/>
      <c r="AU314" s="57"/>
      <c r="AV314" s="57"/>
      <c r="AW314" s="57"/>
      <c r="AX314" s="57"/>
      <c r="AY314" s="57"/>
      <c r="AZ314" s="57"/>
      <c r="BA314" s="57"/>
      <c r="BB314" s="57"/>
      <c r="BC314" s="57"/>
      <c r="BD314" s="57"/>
      <c r="BE314" s="57"/>
      <c r="BF314" s="57"/>
      <c r="BG314" s="57"/>
      <c r="BH314" s="57"/>
      <c r="BI314" s="57"/>
      <c r="BJ314" s="57"/>
      <c r="BK314" s="57"/>
      <c r="BL314" s="57"/>
      <c r="BM314" s="57"/>
      <c r="BN314" s="64"/>
      <c r="BO314" s="64"/>
      <c r="BP314" s="64"/>
      <c r="BQ314" s="64"/>
      <c r="BR314" s="64"/>
      <c r="BS314" s="64"/>
      <c r="BT314" s="64"/>
      <c r="BU314" s="64"/>
      <c r="BV314" s="64"/>
      <c r="BW314" s="57"/>
      <c r="BX314" s="57"/>
      <c r="BY314" s="57"/>
      <c r="BZ314" s="57"/>
      <c r="CA314" s="57"/>
      <c r="CB314" s="57"/>
      <c r="CC314" s="57"/>
      <c r="CD314" s="57"/>
      <c r="CE314" s="57"/>
      <c r="CF314" s="57"/>
      <c r="CG314" s="57"/>
      <c r="CH314" s="57"/>
    </row>
    <row r="315" ht="16.5" customHeight="1">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c r="AG315" s="57"/>
      <c r="AH315" s="57"/>
      <c r="AI315" s="57"/>
      <c r="AJ315" s="57"/>
      <c r="AK315" s="57"/>
      <c r="AL315" s="57"/>
      <c r="AM315" s="57"/>
      <c r="AN315" s="57"/>
      <c r="AO315" s="57"/>
      <c r="AP315" s="57"/>
      <c r="AQ315" s="57"/>
      <c r="AR315" s="57"/>
      <c r="AS315" s="57"/>
      <c r="AT315" s="57"/>
      <c r="AU315" s="57"/>
      <c r="AV315" s="57"/>
      <c r="AW315" s="57"/>
      <c r="AX315" s="57"/>
      <c r="AY315" s="57"/>
      <c r="AZ315" s="57"/>
      <c r="BA315" s="57"/>
      <c r="BB315" s="57"/>
      <c r="BC315" s="57"/>
      <c r="BD315" s="57"/>
      <c r="BE315" s="57"/>
      <c r="BF315" s="57"/>
      <c r="BG315" s="57"/>
      <c r="BH315" s="57"/>
      <c r="BI315" s="57"/>
      <c r="BJ315" s="57"/>
      <c r="BK315" s="57"/>
      <c r="BL315" s="57"/>
      <c r="BM315" s="57"/>
      <c r="BN315" s="64"/>
      <c r="BO315" s="64"/>
      <c r="BP315" s="64"/>
      <c r="BQ315" s="64"/>
      <c r="BR315" s="64"/>
      <c r="BS315" s="64"/>
      <c r="BT315" s="64"/>
      <c r="BU315" s="64"/>
      <c r="BV315" s="64"/>
      <c r="BW315" s="57"/>
      <c r="BX315" s="57"/>
      <c r="BY315" s="57"/>
      <c r="BZ315" s="57"/>
      <c r="CA315" s="57"/>
      <c r="CB315" s="57"/>
      <c r="CC315" s="57"/>
      <c r="CD315" s="57"/>
      <c r="CE315" s="57"/>
      <c r="CF315" s="57"/>
      <c r="CG315" s="57"/>
      <c r="CH315" s="57"/>
    </row>
    <row r="316" ht="16.5" customHeight="1">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c r="AG316" s="57"/>
      <c r="AH316" s="57"/>
      <c r="AI316" s="57"/>
      <c r="AJ316" s="57"/>
      <c r="AK316" s="57"/>
      <c r="AL316" s="57"/>
      <c r="AM316" s="57"/>
      <c r="AN316" s="57"/>
      <c r="AO316" s="57"/>
      <c r="AP316" s="57"/>
      <c r="AQ316" s="57"/>
      <c r="AR316" s="57"/>
      <c r="AS316" s="57"/>
      <c r="AT316" s="57"/>
      <c r="AU316" s="57"/>
      <c r="AV316" s="57"/>
      <c r="AW316" s="57"/>
      <c r="AX316" s="57"/>
      <c r="AY316" s="57"/>
      <c r="AZ316" s="57"/>
      <c r="BA316" s="57"/>
      <c r="BB316" s="57"/>
      <c r="BC316" s="57"/>
      <c r="BD316" s="57"/>
      <c r="BE316" s="57"/>
      <c r="BF316" s="57"/>
      <c r="BG316" s="57"/>
      <c r="BH316" s="57"/>
      <c r="BI316" s="57"/>
      <c r="BJ316" s="57"/>
      <c r="BK316" s="57"/>
      <c r="BL316" s="57"/>
      <c r="BM316" s="57"/>
      <c r="BN316" s="64"/>
      <c r="BO316" s="64"/>
      <c r="BP316" s="64"/>
      <c r="BQ316" s="64"/>
      <c r="BR316" s="64"/>
      <c r="BS316" s="64"/>
      <c r="BT316" s="64"/>
      <c r="BU316" s="64"/>
      <c r="BV316" s="64"/>
      <c r="BW316" s="57"/>
      <c r="BX316" s="57"/>
      <c r="BY316" s="57"/>
      <c r="BZ316" s="57"/>
      <c r="CA316" s="57"/>
      <c r="CB316" s="57"/>
      <c r="CC316" s="57"/>
      <c r="CD316" s="57"/>
      <c r="CE316" s="57"/>
      <c r="CF316" s="57"/>
      <c r="CG316" s="57"/>
      <c r="CH316" s="57"/>
    </row>
    <row r="317" ht="15.75" customHeight="1">
      <c r="BT317" s="68"/>
      <c r="BU317" s="68"/>
      <c r="BV317" s="68"/>
      <c r="BW317" s="68"/>
    </row>
    <row r="318" ht="15.75" customHeight="1">
      <c r="BT318" s="68"/>
      <c r="BU318" s="68"/>
      <c r="BV318" s="68"/>
      <c r="BW318" s="68"/>
    </row>
    <row r="319" ht="15.75" customHeight="1">
      <c r="BT319" s="68"/>
      <c r="BU319" s="68"/>
      <c r="BV319" s="68"/>
      <c r="BW319" s="68"/>
    </row>
    <row r="320" ht="15.75" customHeight="1">
      <c r="BT320" s="68"/>
      <c r="BU320" s="68"/>
      <c r="BV320" s="68"/>
      <c r="BW320" s="68"/>
    </row>
    <row r="321" ht="15.75" customHeight="1">
      <c r="BT321" s="68"/>
      <c r="BU321" s="68"/>
      <c r="BV321" s="68"/>
      <c r="BW321" s="68"/>
    </row>
    <row r="322" ht="15.75" customHeight="1">
      <c r="BT322" s="68"/>
      <c r="BU322" s="68"/>
      <c r="BV322" s="68"/>
      <c r="BW322" s="68"/>
    </row>
    <row r="323" ht="15.75" customHeight="1">
      <c r="BT323" s="68"/>
      <c r="BU323" s="68"/>
      <c r="BV323" s="68"/>
      <c r="BW323" s="68"/>
    </row>
    <row r="324" ht="15.75" customHeight="1">
      <c r="BT324" s="68"/>
      <c r="BU324" s="68"/>
      <c r="BV324" s="68"/>
      <c r="BW324" s="68"/>
    </row>
    <row r="325" ht="15.75" customHeight="1">
      <c r="BT325" s="68"/>
      <c r="BU325" s="68"/>
      <c r="BV325" s="68"/>
      <c r="BW325" s="68"/>
    </row>
    <row r="326" ht="15.75" customHeight="1">
      <c r="BT326" s="68"/>
      <c r="BU326" s="68"/>
      <c r="BV326" s="68"/>
      <c r="BW326" s="68"/>
    </row>
    <row r="327" ht="15.75" customHeight="1">
      <c r="BT327" s="68"/>
      <c r="BU327" s="68"/>
      <c r="BV327" s="68"/>
      <c r="BW327" s="68"/>
    </row>
    <row r="328" ht="15.75" customHeight="1">
      <c r="BT328" s="68"/>
      <c r="BU328" s="68"/>
      <c r="BV328" s="68"/>
      <c r="BW328" s="68"/>
    </row>
    <row r="329" ht="15.75" customHeight="1">
      <c r="BT329" s="68"/>
      <c r="BU329" s="68"/>
      <c r="BV329" s="68"/>
      <c r="BW329" s="68"/>
    </row>
    <row r="330" ht="15.75" customHeight="1">
      <c r="BT330" s="68"/>
      <c r="BU330" s="68"/>
      <c r="BV330" s="68"/>
      <c r="BW330" s="68"/>
    </row>
    <row r="331" ht="15.75" customHeight="1">
      <c r="BT331" s="68"/>
      <c r="BU331" s="68"/>
      <c r="BV331" s="68"/>
      <c r="BW331" s="68"/>
    </row>
    <row r="332" ht="15.75" customHeight="1">
      <c r="BT332" s="68"/>
      <c r="BU332" s="68"/>
      <c r="BV332" s="68"/>
      <c r="BW332" s="68"/>
    </row>
    <row r="333" ht="15.75" customHeight="1">
      <c r="BT333" s="68"/>
      <c r="BU333" s="68"/>
      <c r="BV333" s="68"/>
      <c r="BW333" s="68"/>
    </row>
    <row r="334" ht="15.75" customHeight="1">
      <c r="BT334" s="68"/>
      <c r="BU334" s="68"/>
      <c r="BV334" s="68"/>
      <c r="BW334" s="68"/>
    </row>
    <row r="335" ht="15.75" customHeight="1">
      <c r="BT335" s="68"/>
      <c r="BU335" s="68"/>
      <c r="BV335" s="68"/>
      <c r="BW335" s="68"/>
    </row>
    <row r="336" ht="15.75" customHeight="1">
      <c r="BT336" s="68"/>
      <c r="BU336" s="68"/>
      <c r="BV336" s="68"/>
      <c r="BW336" s="68"/>
    </row>
    <row r="337" ht="15.75" customHeight="1">
      <c r="BT337" s="68"/>
      <c r="BU337" s="68"/>
      <c r="BV337" s="68"/>
      <c r="BW337" s="68"/>
    </row>
    <row r="338" ht="15.75" customHeight="1">
      <c r="BT338" s="68"/>
      <c r="BU338" s="68"/>
      <c r="BV338" s="68"/>
      <c r="BW338" s="68"/>
    </row>
    <row r="339" ht="15.75" customHeight="1">
      <c r="BT339" s="68"/>
      <c r="BU339" s="68"/>
      <c r="BV339" s="68"/>
      <c r="BW339" s="68"/>
    </row>
    <row r="340" ht="15.75" customHeight="1">
      <c r="BT340" s="68"/>
      <c r="BU340" s="68"/>
      <c r="BV340" s="68"/>
      <c r="BW340" s="68"/>
    </row>
    <row r="341" ht="15.75" customHeight="1">
      <c r="BT341" s="68"/>
      <c r="BU341" s="68"/>
      <c r="BV341" s="68"/>
      <c r="BW341" s="68"/>
    </row>
    <row r="342" ht="15.75" customHeight="1">
      <c r="BT342" s="68"/>
      <c r="BU342" s="68"/>
      <c r="BV342" s="68"/>
      <c r="BW342" s="68"/>
    </row>
    <row r="343" ht="15.75" customHeight="1">
      <c r="BT343" s="68"/>
      <c r="BU343" s="68"/>
      <c r="BV343" s="68"/>
      <c r="BW343" s="68"/>
    </row>
    <row r="344" ht="15.75" customHeight="1">
      <c r="BT344" s="68"/>
      <c r="BU344" s="68"/>
      <c r="BV344" s="68"/>
      <c r="BW344" s="68"/>
    </row>
    <row r="345" ht="15.75" customHeight="1">
      <c r="BT345" s="68"/>
      <c r="BU345" s="68"/>
      <c r="BV345" s="68"/>
      <c r="BW345" s="68"/>
    </row>
    <row r="346" ht="15.75" customHeight="1">
      <c r="BT346" s="68"/>
      <c r="BU346" s="68"/>
      <c r="BV346" s="68"/>
      <c r="BW346" s="68"/>
    </row>
    <row r="347" ht="15.75" customHeight="1">
      <c r="BT347" s="68"/>
      <c r="BU347" s="68"/>
      <c r="BV347" s="68"/>
      <c r="BW347" s="68"/>
    </row>
    <row r="348" ht="15.75" customHeight="1">
      <c r="BT348" s="68"/>
      <c r="BU348" s="68"/>
      <c r="BV348" s="68"/>
      <c r="BW348" s="68"/>
    </row>
    <row r="349" ht="15.75" customHeight="1">
      <c r="BT349" s="68"/>
      <c r="BU349" s="68"/>
      <c r="BV349" s="68"/>
      <c r="BW349" s="68"/>
    </row>
    <row r="350" ht="15.75" customHeight="1">
      <c r="BT350" s="68"/>
      <c r="BU350" s="68"/>
      <c r="BV350" s="68"/>
      <c r="BW350" s="68"/>
    </row>
    <row r="351" ht="15.75" customHeight="1">
      <c r="BT351" s="68"/>
      <c r="BU351" s="68"/>
      <c r="BV351" s="68"/>
      <c r="BW351" s="68"/>
    </row>
    <row r="352" ht="15.75" customHeight="1">
      <c r="BT352" s="68"/>
      <c r="BU352" s="68"/>
      <c r="BV352" s="68"/>
      <c r="BW352" s="68"/>
    </row>
    <row r="353" ht="15.75" customHeight="1">
      <c r="BT353" s="68"/>
      <c r="BU353" s="68"/>
      <c r="BV353" s="68"/>
      <c r="BW353" s="68"/>
    </row>
    <row r="354" ht="15.75" customHeight="1">
      <c r="BT354" s="68"/>
      <c r="BU354" s="68"/>
      <c r="BV354" s="68"/>
      <c r="BW354" s="68"/>
    </row>
    <row r="355" ht="15.75" customHeight="1">
      <c r="BT355" s="68"/>
      <c r="BU355" s="68"/>
      <c r="BV355" s="68"/>
      <c r="BW355" s="68"/>
    </row>
    <row r="356" ht="15.75" customHeight="1">
      <c r="BT356" s="68"/>
      <c r="BU356" s="68"/>
      <c r="BV356" s="68"/>
      <c r="BW356" s="68"/>
    </row>
    <row r="357" ht="15.75" customHeight="1">
      <c r="BT357" s="68"/>
      <c r="BU357" s="68"/>
      <c r="BV357" s="68"/>
      <c r="BW357" s="68"/>
    </row>
    <row r="358" ht="15.75" customHeight="1">
      <c r="BT358" s="68"/>
      <c r="BU358" s="68"/>
      <c r="BV358" s="68"/>
      <c r="BW358" s="68"/>
    </row>
    <row r="359" ht="15.75" customHeight="1">
      <c r="BT359" s="68"/>
      <c r="BU359" s="68"/>
      <c r="BV359" s="68"/>
      <c r="BW359" s="68"/>
    </row>
    <row r="360" ht="15.75" customHeight="1">
      <c r="BT360" s="68"/>
      <c r="BU360" s="68"/>
      <c r="BV360" s="68"/>
      <c r="BW360" s="68"/>
    </row>
    <row r="361" ht="15.75" customHeight="1">
      <c r="BT361" s="68"/>
      <c r="BU361" s="68"/>
      <c r="BV361" s="68"/>
      <c r="BW361" s="68"/>
    </row>
    <row r="362" ht="15.75" customHeight="1">
      <c r="BT362" s="68"/>
      <c r="BU362" s="68"/>
      <c r="BV362" s="68"/>
      <c r="BW362" s="68"/>
    </row>
    <row r="363" ht="15.75" customHeight="1">
      <c r="BT363" s="68"/>
      <c r="BU363" s="68"/>
      <c r="BV363" s="68"/>
      <c r="BW363" s="68"/>
    </row>
    <row r="364" ht="15.75" customHeight="1">
      <c r="BT364" s="68"/>
      <c r="BU364" s="68"/>
      <c r="BV364" s="68"/>
      <c r="BW364" s="68"/>
    </row>
    <row r="365" ht="15.75" customHeight="1">
      <c r="BT365" s="68"/>
      <c r="BU365" s="68"/>
      <c r="BV365" s="68"/>
      <c r="BW365" s="68"/>
    </row>
    <row r="366" ht="15.75" customHeight="1">
      <c r="BT366" s="68"/>
      <c r="BU366" s="68"/>
      <c r="BV366" s="68"/>
      <c r="BW366" s="68"/>
    </row>
    <row r="367" ht="15.75" customHeight="1">
      <c r="BT367" s="68"/>
      <c r="BU367" s="68"/>
      <c r="BV367" s="68"/>
      <c r="BW367" s="68"/>
    </row>
    <row r="368" ht="15.75" customHeight="1">
      <c r="BT368" s="68"/>
      <c r="BU368" s="68"/>
      <c r="BV368" s="68"/>
      <c r="BW368" s="68"/>
    </row>
    <row r="369" ht="15.75" customHeight="1">
      <c r="BT369" s="68"/>
      <c r="BU369" s="68"/>
      <c r="BV369" s="68"/>
      <c r="BW369" s="68"/>
    </row>
    <row r="370" ht="15.75" customHeight="1">
      <c r="BT370" s="68"/>
      <c r="BU370" s="68"/>
      <c r="BV370" s="68"/>
      <c r="BW370" s="68"/>
    </row>
    <row r="371" ht="15.75" customHeight="1">
      <c r="BT371" s="68"/>
      <c r="BU371" s="68"/>
      <c r="BV371" s="68"/>
      <c r="BW371" s="68"/>
    </row>
    <row r="372" ht="15.75" customHeight="1">
      <c r="BT372" s="68"/>
      <c r="BU372" s="68"/>
      <c r="BV372" s="68"/>
      <c r="BW372" s="68"/>
    </row>
    <row r="373" ht="15.75" customHeight="1">
      <c r="BT373" s="68"/>
      <c r="BU373" s="68"/>
      <c r="BV373" s="68"/>
      <c r="BW373" s="68"/>
    </row>
    <row r="374" ht="15.75" customHeight="1">
      <c r="BT374" s="68"/>
      <c r="BU374" s="68"/>
      <c r="BV374" s="68"/>
      <c r="BW374" s="68"/>
    </row>
    <row r="375" ht="15.75" customHeight="1">
      <c r="BT375" s="68"/>
      <c r="BU375" s="68"/>
      <c r="BV375" s="68"/>
      <c r="BW375" s="68"/>
    </row>
    <row r="376" ht="15.75" customHeight="1">
      <c r="BT376" s="68"/>
      <c r="BU376" s="68"/>
      <c r="BV376" s="68"/>
      <c r="BW376" s="68"/>
    </row>
    <row r="377" ht="15.75" customHeight="1">
      <c r="BT377" s="68"/>
      <c r="BU377" s="68"/>
      <c r="BV377" s="68"/>
      <c r="BW377" s="68"/>
    </row>
    <row r="378" ht="15.75" customHeight="1">
      <c r="BT378" s="68"/>
      <c r="BU378" s="68"/>
      <c r="BV378" s="68"/>
      <c r="BW378" s="68"/>
    </row>
    <row r="379" ht="15.75" customHeight="1">
      <c r="BT379" s="68"/>
      <c r="BU379" s="68"/>
      <c r="BV379" s="68"/>
      <c r="BW379" s="68"/>
    </row>
    <row r="380" ht="15.75" customHeight="1">
      <c r="BT380" s="68"/>
      <c r="BU380" s="68"/>
      <c r="BV380" s="68"/>
      <c r="BW380" s="68"/>
    </row>
    <row r="381" ht="15.75" customHeight="1">
      <c r="BT381" s="68"/>
      <c r="BU381" s="68"/>
      <c r="BV381" s="68"/>
      <c r="BW381" s="68"/>
    </row>
    <row r="382" ht="15.75" customHeight="1">
      <c r="BT382" s="68"/>
      <c r="BU382" s="68"/>
      <c r="BV382" s="68"/>
      <c r="BW382" s="68"/>
    </row>
    <row r="383" ht="15.75" customHeight="1">
      <c r="BT383" s="68"/>
      <c r="BU383" s="68"/>
      <c r="BV383" s="68"/>
      <c r="BW383" s="68"/>
    </row>
    <row r="384" ht="15.75" customHeight="1">
      <c r="BT384" s="68"/>
      <c r="BU384" s="68"/>
      <c r="BV384" s="68"/>
      <c r="BW384" s="68"/>
    </row>
    <row r="385" ht="15.75" customHeight="1">
      <c r="BT385" s="68"/>
      <c r="BU385" s="68"/>
      <c r="BV385" s="68"/>
      <c r="BW385" s="68"/>
    </row>
    <row r="386" ht="15.75" customHeight="1">
      <c r="BT386" s="68"/>
      <c r="BU386" s="68"/>
      <c r="BV386" s="68"/>
      <c r="BW386" s="68"/>
    </row>
    <row r="387" ht="15.75" customHeight="1">
      <c r="BT387" s="68"/>
      <c r="BU387" s="68"/>
      <c r="BV387" s="68"/>
      <c r="BW387" s="68"/>
    </row>
    <row r="388" ht="15.75" customHeight="1">
      <c r="BT388" s="68"/>
      <c r="BU388" s="68"/>
      <c r="BV388" s="68"/>
      <c r="BW388" s="68"/>
    </row>
    <row r="389" ht="15.75" customHeight="1">
      <c r="BT389" s="68"/>
      <c r="BU389" s="68"/>
      <c r="BV389" s="68"/>
      <c r="BW389" s="68"/>
    </row>
    <row r="390" ht="15.75" customHeight="1">
      <c r="BT390" s="68"/>
      <c r="BU390" s="68"/>
      <c r="BV390" s="68"/>
      <c r="BW390" s="68"/>
    </row>
    <row r="391" ht="15.75" customHeight="1">
      <c r="BT391" s="68"/>
      <c r="BU391" s="68"/>
      <c r="BV391" s="68"/>
      <c r="BW391" s="68"/>
    </row>
    <row r="392" ht="15.75" customHeight="1">
      <c r="BT392" s="68"/>
      <c r="BU392" s="68"/>
      <c r="BV392" s="68"/>
      <c r="BW392" s="68"/>
    </row>
    <row r="393" ht="15.75" customHeight="1">
      <c r="BT393" s="68"/>
      <c r="BU393" s="68"/>
      <c r="BV393" s="68"/>
      <c r="BW393" s="68"/>
    </row>
    <row r="394" ht="15.75" customHeight="1">
      <c r="BT394" s="68"/>
      <c r="BU394" s="68"/>
      <c r="BV394" s="68"/>
      <c r="BW394" s="68"/>
    </row>
    <row r="395" ht="15.75" customHeight="1">
      <c r="BT395" s="68"/>
      <c r="BU395" s="68"/>
      <c r="BV395" s="68"/>
      <c r="BW395" s="68"/>
    </row>
    <row r="396" ht="15.75" customHeight="1">
      <c r="BT396" s="68"/>
      <c r="BU396" s="68"/>
      <c r="BV396" s="68"/>
      <c r="BW396" s="68"/>
    </row>
    <row r="397" ht="15.75" customHeight="1">
      <c r="BT397" s="68"/>
      <c r="BU397" s="68"/>
      <c r="BV397" s="68"/>
      <c r="BW397" s="68"/>
    </row>
    <row r="398" ht="15.75" customHeight="1">
      <c r="BT398" s="68"/>
      <c r="BU398" s="68"/>
      <c r="BV398" s="68"/>
      <c r="BW398" s="68"/>
    </row>
    <row r="399" ht="15.75" customHeight="1">
      <c r="BT399" s="68"/>
      <c r="BU399" s="68"/>
      <c r="BV399" s="68"/>
      <c r="BW399" s="68"/>
    </row>
    <row r="400" ht="15.75" customHeight="1">
      <c r="BT400" s="68"/>
      <c r="BU400" s="68"/>
      <c r="BV400" s="68"/>
      <c r="BW400" s="68"/>
    </row>
    <row r="401" ht="15.75" customHeight="1">
      <c r="BT401" s="68"/>
      <c r="BU401" s="68"/>
      <c r="BV401" s="68"/>
      <c r="BW401" s="68"/>
    </row>
    <row r="402" ht="15.75" customHeight="1">
      <c r="BT402" s="68"/>
      <c r="BU402" s="68"/>
      <c r="BV402" s="68"/>
      <c r="BW402" s="68"/>
    </row>
    <row r="403" ht="15.75" customHeight="1">
      <c r="BT403" s="68"/>
      <c r="BU403" s="68"/>
      <c r="BV403" s="68"/>
      <c r="BW403" s="68"/>
    </row>
    <row r="404" ht="15.75" customHeight="1">
      <c r="BT404" s="68"/>
      <c r="BU404" s="68"/>
      <c r="BV404" s="68"/>
      <c r="BW404" s="68"/>
    </row>
    <row r="405" ht="15.75" customHeight="1">
      <c r="BT405" s="68"/>
      <c r="BU405" s="68"/>
      <c r="BV405" s="68"/>
      <c r="BW405" s="68"/>
    </row>
    <row r="406" ht="15.75" customHeight="1">
      <c r="BT406" s="68"/>
      <c r="BU406" s="68"/>
      <c r="BV406" s="68"/>
      <c r="BW406" s="68"/>
    </row>
    <row r="407" ht="15.75" customHeight="1">
      <c r="BT407" s="68"/>
      <c r="BU407" s="68"/>
      <c r="BV407" s="68"/>
      <c r="BW407" s="68"/>
    </row>
    <row r="408" ht="15.75" customHeight="1">
      <c r="BT408" s="68"/>
      <c r="BU408" s="68"/>
      <c r="BV408" s="68"/>
      <c r="BW408" s="68"/>
    </row>
    <row r="409" ht="15.75" customHeight="1">
      <c r="BT409" s="68"/>
      <c r="BU409" s="68"/>
      <c r="BV409" s="68"/>
      <c r="BW409" s="68"/>
    </row>
    <row r="410" ht="15.75" customHeight="1">
      <c r="BT410" s="68"/>
      <c r="BU410" s="68"/>
      <c r="BV410" s="68"/>
      <c r="BW410" s="68"/>
    </row>
    <row r="411" ht="15.75" customHeight="1">
      <c r="BT411" s="68"/>
      <c r="BU411" s="68"/>
      <c r="BV411" s="68"/>
      <c r="BW411" s="68"/>
    </row>
    <row r="412" ht="15.75" customHeight="1">
      <c r="BT412" s="68"/>
      <c r="BU412" s="68"/>
      <c r="BV412" s="68"/>
      <c r="BW412" s="68"/>
    </row>
    <row r="413" ht="15.75" customHeight="1">
      <c r="BT413" s="68"/>
      <c r="BU413" s="68"/>
      <c r="BV413" s="68"/>
      <c r="BW413" s="68"/>
    </row>
    <row r="414" ht="15.75" customHeight="1">
      <c r="BT414" s="68"/>
      <c r="BU414" s="68"/>
      <c r="BV414" s="68"/>
      <c r="BW414" s="68"/>
    </row>
    <row r="415" ht="15.75" customHeight="1">
      <c r="BT415" s="68"/>
      <c r="BU415" s="68"/>
      <c r="BV415" s="68"/>
      <c r="BW415" s="68"/>
    </row>
    <row r="416" ht="15.75" customHeight="1">
      <c r="BT416" s="68"/>
      <c r="BU416" s="68"/>
      <c r="BV416" s="68"/>
      <c r="BW416" s="68"/>
    </row>
    <row r="417" ht="15.75" customHeight="1">
      <c r="BT417" s="68"/>
      <c r="BU417" s="68"/>
      <c r="BV417" s="68"/>
      <c r="BW417" s="68"/>
    </row>
    <row r="418" ht="15.75" customHeight="1">
      <c r="BT418" s="68"/>
      <c r="BU418" s="68"/>
      <c r="BV418" s="68"/>
      <c r="BW418" s="68"/>
    </row>
    <row r="419" ht="15.75" customHeight="1">
      <c r="BT419" s="68"/>
      <c r="BU419" s="68"/>
      <c r="BV419" s="68"/>
      <c r="BW419" s="68"/>
    </row>
    <row r="420" ht="15.75" customHeight="1">
      <c r="BT420" s="68"/>
      <c r="BU420" s="68"/>
      <c r="BV420" s="68"/>
      <c r="BW420" s="68"/>
    </row>
    <row r="421" ht="15.75" customHeight="1">
      <c r="BT421" s="68"/>
      <c r="BU421" s="68"/>
      <c r="BV421" s="68"/>
      <c r="BW421" s="68"/>
    </row>
    <row r="422" ht="15.75" customHeight="1">
      <c r="BT422" s="68"/>
      <c r="BU422" s="68"/>
      <c r="BV422" s="68"/>
      <c r="BW422" s="68"/>
    </row>
    <row r="423" ht="15.75" customHeight="1">
      <c r="BT423" s="68"/>
      <c r="BU423" s="68"/>
      <c r="BV423" s="68"/>
      <c r="BW423" s="68"/>
    </row>
    <row r="424" ht="15.75" customHeight="1">
      <c r="BT424" s="68"/>
      <c r="BU424" s="68"/>
      <c r="BV424" s="68"/>
      <c r="BW424" s="68"/>
    </row>
    <row r="425" ht="15.75" customHeight="1">
      <c r="BT425" s="68"/>
      <c r="BU425" s="68"/>
      <c r="BV425" s="68"/>
      <c r="BW425" s="68"/>
    </row>
    <row r="426" ht="15.75" customHeight="1">
      <c r="BT426" s="68"/>
      <c r="BU426" s="68"/>
      <c r="BV426" s="68"/>
      <c r="BW426" s="68"/>
    </row>
    <row r="427" ht="15.75" customHeight="1">
      <c r="BT427" s="68"/>
      <c r="BU427" s="68"/>
      <c r="BV427" s="68"/>
      <c r="BW427" s="68"/>
    </row>
    <row r="428" ht="15.75" customHeight="1">
      <c r="BT428" s="68"/>
      <c r="BU428" s="68"/>
      <c r="BV428" s="68"/>
      <c r="BW428" s="68"/>
    </row>
    <row r="429" ht="15.75" customHeight="1">
      <c r="BT429" s="68"/>
      <c r="BU429" s="68"/>
      <c r="BV429" s="68"/>
      <c r="BW429" s="68"/>
    </row>
    <row r="430" ht="15.75" customHeight="1">
      <c r="BT430" s="68"/>
      <c r="BU430" s="68"/>
      <c r="BV430" s="68"/>
      <c r="BW430" s="68"/>
    </row>
    <row r="431" ht="15.75" customHeight="1">
      <c r="BT431" s="68"/>
      <c r="BU431" s="68"/>
      <c r="BV431" s="68"/>
      <c r="BW431" s="68"/>
    </row>
    <row r="432" ht="15.75" customHeight="1">
      <c r="BT432" s="68"/>
      <c r="BU432" s="68"/>
      <c r="BV432" s="68"/>
      <c r="BW432" s="68"/>
    </row>
    <row r="433" ht="15.75" customHeight="1">
      <c r="BT433" s="68"/>
      <c r="BU433" s="68"/>
      <c r="BV433" s="68"/>
      <c r="BW433" s="68"/>
    </row>
    <row r="434" ht="15.75" customHeight="1">
      <c r="BT434" s="68"/>
      <c r="BU434" s="68"/>
      <c r="BV434" s="68"/>
      <c r="BW434" s="68"/>
    </row>
    <row r="435" ht="15.75" customHeight="1">
      <c r="BT435" s="68"/>
      <c r="BU435" s="68"/>
      <c r="BV435" s="68"/>
      <c r="BW435" s="68"/>
    </row>
    <row r="436" ht="15.75" customHeight="1">
      <c r="BT436" s="68"/>
      <c r="BU436" s="68"/>
      <c r="BV436" s="68"/>
      <c r="BW436" s="68"/>
    </row>
    <row r="437" ht="15.75" customHeight="1">
      <c r="BT437" s="68"/>
      <c r="BU437" s="68"/>
      <c r="BV437" s="68"/>
      <c r="BW437" s="68"/>
    </row>
    <row r="438" ht="15.75" customHeight="1">
      <c r="BT438" s="68"/>
      <c r="BU438" s="68"/>
      <c r="BV438" s="68"/>
      <c r="BW438" s="68"/>
    </row>
    <row r="439" ht="15.75" customHeight="1">
      <c r="BT439" s="68"/>
      <c r="BU439" s="68"/>
      <c r="BV439" s="68"/>
      <c r="BW439" s="68"/>
    </row>
    <row r="440" ht="15.75" customHeight="1">
      <c r="BT440" s="68"/>
      <c r="BU440" s="68"/>
      <c r="BV440" s="68"/>
      <c r="BW440" s="68"/>
    </row>
    <row r="441" ht="15.75" customHeight="1">
      <c r="BT441" s="68"/>
      <c r="BU441" s="68"/>
      <c r="BV441" s="68"/>
      <c r="BW441" s="68"/>
    </row>
    <row r="442" ht="15.75" customHeight="1">
      <c r="BT442" s="68"/>
      <c r="BU442" s="68"/>
      <c r="BV442" s="68"/>
      <c r="BW442" s="68"/>
    </row>
    <row r="443" ht="15.75" customHeight="1">
      <c r="BT443" s="68"/>
      <c r="BU443" s="68"/>
      <c r="BV443" s="68"/>
      <c r="BW443" s="68"/>
    </row>
    <row r="444" ht="15.75" customHeight="1">
      <c r="BT444" s="68"/>
      <c r="BU444" s="68"/>
      <c r="BV444" s="68"/>
      <c r="BW444" s="68"/>
    </row>
    <row r="445" ht="15.75" customHeight="1">
      <c r="BT445" s="68"/>
      <c r="BU445" s="68"/>
      <c r="BV445" s="68"/>
      <c r="BW445" s="68"/>
    </row>
    <row r="446" ht="15.75" customHeight="1">
      <c r="BT446" s="68"/>
      <c r="BU446" s="68"/>
      <c r="BV446" s="68"/>
      <c r="BW446" s="68"/>
    </row>
    <row r="447" ht="15.75" customHeight="1">
      <c r="BT447" s="68"/>
      <c r="BU447" s="68"/>
      <c r="BV447" s="68"/>
      <c r="BW447" s="68"/>
    </row>
    <row r="448" ht="15.75" customHeight="1">
      <c r="BT448" s="68"/>
      <c r="BU448" s="68"/>
      <c r="BV448" s="68"/>
      <c r="BW448" s="68"/>
    </row>
    <row r="449" ht="15.75" customHeight="1">
      <c r="BT449" s="68"/>
      <c r="BU449" s="68"/>
      <c r="BV449" s="68"/>
      <c r="BW449" s="68"/>
    </row>
    <row r="450" ht="15.75" customHeight="1">
      <c r="BT450" s="68"/>
      <c r="BU450" s="68"/>
      <c r="BV450" s="68"/>
      <c r="BW450" s="68"/>
    </row>
    <row r="451" ht="15.75" customHeight="1">
      <c r="BT451" s="68"/>
      <c r="BU451" s="68"/>
      <c r="BV451" s="68"/>
      <c r="BW451" s="68"/>
    </row>
    <row r="452" ht="15.75" customHeight="1">
      <c r="BT452" s="68"/>
      <c r="BU452" s="68"/>
      <c r="BV452" s="68"/>
      <c r="BW452" s="68"/>
    </row>
    <row r="453" ht="15.75" customHeight="1">
      <c r="BT453" s="68"/>
      <c r="BU453" s="68"/>
      <c r="BV453" s="68"/>
      <c r="BW453" s="68"/>
    </row>
    <row r="454" ht="15.75" customHeight="1">
      <c r="BT454" s="68"/>
      <c r="BU454" s="68"/>
      <c r="BV454" s="68"/>
      <c r="BW454" s="68"/>
    </row>
    <row r="455" ht="15.75" customHeight="1">
      <c r="BT455" s="68"/>
      <c r="BU455" s="68"/>
      <c r="BV455" s="68"/>
      <c r="BW455" s="68"/>
    </row>
    <row r="456" ht="15.75" customHeight="1">
      <c r="BT456" s="68"/>
      <c r="BU456" s="68"/>
      <c r="BV456" s="68"/>
      <c r="BW456" s="68"/>
    </row>
    <row r="457" ht="15.75" customHeight="1">
      <c r="BT457" s="68"/>
      <c r="BU457" s="68"/>
      <c r="BV457" s="68"/>
      <c r="BW457" s="68"/>
    </row>
    <row r="458" ht="15.75" customHeight="1">
      <c r="BT458" s="68"/>
      <c r="BU458" s="68"/>
      <c r="BV458" s="68"/>
      <c r="BW458" s="68"/>
    </row>
    <row r="459" ht="15.75" customHeight="1">
      <c r="BT459" s="68"/>
      <c r="BU459" s="68"/>
      <c r="BV459" s="68"/>
      <c r="BW459" s="68"/>
    </row>
    <row r="460" ht="15.75" customHeight="1">
      <c r="BT460" s="68"/>
      <c r="BU460" s="68"/>
      <c r="BV460" s="68"/>
      <c r="BW460" s="68"/>
    </row>
    <row r="461" ht="15.75" customHeight="1">
      <c r="BT461" s="68"/>
      <c r="BU461" s="68"/>
      <c r="BV461" s="68"/>
      <c r="BW461" s="68"/>
    </row>
    <row r="462" ht="15.75" customHeight="1">
      <c r="BT462" s="68"/>
      <c r="BU462" s="68"/>
      <c r="BV462" s="68"/>
      <c r="BW462" s="68"/>
    </row>
    <row r="463" ht="15.75" customHeight="1">
      <c r="BT463" s="68"/>
      <c r="BU463" s="68"/>
      <c r="BV463" s="68"/>
      <c r="BW463" s="68"/>
    </row>
    <row r="464" ht="15.75" customHeight="1">
      <c r="BT464" s="68"/>
      <c r="BU464" s="68"/>
      <c r="BV464" s="68"/>
      <c r="BW464" s="68"/>
    </row>
    <row r="465" ht="15.75" customHeight="1">
      <c r="BT465" s="68"/>
      <c r="BU465" s="68"/>
      <c r="BV465" s="68"/>
      <c r="BW465" s="68"/>
    </row>
    <row r="466" ht="15.75" customHeight="1">
      <c r="BT466" s="68"/>
      <c r="BU466" s="68"/>
      <c r="BV466" s="68"/>
      <c r="BW466" s="68"/>
    </row>
    <row r="467" ht="15.75" customHeight="1">
      <c r="BT467" s="68"/>
      <c r="BU467" s="68"/>
      <c r="BV467" s="68"/>
      <c r="BW467" s="68"/>
    </row>
    <row r="468" ht="15.75" customHeight="1">
      <c r="BT468" s="68"/>
      <c r="BU468" s="68"/>
      <c r="BV468" s="68"/>
      <c r="BW468" s="68"/>
    </row>
    <row r="469" ht="15.75" customHeight="1">
      <c r="BT469" s="68"/>
      <c r="BU469" s="68"/>
      <c r="BV469" s="68"/>
      <c r="BW469" s="68"/>
    </row>
    <row r="470" ht="15.75" customHeight="1">
      <c r="BT470" s="68"/>
      <c r="BU470" s="68"/>
      <c r="BV470" s="68"/>
      <c r="BW470" s="68"/>
    </row>
    <row r="471" ht="15.75" customHeight="1">
      <c r="BT471" s="68"/>
      <c r="BU471" s="68"/>
      <c r="BV471" s="68"/>
      <c r="BW471" s="68"/>
    </row>
    <row r="472" ht="15.75" customHeight="1">
      <c r="BT472" s="68"/>
      <c r="BU472" s="68"/>
      <c r="BV472" s="68"/>
      <c r="BW472" s="68"/>
    </row>
    <row r="473" ht="15.75" customHeight="1">
      <c r="BT473" s="68"/>
      <c r="BU473" s="68"/>
      <c r="BV473" s="68"/>
      <c r="BW473" s="68"/>
    </row>
    <row r="474" ht="15.75" customHeight="1">
      <c r="BT474" s="68"/>
      <c r="BU474" s="68"/>
      <c r="BV474" s="68"/>
      <c r="BW474" s="68"/>
    </row>
    <row r="475" ht="15.75" customHeight="1">
      <c r="BT475" s="68"/>
      <c r="BU475" s="68"/>
      <c r="BV475" s="68"/>
      <c r="BW475" s="68"/>
    </row>
    <row r="476" ht="15.75" customHeight="1">
      <c r="BT476" s="68"/>
      <c r="BU476" s="68"/>
      <c r="BV476" s="68"/>
      <c r="BW476" s="68"/>
    </row>
    <row r="477" ht="15.75" customHeight="1">
      <c r="BT477" s="68"/>
      <c r="BU477" s="68"/>
      <c r="BV477" s="68"/>
      <c r="BW477" s="68"/>
    </row>
    <row r="478" ht="15.75" customHeight="1">
      <c r="BT478" s="68"/>
      <c r="BU478" s="68"/>
      <c r="BV478" s="68"/>
      <c r="BW478" s="68"/>
    </row>
    <row r="479" ht="15.75" customHeight="1">
      <c r="BT479" s="68"/>
      <c r="BU479" s="68"/>
      <c r="BV479" s="68"/>
      <c r="BW479" s="68"/>
    </row>
    <row r="480" ht="15.75" customHeight="1">
      <c r="BT480" s="68"/>
      <c r="BU480" s="68"/>
      <c r="BV480" s="68"/>
      <c r="BW480" s="68"/>
    </row>
    <row r="481" ht="15.75" customHeight="1">
      <c r="BT481" s="68"/>
      <c r="BU481" s="68"/>
      <c r="BV481" s="68"/>
      <c r="BW481" s="68"/>
    </row>
    <row r="482" ht="15.75" customHeight="1">
      <c r="BT482" s="68"/>
      <c r="BU482" s="68"/>
      <c r="BV482" s="68"/>
      <c r="BW482" s="68"/>
    </row>
    <row r="483" ht="15.75" customHeight="1">
      <c r="BT483" s="68"/>
      <c r="BU483" s="68"/>
      <c r="BV483" s="68"/>
      <c r="BW483" s="68"/>
    </row>
    <row r="484" ht="15.75" customHeight="1">
      <c r="BT484" s="68"/>
      <c r="BU484" s="68"/>
      <c r="BV484" s="68"/>
      <c r="BW484" s="68"/>
    </row>
    <row r="485" ht="15.75" customHeight="1">
      <c r="BT485" s="68"/>
      <c r="BU485" s="68"/>
      <c r="BV485" s="68"/>
      <c r="BW485" s="68"/>
    </row>
    <row r="486" ht="15.75" customHeight="1">
      <c r="BT486" s="68"/>
      <c r="BU486" s="68"/>
      <c r="BV486" s="68"/>
      <c r="BW486" s="68"/>
    </row>
    <row r="487" ht="15.75" customHeight="1">
      <c r="BT487" s="68"/>
      <c r="BU487" s="68"/>
      <c r="BV487" s="68"/>
      <c r="BW487" s="68"/>
    </row>
    <row r="488" ht="15.75" customHeight="1">
      <c r="BT488" s="68"/>
      <c r="BU488" s="68"/>
      <c r="BV488" s="68"/>
      <c r="BW488" s="68"/>
    </row>
    <row r="489" ht="15.75" customHeight="1">
      <c r="BT489" s="68"/>
      <c r="BU489" s="68"/>
      <c r="BV489" s="68"/>
      <c r="BW489" s="68"/>
    </row>
    <row r="490" ht="15.75" customHeight="1">
      <c r="BT490" s="68"/>
      <c r="BU490" s="68"/>
      <c r="BV490" s="68"/>
      <c r="BW490" s="68"/>
    </row>
    <row r="491" ht="15.75" customHeight="1">
      <c r="BT491" s="68"/>
      <c r="BU491" s="68"/>
      <c r="BV491" s="68"/>
      <c r="BW491" s="68"/>
    </row>
    <row r="492" ht="15.75" customHeight="1">
      <c r="BT492" s="68"/>
      <c r="BU492" s="68"/>
      <c r="BV492" s="68"/>
      <c r="BW492" s="68"/>
    </row>
    <row r="493" ht="15.75" customHeight="1">
      <c r="BT493" s="68"/>
      <c r="BU493" s="68"/>
      <c r="BV493" s="68"/>
      <c r="BW493" s="68"/>
    </row>
    <row r="494" ht="15.75" customHeight="1">
      <c r="BT494" s="68"/>
      <c r="BU494" s="68"/>
      <c r="BV494" s="68"/>
      <c r="BW494" s="68"/>
    </row>
    <row r="495" ht="15.75" customHeight="1">
      <c r="BT495" s="68"/>
      <c r="BU495" s="68"/>
      <c r="BV495" s="68"/>
      <c r="BW495" s="68"/>
    </row>
    <row r="496" ht="15.75" customHeight="1">
      <c r="BT496" s="68"/>
      <c r="BU496" s="68"/>
      <c r="BV496" s="68"/>
      <c r="BW496" s="68"/>
    </row>
    <row r="497" ht="15.75" customHeight="1">
      <c r="BT497" s="68"/>
      <c r="BU497" s="68"/>
      <c r="BV497" s="68"/>
      <c r="BW497" s="68"/>
    </row>
    <row r="498" ht="15.75" customHeight="1">
      <c r="BT498" s="68"/>
      <c r="BU498" s="68"/>
      <c r="BV498" s="68"/>
      <c r="BW498" s="68"/>
    </row>
    <row r="499" ht="15.75" customHeight="1">
      <c r="BT499" s="68"/>
      <c r="BU499" s="68"/>
      <c r="BV499" s="68"/>
      <c r="BW499" s="68"/>
    </row>
    <row r="500" ht="15.75" customHeight="1">
      <c r="BT500" s="68"/>
      <c r="BU500" s="68"/>
      <c r="BV500" s="68"/>
      <c r="BW500" s="68"/>
    </row>
    <row r="501" ht="15.75" customHeight="1">
      <c r="BT501" s="68"/>
      <c r="BU501" s="68"/>
      <c r="BV501" s="68"/>
      <c r="BW501" s="68"/>
    </row>
    <row r="502" ht="15.75" customHeight="1">
      <c r="BT502" s="68"/>
      <c r="BU502" s="68"/>
      <c r="BV502" s="68"/>
      <c r="BW502" s="68"/>
    </row>
    <row r="503" ht="15.75" customHeight="1">
      <c r="BT503" s="68"/>
      <c r="BU503" s="68"/>
      <c r="BV503" s="68"/>
      <c r="BW503" s="68"/>
    </row>
    <row r="504" ht="15.75" customHeight="1">
      <c r="BT504" s="68"/>
      <c r="BU504" s="68"/>
      <c r="BV504" s="68"/>
      <c r="BW504" s="68"/>
    </row>
    <row r="505" ht="15.75" customHeight="1">
      <c r="BT505" s="68"/>
      <c r="BU505" s="68"/>
      <c r="BV505" s="68"/>
      <c r="BW505" s="68"/>
    </row>
    <row r="506" ht="15.75" customHeight="1">
      <c r="BT506" s="68"/>
      <c r="BU506" s="68"/>
      <c r="BV506" s="68"/>
      <c r="BW506" s="68"/>
    </row>
    <row r="507" ht="15.75" customHeight="1">
      <c r="BT507" s="68"/>
      <c r="BU507" s="68"/>
      <c r="BV507" s="68"/>
      <c r="BW507" s="68"/>
    </row>
    <row r="508" ht="15.75" customHeight="1">
      <c r="BT508" s="68"/>
      <c r="BU508" s="68"/>
      <c r="BV508" s="68"/>
      <c r="BW508" s="68"/>
    </row>
    <row r="509" ht="15.75" customHeight="1">
      <c r="BT509" s="68"/>
      <c r="BU509" s="68"/>
      <c r="BV509" s="68"/>
      <c r="BW509" s="68"/>
    </row>
    <row r="510" ht="15.75" customHeight="1">
      <c r="BT510" s="68"/>
      <c r="BU510" s="68"/>
      <c r="BV510" s="68"/>
      <c r="BW510" s="68"/>
    </row>
    <row r="511" ht="15.75" customHeight="1">
      <c r="BT511" s="68"/>
      <c r="BU511" s="68"/>
      <c r="BV511" s="68"/>
      <c r="BW511" s="68"/>
    </row>
    <row r="512" ht="15.75" customHeight="1">
      <c r="BT512" s="68"/>
      <c r="BU512" s="68"/>
      <c r="BV512" s="68"/>
      <c r="BW512" s="68"/>
    </row>
    <row r="513" ht="15.75" customHeight="1">
      <c r="BT513" s="68"/>
      <c r="BU513" s="68"/>
      <c r="BV513" s="68"/>
      <c r="BW513" s="68"/>
    </row>
    <row r="514" ht="15.75" customHeight="1">
      <c r="BT514" s="68"/>
      <c r="BU514" s="68"/>
      <c r="BV514" s="68"/>
      <c r="BW514" s="68"/>
    </row>
    <row r="515" ht="15.75" customHeight="1">
      <c r="BT515" s="68"/>
      <c r="BU515" s="68"/>
      <c r="BV515" s="68"/>
      <c r="BW515" s="68"/>
    </row>
    <row r="516" ht="15.75" customHeight="1">
      <c r="BT516" s="68"/>
      <c r="BU516" s="68"/>
      <c r="BV516" s="68"/>
      <c r="BW516" s="68"/>
    </row>
    <row r="517" ht="15.75" customHeight="1">
      <c r="BT517" s="68"/>
      <c r="BU517" s="68"/>
      <c r="BV517" s="68"/>
      <c r="BW517" s="68"/>
    </row>
    <row r="518" ht="15.75" customHeight="1">
      <c r="BT518" s="68"/>
      <c r="BU518" s="68"/>
      <c r="BV518" s="68"/>
      <c r="BW518" s="68"/>
    </row>
    <row r="519" ht="15.75" customHeight="1">
      <c r="BT519" s="68"/>
      <c r="BU519" s="68"/>
      <c r="BV519" s="68"/>
      <c r="BW519" s="68"/>
    </row>
    <row r="520" ht="15.75" customHeight="1">
      <c r="BT520" s="68"/>
      <c r="BU520" s="68"/>
      <c r="BV520" s="68"/>
      <c r="BW520" s="68"/>
    </row>
    <row r="521" ht="15.75" customHeight="1">
      <c r="BT521" s="68"/>
      <c r="BU521" s="68"/>
      <c r="BV521" s="68"/>
      <c r="BW521" s="68"/>
    </row>
    <row r="522" ht="15.75" customHeight="1">
      <c r="BT522" s="68"/>
      <c r="BU522" s="68"/>
      <c r="BV522" s="68"/>
      <c r="BW522" s="68"/>
    </row>
    <row r="523" ht="15.75" customHeight="1">
      <c r="BT523" s="68"/>
      <c r="BU523" s="68"/>
      <c r="BV523" s="68"/>
      <c r="BW523" s="68"/>
    </row>
    <row r="524" ht="15.75" customHeight="1">
      <c r="BT524" s="68"/>
      <c r="BU524" s="68"/>
      <c r="BV524" s="68"/>
      <c r="BW524" s="68"/>
    </row>
    <row r="525" ht="15.75" customHeight="1">
      <c r="BT525" s="68"/>
      <c r="BU525" s="68"/>
      <c r="BV525" s="68"/>
      <c r="BW525" s="68"/>
    </row>
    <row r="526" ht="15.75" customHeight="1">
      <c r="BT526" s="68"/>
      <c r="BU526" s="68"/>
      <c r="BV526" s="68"/>
      <c r="BW526" s="68"/>
    </row>
    <row r="527" ht="15.75" customHeight="1">
      <c r="BT527" s="68"/>
      <c r="BU527" s="68"/>
      <c r="BV527" s="68"/>
      <c r="BW527" s="68"/>
    </row>
    <row r="528" ht="15.75" customHeight="1">
      <c r="BT528" s="68"/>
      <c r="BU528" s="68"/>
      <c r="BV528" s="68"/>
      <c r="BW528" s="68"/>
    </row>
    <row r="529" ht="15.75" customHeight="1">
      <c r="BT529" s="68"/>
      <c r="BU529" s="68"/>
      <c r="BV529" s="68"/>
      <c r="BW529" s="68"/>
    </row>
    <row r="530" ht="15.75" customHeight="1">
      <c r="BT530" s="68"/>
      <c r="BU530" s="68"/>
      <c r="BV530" s="68"/>
      <c r="BW530" s="68"/>
    </row>
    <row r="531" ht="15.75" customHeight="1">
      <c r="BT531" s="68"/>
      <c r="BU531" s="68"/>
      <c r="BV531" s="68"/>
      <c r="BW531" s="68"/>
    </row>
    <row r="532" ht="15.75" customHeight="1">
      <c r="BT532" s="68"/>
      <c r="BU532" s="68"/>
      <c r="BV532" s="68"/>
      <c r="BW532" s="68"/>
    </row>
    <row r="533" ht="15.75" customHeight="1">
      <c r="BT533" s="68"/>
      <c r="BU533" s="68"/>
      <c r="BV533" s="68"/>
      <c r="BW533" s="68"/>
    </row>
    <row r="534" ht="15.75" customHeight="1">
      <c r="BT534" s="68"/>
      <c r="BU534" s="68"/>
      <c r="BV534" s="68"/>
      <c r="BW534" s="68"/>
    </row>
    <row r="535" ht="15.75" customHeight="1">
      <c r="BT535" s="68"/>
      <c r="BU535" s="68"/>
      <c r="BV535" s="68"/>
      <c r="BW535" s="68"/>
    </row>
    <row r="536" ht="15.75" customHeight="1">
      <c r="BT536" s="68"/>
      <c r="BU536" s="68"/>
      <c r="BV536" s="68"/>
      <c r="BW536" s="68"/>
    </row>
    <row r="537" ht="15.75" customHeight="1">
      <c r="BT537" s="68"/>
      <c r="BU537" s="68"/>
      <c r="BV537" s="68"/>
      <c r="BW537" s="68"/>
    </row>
    <row r="538" ht="15.75" customHeight="1">
      <c r="BT538" s="68"/>
      <c r="BU538" s="68"/>
      <c r="BV538" s="68"/>
      <c r="BW538" s="68"/>
    </row>
    <row r="539" ht="15.75" customHeight="1">
      <c r="BT539" s="68"/>
      <c r="BU539" s="68"/>
      <c r="BV539" s="68"/>
      <c r="BW539" s="68"/>
    </row>
    <row r="540" ht="15.75" customHeight="1">
      <c r="BT540" s="68"/>
      <c r="BU540" s="68"/>
      <c r="BV540" s="68"/>
      <c r="BW540" s="68"/>
    </row>
    <row r="541" ht="15.75" customHeight="1">
      <c r="BT541" s="68"/>
      <c r="BU541" s="68"/>
      <c r="BV541" s="68"/>
      <c r="BW541" s="68"/>
    </row>
    <row r="542" ht="15.75" customHeight="1">
      <c r="BT542" s="68"/>
      <c r="BU542" s="68"/>
      <c r="BV542" s="68"/>
      <c r="BW542" s="68"/>
    </row>
    <row r="543" ht="15.75" customHeight="1">
      <c r="BT543" s="68"/>
      <c r="BU543" s="68"/>
      <c r="BV543" s="68"/>
      <c r="BW543" s="68"/>
    </row>
    <row r="544" ht="15.75" customHeight="1">
      <c r="BT544" s="68"/>
      <c r="BU544" s="68"/>
      <c r="BV544" s="68"/>
      <c r="BW544" s="68"/>
    </row>
    <row r="545" ht="15.75" customHeight="1">
      <c r="BT545" s="68"/>
      <c r="BU545" s="68"/>
      <c r="BV545" s="68"/>
      <c r="BW545" s="68"/>
    </row>
    <row r="546" ht="15.75" customHeight="1">
      <c r="BT546" s="68"/>
      <c r="BU546" s="68"/>
      <c r="BV546" s="68"/>
      <c r="BW546" s="68"/>
    </row>
    <row r="547" ht="15.75" customHeight="1">
      <c r="BT547" s="68"/>
      <c r="BU547" s="68"/>
      <c r="BV547" s="68"/>
      <c r="BW547" s="68"/>
    </row>
    <row r="548" ht="15.75" customHeight="1">
      <c r="BT548" s="68"/>
      <c r="BU548" s="68"/>
      <c r="BV548" s="68"/>
      <c r="BW548" s="68"/>
    </row>
    <row r="549" ht="15.75" customHeight="1">
      <c r="BT549" s="68"/>
      <c r="BU549" s="68"/>
      <c r="BV549" s="68"/>
      <c r="BW549" s="68"/>
    </row>
    <row r="550" ht="15.75" customHeight="1">
      <c r="BT550" s="68"/>
      <c r="BU550" s="68"/>
      <c r="BV550" s="68"/>
      <c r="BW550" s="68"/>
    </row>
    <row r="551" ht="15.75" customHeight="1">
      <c r="BT551" s="68"/>
      <c r="BU551" s="68"/>
      <c r="BV551" s="68"/>
      <c r="BW551" s="68"/>
    </row>
    <row r="552" ht="15.75" customHeight="1">
      <c r="BT552" s="68"/>
      <c r="BU552" s="68"/>
      <c r="BV552" s="68"/>
      <c r="BW552" s="68"/>
    </row>
    <row r="553" ht="15.75" customHeight="1">
      <c r="BT553" s="68"/>
      <c r="BU553" s="68"/>
      <c r="BV553" s="68"/>
      <c r="BW553" s="68"/>
    </row>
    <row r="554" ht="15.75" customHeight="1">
      <c r="BT554" s="68"/>
      <c r="BU554" s="68"/>
      <c r="BV554" s="68"/>
      <c r="BW554" s="68"/>
    </row>
    <row r="555" ht="15.75" customHeight="1">
      <c r="BT555" s="68"/>
      <c r="BU555" s="68"/>
      <c r="BV555" s="68"/>
      <c r="BW555" s="68"/>
    </row>
    <row r="556" ht="15.75" customHeight="1">
      <c r="BT556" s="68"/>
      <c r="BU556" s="68"/>
      <c r="BV556" s="68"/>
      <c r="BW556" s="68"/>
    </row>
    <row r="557" ht="15.75" customHeight="1">
      <c r="BT557" s="68"/>
      <c r="BU557" s="68"/>
      <c r="BV557" s="68"/>
      <c r="BW557" s="68"/>
    </row>
    <row r="558" ht="15.75" customHeight="1">
      <c r="BT558" s="68"/>
      <c r="BU558" s="68"/>
      <c r="BV558" s="68"/>
      <c r="BW558" s="68"/>
    </row>
    <row r="559" ht="15.75" customHeight="1">
      <c r="BT559" s="68"/>
      <c r="BU559" s="68"/>
      <c r="BV559" s="68"/>
      <c r="BW559" s="68"/>
    </row>
    <row r="560" ht="15.75" customHeight="1">
      <c r="BT560" s="68"/>
      <c r="BU560" s="68"/>
      <c r="BV560" s="68"/>
      <c r="BW560" s="68"/>
    </row>
    <row r="561" ht="15.75" customHeight="1">
      <c r="BT561" s="68"/>
      <c r="BU561" s="68"/>
      <c r="BV561" s="68"/>
      <c r="BW561" s="68"/>
    </row>
    <row r="562" ht="15.75" customHeight="1">
      <c r="BT562" s="68"/>
      <c r="BU562" s="68"/>
      <c r="BV562" s="68"/>
      <c r="BW562" s="68"/>
    </row>
    <row r="563" ht="15.75" customHeight="1">
      <c r="BT563" s="68"/>
      <c r="BU563" s="68"/>
      <c r="BV563" s="68"/>
      <c r="BW563" s="68"/>
    </row>
    <row r="564" ht="15.75" customHeight="1">
      <c r="BT564" s="68"/>
      <c r="BU564" s="68"/>
      <c r="BV564" s="68"/>
      <c r="BW564" s="68"/>
    </row>
    <row r="565" ht="15.75" customHeight="1">
      <c r="BT565" s="68"/>
      <c r="BU565" s="68"/>
      <c r="BV565" s="68"/>
      <c r="BW565" s="68"/>
    </row>
    <row r="566" ht="15.75" customHeight="1">
      <c r="BT566" s="68"/>
      <c r="BU566" s="68"/>
      <c r="BV566" s="68"/>
      <c r="BW566" s="68"/>
    </row>
    <row r="567" ht="15.75" customHeight="1">
      <c r="BT567" s="68"/>
      <c r="BU567" s="68"/>
      <c r="BV567" s="68"/>
      <c r="BW567" s="68"/>
    </row>
    <row r="568" ht="15.75" customHeight="1">
      <c r="BT568" s="68"/>
      <c r="BU568" s="68"/>
      <c r="BV568" s="68"/>
      <c r="BW568" s="68"/>
    </row>
    <row r="569" ht="15.75" customHeight="1">
      <c r="BT569" s="68"/>
      <c r="BU569" s="68"/>
      <c r="BV569" s="68"/>
      <c r="BW569" s="68"/>
    </row>
    <row r="570" ht="15.75" customHeight="1">
      <c r="BT570" s="68"/>
      <c r="BU570" s="68"/>
      <c r="BV570" s="68"/>
      <c r="BW570" s="68"/>
    </row>
    <row r="571" ht="15.75" customHeight="1">
      <c r="BT571" s="68"/>
      <c r="BU571" s="68"/>
      <c r="BV571" s="68"/>
      <c r="BW571" s="68"/>
    </row>
    <row r="572" ht="15.75" customHeight="1">
      <c r="BT572" s="68"/>
      <c r="BU572" s="68"/>
      <c r="BV572" s="68"/>
      <c r="BW572" s="68"/>
    </row>
    <row r="573" ht="15.75" customHeight="1">
      <c r="BT573" s="68"/>
      <c r="BU573" s="68"/>
      <c r="BV573" s="68"/>
      <c r="BW573" s="68"/>
    </row>
    <row r="574" ht="15.75" customHeight="1">
      <c r="BT574" s="68"/>
      <c r="BU574" s="68"/>
      <c r="BV574" s="68"/>
      <c r="BW574" s="68"/>
    </row>
    <row r="575" ht="15.75" customHeight="1">
      <c r="BT575" s="68"/>
      <c r="BU575" s="68"/>
      <c r="BV575" s="68"/>
      <c r="BW575" s="68"/>
    </row>
    <row r="576" ht="15.75" customHeight="1">
      <c r="BT576" s="68"/>
      <c r="BU576" s="68"/>
      <c r="BV576" s="68"/>
      <c r="BW576" s="68"/>
    </row>
    <row r="577" ht="15.75" customHeight="1">
      <c r="BT577" s="68"/>
      <c r="BU577" s="68"/>
      <c r="BV577" s="68"/>
      <c r="BW577" s="68"/>
    </row>
    <row r="578" ht="15.75" customHeight="1">
      <c r="BT578" s="68"/>
      <c r="BU578" s="68"/>
      <c r="BV578" s="68"/>
      <c r="BW578" s="68"/>
    </row>
    <row r="579" ht="15.75" customHeight="1">
      <c r="BT579" s="68"/>
      <c r="BU579" s="68"/>
      <c r="BV579" s="68"/>
      <c r="BW579" s="68"/>
    </row>
    <row r="580" ht="15.75" customHeight="1">
      <c r="BT580" s="68"/>
      <c r="BU580" s="68"/>
      <c r="BV580" s="68"/>
      <c r="BW580" s="68"/>
    </row>
    <row r="581" ht="15.75" customHeight="1">
      <c r="BT581" s="68"/>
      <c r="BU581" s="68"/>
      <c r="BV581" s="68"/>
      <c r="BW581" s="68"/>
    </row>
    <row r="582" ht="15.75" customHeight="1">
      <c r="BT582" s="68"/>
      <c r="BU582" s="68"/>
      <c r="BV582" s="68"/>
      <c r="BW582" s="68"/>
    </row>
    <row r="583" ht="15.75" customHeight="1">
      <c r="BT583" s="68"/>
      <c r="BU583" s="68"/>
      <c r="BV583" s="68"/>
      <c r="BW583" s="68"/>
    </row>
    <row r="584" ht="15.75" customHeight="1">
      <c r="BT584" s="68"/>
      <c r="BU584" s="68"/>
      <c r="BV584" s="68"/>
      <c r="BW584" s="68"/>
    </row>
    <row r="585" ht="15.75" customHeight="1">
      <c r="BT585" s="68"/>
      <c r="BU585" s="68"/>
      <c r="BV585" s="68"/>
      <c r="BW585" s="68"/>
    </row>
    <row r="586" ht="15.75" customHeight="1">
      <c r="BT586" s="68"/>
      <c r="BU586" s="68"/>
      <c r="BV586" s="68"/>
      <c r="BW586" s="68"/>
    </row>
    <row r="587" ht="15.75" customHeight="1">
      <c r="BT587" s="68"/>
      <c r="BU587" s="68"/>
      <c r="BV587" s="68"/>
      <c r="BW587" s="68"/>
    </row>
    <row r="588" ht="15.75" customHeight="1">
      <c r="BT588" s="68"/>
      <c r="BU588" s="68"/>
      <c r="BV588" s="68"/>
      <c r="BW588" s="68"/>
    </row>
    <row r="589" ht="15.75" customHeight="1">
      <c r="BT589" s="68"/>
      <c r="BU589" s="68"/>
      <c r="BV589" s="68"/>
      <c r="BW589" s="68"/>
    </row>
    <row r="590" ht="15.75" customHeight="1">
      <c r="BT590" s="68"/>
      <c r="BU590" s="68"/>
      <c r="BV590" s="68"/>
      <c r="BW590" s="68"/>
    </row>
    <row r="591" ht="15.75" customHeight="1">
      <c r="BT591" s="68"/>
      <c r="BU591" s="68"/>
      <c r="BV591" s="68"/>
      <c r="BW591" s="68"/>
    </row>
    <row r="592" ht="15.75" customHeight="1">
      <c r="BT592" s="68"/>
      <c r="BU592" s="68"/>
      <c r="BV592" s="68"/>
      <c r="BW592" s="68"/>
    </row>
    <row r="593" ht="15.75" customHeight="1">
      <c r="BT593" s="68"/>
      <c r="BU593" s="68"/>
      <c r="BV593" s="68"/>
      <c r="BW593" s="68"/>
    </row>
    <row r="594" ht="15.75" customHeight="1">
      <c r="BT594" s="68"/>
      <c r="BU594" s="68"/>
      <c r="BV594" s="68"/>
      <c r="BW594" s="68"/>
    </row>
    <row r="595" ht="15.75" customHeight="1">
      <c r="BT595" s="68"/>
      <c r="BU595" s="68"/>
      <c r="BV595" s="68"/>
      <c r="BW595" s="68"/>
    </row>
    <row r="596" ht="15.75" customHeight="1">
      <c r="BT596" s="68"/>
      <c r="BU596" s="68"/>
      <c r="BV596" s="68"/>
      <c r="BW596" s="68"/>
    </row>
    <row r="597" ht="15.75" customHeight="1">
      <c r="BT597" s="68"/>
      <c r="BU597" s="68"/>
      <c r="BV597" s="68"/>
      <c r="BW597" s="68"/>
    </row>
    <row r="598" ht="15.75" customHeight="1">
      <c r="BT598" s="68"/>
      <c r="BU598" s="68"/>
      <c r="BV598" s="68"/>
      <c r="BW598" s="68"/>
    </row>
    <row r="599" ht="15.75" customHeight="1">
      <c r="BT599" s="68"/>
      <c r="BU599" s="68"/>
      <c r="BV599" s="68"/>
      <c r="BW599" s="68"/>
    </row>
    <row r="600" ht="15.75" customHeight="1">
      <c r="BT600" s="68"/>
      <c r="BU600" s="68"/>
      <c r="BV600" s="68"/>
      <c r="BW600" s="68"/>
    </row>
    <row r="601" ht="15.75" customHeight="1">
      <c r="BT601" s="68"/>
      <c r="BU601" s="68"/>
      <c r="BV601" s="68"/>
      <c r="BW601" s="68"/>
    </row>
    <row r="602" ht="15.75" customHeight="1">
      <c r="BT602" s="68"/>
      <c r="BU602" s="68"/>
      <c r="BV602" s="68"/>
      <c r="BW602" s="68"/>
    </row>
    <row r="603" ht="15.75" customHeight="1">
      <c r="BT603" s="68"/>
      <c r="BU603" s="68"/>
      <c r="BV603" s="68"/>
      <c r="BW603" s="68"/>
    </row>
    <row r="604" ht="15.75" customHeight="1">
      <c r="BT604" s="68"/>
      <c r="BU604" s="68"/>
      <c r="BV604" s="68"/>
      <c r="BW604" s="68"/>
    </row>
    <row r="605" ht="15.75" customHeight="1">
      <c r="BT605" s="68"/>
      <c r="BU605" s="68"/>
      <c r="BV605" s="68"/>
      <c r="BW605" s="68"/>
    </row>
    <row r="606" ht="15.75" customHeight="1">
      <c r="BT606" s="68"/>
      <c r="BU606" s="68"/>
      <c r="BV606" s="68"/>
      <c r="BW606" s="68"/>
    </row>
    <row r="607" ht="15.75" customHeight="1">
      <c r="BT607" s="68"/>
      <c r="BU607" s="68"/>
      <c r="BV607" s="68"/>
      <c r="BW607" s="68"/>
    </row>
    <row r="608" ht="15.75" customHeight="1">
      <c r="BT608" s="68"/>
      <c r="BU608" s="68"/>
      <c r="BV608" s="68"/>
      <c r="BW608" s="68"/>
    </row>
    <row r="609" ht="15.75" customHeight="1">
      <c r="BT609" s="68"/>
      <c r="BU609" s="68"/>
      <c r="BV609" s="68"/>
      <c r="BW609" s="68"/>
    </row>
    <row r="610" ht="15.75" customHeight="1">
      <c r="BT610" s="68"/>
      <c r="BU610" s="68"/>
      <c r="BV610" s="68"/>
      <c r="BW610" s="68"/>
    </row>
    <row r="611" ht="15.75" customHeight="1">
      <c r="BT611" s="68"/>
      <c r="BU611" s="68"/>
      <c r="BV611" s="68"/>
      <c r="BW611" s="68"/>
    </row>
    <row r="612" ht="15.75" customHeight="1">
      <c r="BT612" s="68"/>
      <c r="BU612" s="68"/>
      <c r="BV612" s="68"/>
      <c r="BW612" s="68"/>
    </row>
    <row r="613" ht="15.75" customHeight="1">
      <c r="BT613" s="68"/>
      <c r="BU613" s="68"/>
      <c r="BV613" s="68"/>
      <c r="BW613" s="68"/>
    </row>
    <row r="614" ht="15.75" customHeight="1">
      <c r="BT614" s="68"/>
      <c r="BU614" s="68"/>
      <c r="BV614" s="68"/>
      <c r="BW614" s="68"/>
    </row>
    <row r="615" ht="15.75" customHeight="1">
      <c r="BT615" s="68"/>
      <c r="BU615" s="68"/>
      <c r="BV615" s="68"/>
      <c r="BW615" s="68"/>
    </row>
    <row r="616" ht="15.75" customHeight="1">
      <c r="BT616" s="68"/>
      <c r="BU616" s="68"/>
      <c r="BV616" s="68"/>
      <c r="BW616" s="68"/>
    </row>
    <row r="617" ht="15.75" customHeight="1">
      <c r="BT617" s="68"/>
      <c r="BU617" s="68"/>
      <c r="BV617" s="68"/>
      <c r="BW617" s="68"/>
    </row>
    <row r="618" ht="15.75" customHeight="1">
      <c r="BT618" s="68"/>
      <c r="BU618" s="68"/>
      <c r="BV618" s="68"/>
      <c r="BW618" s="68"/>
    </row>
    <row r="619" ht="15.75" customHeight="1">
      <c r="BT619" s="68"/>
      <c r="BU619" s="68"/>
      <c r="BV619" s="68"/>
      <c r="BW619" s="68"/>
    </row>
    <row r="620" ht="15.75" customHeight="1">
      <c r="BT620" s="68"/>
      <c r="BU620" s="68"/>
      <c r="BV620" s="68"/>
      <c r="BW620" s="68"/>
    </row>
    <row r="621" ht="15.75" customHeight="1">
      <c r="BT621" s="68"/>
      <c r="BU621" s="68"/>
      <c r="BV621" s="68"/>
      <c r="BW621" s="68"/>
    </row>
    <row r="622" ht="15.75" customHeight="1">
      <c r="BT622" s="68"/>
      <c r="BU622" s="68"/>
      <c r="BV622" s="68"/>
      <c r="BW622" s="68"/>
    </row>
    <row r="623" ht="15.75" customHeight="1">
      <c r="BT623" s="68"/>
      <c r="BU623" s="68"/>
      <c r="BV623" s="68"/>
      <c r="BW623" s="68"/>
    </row>
    <row r="624" ht="15.75" customHeight="1">
      <c r="BT624" s="68"/>
      <c r="BU624" s="68"/>
      <c r="BV624" s="68"/>
      <c r="BW624" s="68"/>
    </row>
    <row r="625" ht="15.75" customHeight="1">
      <c r="BT625" s="68"/>
      <c r="BU625" s="68"/>
      <c r="BV625" s="68"/>
      <c r="BW625" s="68"/>
    </row>
    <row r="626" ht="15.75" customHeight="1">
      <c r="BT626" s="68"/>
      <c r="BU626" s="68"/>
      <c r="BV626" s="68"/>
      <c r="BW626" s="68"/>
    </row>
    <row r="627" ht="15.75" customHeight="1">
      <c r="BT627" s="68"/>
      <c r="BU627" s="68"/>
      <c r="BV627" s="68"/>
      <c r="BW627" s="68"/>
    </row>
    <row r="628" ht="15.75" customHeight="1">
      <c r="BT628" s="68"/>
      <c r="BU628" s="68"/>
      <c r="BV628" s="68"/>
      <c r="BW628" s="68"/>
    </row>
    <row r="629" ht="15.75" customHeight="1">
      <c r="BT629" s="68"/>
      <c r="BU629" s="68"/>
      <c r="BV629" s="68"/>
      <c r="BW629" s="68"/>
    </row>
    <row r="630" ht="15.75" customHeight="1">
      <c r="BT630" s="68"/>
      <c r="BU630" s="68"/>
      <c r="BV630" s="68"/>
      <c r="BW630" s="68"/>
    </row>
    <row r="631" ht="15.75" customHeight="1">
      <c r="BT631" s="68"/>
      <c r="BU631" s="68"/>
      <c r="BV631" s="68"/>
      <c r="BW631" s="68"/>
    </row>
    <row r="632" ht="15.75" customHeight="1">
      <c r="BT632" s="68"/>
      <c r="BU632" s="68"/>
      <c r="BV632" s="68"/>
      <c r="BW632" s="68"/>
    </row>
    <row r="633" ht="15.75" customHeight="1">
      <c r="BT633" s="68"/>
      <c r="BU633" s="68"/>
      <c r="BV633" s="68"/>
      <c r="BW633" s="68"/>
    </row>
    <row r="634" ht="15.75" customHeight="1">
      <c r="BT634" s="68"/>
      <c r="BU634" s="68"/>
      <c r="BV634" s="68"/>
      <c r="BW634" s="68"/>
    </row>
    <row r="635" ht="15.75" customHeight="1">
      <c r="BT635" s="68"/>
      <c r="BU635" s="68"/>
      <c r="BV635" s="68"/>
      <c r="BW635" s="68"/>
    </row>
    <row r="636" ht="15.75" customHeight="1">
      <c r="BT636" s="68"/>
      <c r="BU636" s="68"/>
      <c r="BV636" s="68"/>
      <c r="BW636" s="68"/>
    </row>
    <row r="637" ht="15.75" customHeight="1">
      <c r="BT637" s="68"/>
      <c r="BU637" s="68"/>
      <c r="BV637" s="68"/>
      <c r="BW637" s="68"/>
    </row>
    <row r="638" ht="15.75" customHeight="1">
      <c r="BT638" s="68"/>
      <c r="BU638" s="68"/>
      <c r="BV638" s="68"/>
      <c r="BW638" s="68"/>
    </row>
    <row r="639" ht="15.75" customHeight="1">
      <c r="BT639" s="68"/>
      <c r="BU639" s="68"/>
      <c r="BV639" s="68"/>
      <c r="BW639" s="68"/>
    </row>
    <row r="640" ht="15.75" customHeight="1">
      <c r="BT640" s="68"/>
      <c r="BU640" s="68"/>
      <c r="BV640" s="68"/>
      <c r="BW640" s="68"/>
    </row>
    <row r="641" ht="15.75" customHeight="1">
      <c r="BT641" s="68"/>
      <c r="BU641" s="68"/>
      <c r="BV641" s="68"/>
      <c r="BW641" s="68"/>
    </row>
    <row r="642" ht="15.75" customHeight="1">
      <c r="BT642" s="68"/>
      <c r="BU642" s="68"/>
      <c r="BV642" s="68"/>
      <c r="BW642" s="68"/>
    </row>
    <row r="643" ht="15.75" customHeight="1">
      <c r="BT643" s="68"/>
      <c r="BU643" s="68"/>
      <c r="BV643" s="68"/>
      <c r="BW643" s="68"/>
    </row>
    <row r="644" ht="15.75" customHeight="1">
      <c r="BT644" s="68"/>
      <c r="BU644" s="68"/>
      <c r="BV644" s="68"/>
      <c r="BW644" s="68"/>
    </row>
    <row r="645" ht="15.75" customHeight="1">
      <c r="BT645" s="68"/>
      <c r="BU645" s="68"/>
      <c r="BV645" s="68"/>
      <c r="BW645" s="68"/>
    </row>
    <row r="646" ht="15.75" customHeight="1">
      <c r="BT646" s="68"/>
      <c r="BU646" s="68"/>
      <c r="BV646" s="68"/>
      <c r="BW646" s="68"/>
    </row>
    <row r="647" ht="15.75" customHeight="1">
      <c r="BT647" s="68"/>
      <c r="BU647" s="68"/>
      <c r="BV647" s="68"/>
      <c r="BW647" s="68"/>
    </row>
    <row r="648" ht="15.75" customHeight="1">
      <c r="BT648" s="68"/>
      <c r="BU648" s="68"/>
      <c r="BV648" s="68"/>
      <c r="BW648" s="68"/>
    </row>
    <row r="649" ht="15.75" customHeight="1">
      <c r="BT649" s="68"/>
      <c r="BU649" s="68"/>
      <c r="BV649" s="68"/>
      <c r="BW649" s="68"/>
    </row>
    <row r="650" ht="15.75" customHeight="1">
      <c r="BT650" s="68"/>
      <c r="BU650" s="68"/>
      <c r="BV650" s="68"/>
      <c r="BW650" s="68"/>
    </row>
    <row r="651" ht="15.75" customHeight="1">
      <c r="BT651" s="68"/>
      <c r="BU651" s="68"/>
      <c r="BV651" s="68"/>
      <c r="BW651" s="68"/>
    </row>
    <row r="652" ht="15.75" customHeight="1">
      <c r="BT652" s="68"/>
      <c r="BU652" s="68"/>
      <c r="BV652" s="68"/>
      <c r="BW652" s="68"/>
    </row>
    <row r="653" ht="15.75" customHeight="1">
      <c r="BT653" s="68"/>
      <c r="BU653" s="68"/>
      <c r="BV653" s="68"/>
      <c r="BW653" s="68"/>
    </row>
    <row r="654" ht="15.75" customHeight="1">
      <c r="BT654" s="68"/>
      <c r="BU654" s="68"/>
      <c r="BV654" s="68"/>
      <c r="BW654" s="68"/>
    </row>
    <row r="655" ht="15.75" customHeight="1">
      <c r="BT655" s="68"/>
      <c r="BU655" s="68"/>
      <c r="BV655" s="68"/>
      <c r="BW655" s="68"/>
    </row>
    <row r="656" ht="15.75" customHeight="1">
      <c r="BT656" s="68"/>
      <c r="BU656" s="68"/>
      <c r="BV656" s="68"/>
      <c r="BW656" s="68"/>
    </row>
    <row r="657" ht="15.75" customHeight="1">
      <c r="BT657" s="68"/>
      <c r="BU657" s="68"/>
      <c r="BV657" s="68"/>
      <c r="BW657" s="68"/>
    </row>
    <row r="658" ht="15.75" customHeight="1">
      <c r="BT658" s="68"/>
      <c r="BU658" s="68"/>
      <c r="BV658" s="68"/>
      <c r="BW658" s="68"/>
    </row>
    <row r="659" ht="15.75" customHeight="1">
      <c r="BT659" s="68"/>
      <c r="BU659" s="68"/>
      <c r="BV659" s="68"/>
      <c r="BW659" s="68"/>
    </row>
    <row r="660" ht="15.75" customHeight="1">
      <c r="BT660" s="68"/>
      <c r="BU660" s="68"/>
      <c r="BV660" s="68"/>
      <c r="BW660" s="68"/>
    </row>
    <row r="661" ht="15.75" customHeight="1">
      <c r="BT661" s="68"/>
      <c r="BU661" s="68"/>
      <c r="BV661" s="68"/>
      <c r="BW661" s="68"/>
    </row>
    <row r="662" ht="15.75" customHeight="1">
      <c r="BT662" s="68"/>
      <c r="BU662" s="68"/>
      <c r="BV662" s="68"/>
      <c r="BW662" s="68"/>
    </row>
    <row r="663" ht="15.75" customHeight="1">
      <c r="BT663" s="68"/>
      <c r="BU663" s="68"/>
      <c r="BV663" s="68"/>
      <c r="BW663" s="68"/>
    </row>
    <row r="664" ht="15.75" customHeight="1">
      <c r="BT664" s="68"/>
      <c r="BU664" s="68"/>
      <c r="BV664" s="68"/>
      <c r="BW664" s="68"/>
    </row>
    <row r="665" ht="15.75" customHeight="1">
      <c r="BT665" s="68"/>
      <c r="BU665" s="68"/>
      <c r="BV665" s="68"/>
      <c r="BW665" s="68"/>
    </row>
    <row r="666" ht="15.75" customHeight="1">
      <c r="BT666" s="68"/>
      <c r="BU666" s="68"/>
      <c r="BV666" s="68"/>
      <c r="BW666" s="68"/>
    </row>
    <row r="667" ht="15.75" customHeight="1">
      <c r="BT667" s="68"/>
      <c r="BU667" s="68"/>
      <c r="BV667" s="68"/>
      <c r="BW667" s="68"/>
    </row>
    <row r="668" ht="15.75" customHeight="1">
      <c r="BT668" s="68"/>
      <c r="BU668" s="68"/>
      <c r="BV668" s="68"/>
      <c r="BW668" s="68"/>
    </row>
    <row r="669" ht="15.75" customHeight="1">
      <c r="BT669" s="68"/>
      <c r="BU669" s="68"/>
      <c r="BV669" s="68"/>
      <c r="BW669" s="68"/>
    </row>
    <row r="670" ht="15.75" customHeight="1">
      <c r="BT670" s="68"/>
      <c r="BU670" s="68"/>
      <c r="BV670" s="68"/>
      <c r="BW670" s="68"/>
    </row>
    <row r="671" ht="15.75" customHeight="1">
      <c r="BT671" s="68"/>
      <c r="BU671" s="68"/>
      <c r="BV671" s="68"/>
      <c r="BW671" s="68"/>
    </row>
    <row r="672" ht="15.75" customHeight="1">
      <c r="BT672" s="68"/>
      <c r="BU672" s="68"/>
      <c r="BV672" s="68"/>
      <c r="BW672" s="68"/>
    </row>
    <row r="673" ht="15.75" customHeight="1">
      <c r="BT673" s="68"/>
      <c r="BU673" s="68"/>
      <c r="BV673" s="68"/>
      <c r="BW673" s="68"/>
    </row>
    <row r="674" ht="15.75" customHeight="1">
      <c r="BT674" s="68"/>
      <c r="BU674" s="68"/>
      <c r="BV674" s="68"/>
      <c r="BW674" s="68"/>
    </row>
    <row r="675" ht="15.75" customHeight="1">
      <c r="BT675" s="68"/>
      <c r="BU675" s="68"/>
      <c r="BV675" s="68"/>
      <c r="BW675" s="68"/>
    </row>
    <row r="676" ht="15.75" customHeight="1">
      <c r="BT676" s="68"/>
      <c r="BU676" s="68"/>
      <c r="BV676" s="68"/>
      <c r="BW676" s="68"/>
    </row>
    <row r="677" ht="15.75" customHeight="1">
      <c r="BT677" s="68"/>
      <c r="BU677" s="68"/>
      <c r="BV677" s="68"/>
      <c r="BW677" s="68"/>
    </row>
    <row r="678" ht="15.75" customHeight="1">
      <c r="BT678" s="68"/>
      <c r="BU678" s="68"/>
      <c r="BV678" s="68"/>
      <c r="BW678" s="68"/>
    </row>
    <row r="679" ht="15.75" customHeight="1">
      <c r="BT679" s="68"/>
      <c r="BU679" s="68"/>
      <c r="BV679" s="68"/>
      <c r="BW679" s="68"/>
    </row>
    <row r="680" ht="15.75" customHeight="1">
      <c r="BT680" s="68"/>
      <c r="BU680" s="68"/>
      <c r="BV680" s="68"/>
      <c r="BW680" s="68"/>
    </row>
    <row r="681" ht="15.75" customHeight="1">
      <c r="BT681" s="68"/>
      <c r="BU681" s="68"/>
      <c r="BV681" s="68"/>
      <c r="BW681" s="68"/>
    </row>
    <row r="682" ht="15.75" customHeight="1">
      <c r="BT682" s="68"/>
      <c r="BU682" s="68"/>
      <c r="BV682" s="68"/>
      <c r="BW682" s="68"/>
    </row>
    <row r="683" ht="15.75" customHeight="1">
      <c r="BT683" s="68"/>
      <c r="BU683" s="68"/>
      <c r="BV683" s="68"/>
      <c r="BW683" s="68"/>
    </row>
    <row r="684" ht="15.75" customHeight="1">
      <c r="BT684" s="68"/>
      <c r="BU684" s="68"/>
      <c r="BV684" s="68"/>
      <c r="BW684" s="68"/>
    </row>
    <row r="685" ht="15.75" customHeight="1">
      <c r="BT685" s="68"/>
      <c r="BU685" s="68"/>
      <c r="BV685" s="68"/>
      <c r="BW685" s="68"/>
    </row>
    <row r="686" ht="15.75" customHeight="1">
      <c r="BT686" s="68"/>
      <c r="BU686" s="68"/>
      <c r="BV686" s="68"/>
      <c r="BW686" s="68"/>
    </row>
    <row r="687" ht="15.75" customHeight="1">
      <c r="BT687" s="68"/>
      <c r="BU687" s="68"/>
      <c r="BV687" s="68"/>
      <c r="BW687" s="68"/>
    </row>
    <row r="688" ht="15.75" customHeight="1">
      <c r="BT688" s="68"/>
      <c r="BU688" s="68"/>
      <c r="BV688" s="68"/>
      <c r="BW688" s="68"/>
    </row>
    <row r="689" ht="15.75" customHeight="1">
      <c r="BT689" s="68"/>
      <c r="BU689" s="68"/>
      <c r="BV689" s="68"/>
      <c r="BW689" s="68"/>
    </row>
    <row r="690" ht="15.75" customHeight="1">
      <c r="BT690" s="68"/>
      <c r="BU690" s="68"/>
      <c r="BV690" s="68"/>
      <c r="BW690" s="68"/>
    </row>
    <row r="691" ht="15.75" customHeight="1">
      <c r="BT691" s="68"/>
      <c r="BU691" s="68"/>
      <c r="BV691" s="68"/>
      <c r="BW691" s="68"/>
    </row>
    <row r="692" ht="15.75" customHeight="1">
      <c r="BT692" s="68"/>
      <c r="BU692" s="68"/>
      <c r="BV692" s="68"/>
      <c r="BW692" s="68"/>
    </row>
    <row r="693" ht="15.75" customHeight="1">
      <c r="BT693" s="68"/>
      <c r="BU693" s="68"/>
      <c r="BV693" s="68"/>
      <c r="BW693" s="68"/>
    </row>
    <row r="694" ht="15.75" customHeight="1">
      <c r="BT694" s="68"/>
      <c r="BU694" s="68"/>
      <c r="BV694" s="68"/>
      <c r="BW694" s="68"/>
    </row>
    <row r="695" ht="15.75" customHeight="1">
      <c r="BT695" s="68"/>
      <c r="BU695" s="68"/>
      <c r="BV695" s="68"/>
      <c r="BW695" s="68"/>
    </row>
    <row r="696" ht="15.75" customHeight="1">
      <c r="BT696" s="68"/>
      <c r="BU696" s="68"/>
      <c r="BV696" s="68"/>
      <c r="BW696" s="68"/>
    </row>
    <row r="697" ht="15.75" customHeight="1">
      <c r="BT697" s="68"/>
      <c r="BU697" s="68"/>
      <c r="BV697" s="68"/>
      <c r="BW697" s="68"/>
    </row>
    <row r="698" ht="15.75" customHeight="1">
      <c r="BT698" s="68"/>
      <c r="BU698" s="68"/>
      <c r="BV698" s="68"/>
      <c r="BW698" s="68"/>
    </row>
    <row r="699" ht="15.75" customHeight="1">
      <c r="BT699" s="68"/>
      <c r="BU699" s="68"/>
      <c r="BV699" s="68"/>
      <c r="BW699" s="68"/>
    </row>
    <row r="700" ht="15.75" customHeight="1">
      <c r="BT700" s="68"/>
      <c r="BU700" s="68"/>
      <c r="BV700" s="68"/>
      <c r="BW700" s="68"/>
    </row>
    <row r="701" ht="15.75" customHeight="1">
      <c r="BT701" s="68"/>
      <c r="BU701" s="68"/>
      <c r="BV701" s="68"/>
      <c r="BW701" s="68"/>
    </row>
    <row r="702" ht="15.75" customHeight="1">
      <c r="BT702" s="68"/>
      <c r="BU702" s="68"/>
      <c r="BV702" s="68"/>
      <c r="BW702" s="68"/>
    </row>
    <row r="703" ht="15.75" customHeight="1">
      <c r="BT703" s="68"/>
      <c r="BU703" s="68"/>
      <c r="BV703" s="68"/>
      <c r="BW703" s="68"/>
    </row>
    <row r="704" ht="15.75" customHeight="1">
      <c r="BT704" s="68"/>
      <c r="BU704" s="68"/>
      <c r="BV704" s="68"/>
      <c r="BW704" s="68"/>
    </row>
    <row r="705" ht="15.75" customHeight="1">
      <c r="BT705" s="68"/>
      <c r="BU705" s="68"/>
      <c r="BV705" s="68"/>
      <c r="BW705" s="68"/>
    </row>
    <row r="706" ht="15.75" customHeight="1">
      <c r="BT706" s="68"/>
      <c r="BU706" s="68"/>
      <c r="BV706" s="68"/>
      <c r="BW706" s="68"/>
    </row>
    <row r="707" ht="15.75" customHeight="1">
      <c r="BT707" s="68"/>
      <c r="BU707" s="68"/>
      <c r="BV707" s="68"/>
      <c r="BW707" s="68"/>
    </row>
    <row r="708" ht="15.75" customHeight="1">
      <c r="BT708" s="68"/>
      <c r="BU708" s="68"/>
      <c r="BV708" s="68"/>
      <c r="BW708" s="68"/>
    </row>
    <row r="709" ht="15.75" customHeight="1">
      <c r="BT709" s="68"/>
      <c r="BU709" s="68"/>
      <c r="BV709" s="68"/>
      <c r="BW709" s="68"/>
    </row>
    <row r="710" ht="15.75" customHeight="1">
      <c r="BT710" s="68"/>
      <c r="BU710" s="68"/>
      <c r="BV710" s="68"/>
      <c r="BW710" s="68"/>
    </row>
    <row r="711" ht="15.75" customHeight="1">
      <c r="BT711" s="68"/>
      <c r="BU711" s="68"/>
      <c r="BV711" s="68"/>
      <c r="BW711" s="68"/>
    </row>
    <row r="712" ht="15.75" customHeight="1">
      <c r="BT712" s="68"/>
      <c r="BU712" s="68"/>
      <c r="BV712" s="68"/>
      <c r="BW712" s="68"/>
    </row>
    <row r="713" ht="15.75" customHeight="1">
      <c r="BT713" s="68"/>
      <c r="BU713" s="68"/>
      <c r="BV713" s="68"/>
      <c r="BW713" s="68"/>
    </row>
    <row r="714" ht="15.75" customHeight="1">
      <c r="BT714" s="68"/>
      <c r="BU714" s="68"/>
      <c r="BV714" s="68"/>
      <c r="BW714" s="68"/>
    </row>
    <row r="715" ht="15.75" customHeight="1">
      <c r="BT715" s="68"/>
      <c r="BU715" s="68"/>
      <c r="BV715" s="68"/>
      <c r="BW715" s="68"/>
    </row>
    <row r="716" ht="15.75" customHeight="1">
      <c r="BT716" s="68"/>
      <c r="BU716" s="68"/>
      <c r="BV716" s="68"/>
      <c r="BW716" s="68"/>
    </row>
    <row r="717" ht="15.75" customHeight="1">
      <c r="BT717" s="68"/>
      <c r="BU717" s="68"/>
      <c r="BV717" s="68"/>
      <c r="BW717" s="68"/>
    </row>
    <row r="718" ht="15.75" customHeight="1">
      <c r="BT718" s="68"/>
      <c r="BU718" s="68"/>
      <c r="BV718" s="68"/>
      <c r="BW718" s="68"/>
    </row>
    <row r="719" ht="15.75" customHeight="1">
      <c r="BT719" s="68"/>
      <c r="BU719" s="68"/>
      <c r="BV719" s="68"/>
      <c r="BW719" s="68"/>
    </row>
    <row r="720" ht="15.75" customHeight="1">
      <c r="BT720" s="68"/>
      <c r="BU720" s="68"/>
      <c r="BV720" s="68"/>
      <c r="BW720" s="68"/>
    </row>
    <row r="721" ht="15.75" customHeight="1">
      <c r="BT721" s="68"/>
      <c r="BU721" s="68"/>
      <c r="BV721" s="68"/>
      <c r="BW721" s="68"/>
    </row>
    <row r="722" ht="15.75" customHeight="1">
      <c r="BT722" s="68"/>
      <c r="BU722" s="68"/>
      <c r="BV722" s="68"/>
      <c r="BW722" s="68"/>
    </row>
    <row r="723" ht="15.75" customHeight="1">
      <c r="BT723" s="68"/>
      <c r="BU723" s="68"/>
      <c r="BV723" s="68"/>
      <c r="BW723" s="68"/>
    </row>
    <row r="724" ht="15.75" customHeight="1">
      <c r="BT724" s="68"/>
      <c r="BU724" s="68"/>
      <c r="BV724" s="68"/>
      <c r="BW724" s="68"/>
    </row>
    <row r="725" ht="15.75" customHeight="1">
      <c r="BT725" s="68"/>
      <c r="BU725" s="68"/>
      <c r="BV725" s="68"/>
      <c r="BW725" s="68"/>
    </row>
    <row r="726" ht="15.75" customHeight="1">
      <c r="BT726" s="68"/>
      <c r="BU726" s="68"/>
      <c r="BV726" s="68"/>
      <c r="BW726" s="68"/>
    </row>
    <row r="727" ht="15.75" customHeight="1">
      <c r="BT727" s="68"/>
      <c r="BU727" s="68"/>
      <c r="BV727" s="68"/>
      <c r="BW727" s="68"/>
    </row>
    <row r="728" ht="15.75" customHeight="1">
      <c r="BT728" s="68"/>
      <c r="BU728" s="68"/>
      <c r="BV728" s="68"/>
      <c r="BW728" s="68"/>
    </row>
    <row r="729" ht="15.75" customHeight="1">
      <c r="BT729" s="68"/>
      <c r="BU729" s="68"/>
      <c r="BV729" s="68"/>
      <c r="BW729" s="68"/>
    </row>
    <row r="730" ht="15.75" customHeight="1">
      <c r="BT730" s="68"/>
      <c r="BU730" s="68"/>
      <c r="BV730" s="68"/>
      <c r="BW730" s="68"/>
    </row>
    <row r="731" ht="15.75" customHeight="1">
      <c r="BT731" s="68"/>
      <c r="BU731" s="68"/>
      <c r="BV731" s="68"/>
      <c r="BW731" s="68"/>
    </row>
    <row r="732" ht="15.75" customHeight="1">
      <c r="BT732" s="68"/>
      <c r="BU732" s="68"/>
      <c r="BV732" s="68"/>
      <c r="BW732" s="68"/>
    </row>
    <row r="733" ht="15.75" customHeight="1">
      <c r="BT733" s="68"/>
      <c r="BU733" s="68"/>
      <c r="BV733" s="68"/>
      <c r="BW733" s="68"/>
    </row>
    <row r="734" ht="15.75" customHeight="1">
      <c r="BT734" s="68"/>
      <c r="BU734" s="68"/>
      <c r="BV734" s="68"/>
      <c r="BW734" s="68"/>
    </row>
    <row r="735" ht="15.75" customHeight="1">
      <c r="BT735" s="68"/>
      <c r="BU735" s="68"/>
      <c r="BV735" s="68"/>
      <c r="BW735" s="68"/>
    </row>
    <row r="736" ht="15.75" customHeight="1">
      <c r="BT736" s="68"/>
      <c r="BU736" s="68"/>
      <c r="BV736" s="68"/>
      <c r="BW736" s="68"/>
    </row>
    <row r="737" ht="15.75" customHeight="1">
      <c r="BT737" s="68"/>
      <c r="BU737" s="68"/>
      <c r="BV737" s="68"/>
      <c r="BW737" s="68"/>
    </row>
    <row r="738" ht="15.75" customHeight="1">
      <c r="BT738" s="68"/>
      <c r="BU738" s="68"/>
      <c r="BV738" s="68"/>
      <c r="BW738" s="68"/>
    </row>
    <row r="739" ht="15.75" customHeight="1">
      <c r="BT739" s="68"/>
      <c r="BU739" s="68"/>
      <c r="BV739" s="68"/>
      <c r="BW739" s="68"/>
    </row>
    <row r="740" ht="15.75" customHeight="1">
      <c r="BT740" s="68"/>
      <c r="BU740" s="68"/>
      <c r="BV740" s="68"/>
      <c r="BW740" s="68"/>
    </row>
    <row r="741" ht="15.75" customHeight="1">
      <c r="BT741" s="68"/>
      <c r="BU741" s="68"/>
      <c r="BV741" s="68"/>
      <c r="BW741" s="68"/>
    </row>
    <row r="742" ht="15.75" customHeight="1">
      <c r="BT742" s="68"/>
      <c r="BU742" s="68"/>
      <c r="BV742" s="68"/>
      <c r="BW742" s="68"/>
    </row>
    <row r="743" ht="15.75" customHeight="1">
      <c r="BT743" s="68"/>
      <c r="BU743" s="68"/>
      <c r="BV743" s="68"/>
      <c r="BW743" s="68"/>
    </row>
    <row r="744" ht="15.75" customHeight="1">
      <c r="BT744" s="68"/>
      <c r="BU744" s="68"/>
      <c r="BV744" s="68"/>
      <c r="BW744" s="68"/>
    </row>
    <row r="745" ht="15.75" customHeight="1">
      <c r="BT745" s="68"/>
      <c r="BU745" s="68"/>
      <c r="BV745" s="68"/>
      <c r="BW745" s="68"/>
    </row>
    <row r="746" ht="15.75" customHeight="1">
      <c r="BT746" s="68"/>
      <c r="BU746" s="68"/>
      <c r="BV746" s="68"/>
      <c r="BW746" s="68"/>
    </row>
    <row r="747" ht="15.75" customHeight="1">
      <c r="BT747" s="68"/>
      <c r="BU747" s="68"/>
      <c r="BV747" s="68"/>
      <c r="BW747" s="68"/>
    </row>
    <row r="748" ht="15.75" customHeight="1">
      <c r="BT748" s="68"/>
      <c r="BU748" s="68"/>
      <c r="BV748" s="68"/>
      <c r="BW748" s="68"/>
    </row>
    <row r="749" ht="15.75" customHeight="1">
      <c r="BT749" s="68"/>
      <c r="BU749" s="68"/>
      <c r="BV749" s="68"/>
      <c r="BW749" s="68"/>
    </row>
    <row r="750" ht="15.75" customHeight="1">
      <c r="BT750" s="68"/>
      <c r="BU750" s="68"/>
      <c r="BV750" s="68"/>
      <c r="BW750" s="68"/>
    </row>
    <row r="751" ht="15.75" customHeight="1">
      <c r="BT751" s="68"/>
      <c r="BU751" s="68"/>
      <c r="BV751" s="68"/>
      <c r="BW751" s="68"/>
    </row>
    <row r="752" ht="15.75" customHeight="1">
      <c r="BT752" s="68"/>
      <c r="BU752" s="68"/>
      <c r="BV752" s="68"/>
      <c r="BW752" s="68"/>
    </row>
    <row r="753" ht="15.75" customHeight="1">
      <c r="BT753" s="68"/>
      <c r="BU753" s="68"/>
      <c r="BV753" s="68"/>
      <c r="BW753" s="68"/>
    </row>
    <row r="754" ht="15.75" customHeight="1">
      <c r="BT754" s="68"/>
      <c r="BU754" s="68"/>
      <c r="BV754" s="68"/>
      <c r="BW754" s="68"/>
    </row>
    <row r="755" ht="15.75" customHeight="1">
      <c r="BT755" s="68"/>
      <c r="BU755" s="68"/>
      <c r="BV755" s="68"/>
      <c r="BW755" s="68"/>
    </row>
    <row r="756" ht="15.75" customHeight="1">
      <c r="BT756" s="68"/>
      <c r="BU756" s="68"/>
      <c r="BV756" s="68"/>
      <c r="BW756" s="68"/>
    </row>
    <row r="757" ht="15.75" customHeight="1">
      <c r="BT757" s="68"/>
      <c r="BU757" s="68"/>
      <c r="BV757" s="68"/>
      <c r="BW757" s="68"/>
    </row>
    <row r="758" ht="15.75" customHeight="1">
      <c r="BT758" s="68"/>
      <c r="BU758" s="68"/>
      <c r="BV758" s="68"/>
      <c r="BW758" s="68"/>
    </row>
    <row r="759" ht="15.75" customHeight="1">
      <c r="BT759" s="68"/>
      <c r="BU759" s="68"/>
      <c r="BV759" s="68"/>
      <c r="BW759" s="68"/>
    </row>
    <row r="760" ht="15.75" customHeight="1">
      <c r="BT760" s="68"/>
      <c r="BU760" s="68"/>
      <c r="BV760" s="68"/>
      <c r="BW760" s="68"/>
    </row>
    <row r="761" ht="15.75" customHeight="1">
      <c r="BT761" s="68"/>
      <c r="BU761" s="68"/>
      <c r="BV761" s="68"/>
      <c r="BW761" s="68"/>
    </row>
    <row r="762" ht="15.75" customHeight="1">
      <c r="BT762" s="68"/>
      <c r="BU762" s="68"/>
      <c r="BV762" s="68"/>
      <c r="BW762" s="68"/>
    </row>
    <row r="763" ht="15.75" customHeight="1">
      <c r="BT763" s="68"/>
      <c r="BU763" s="68"/>
      <c r="BV763" s="68"/>
      <c r="BW763" s="68"/>
    </row>
    <row r="764" ht="15.75" customHeight="1">
      <c r="BT764" s="68"/>
      <c r="BU764" s="68"/>
      <c r="BV764" s="68"/>
      <c r="BW764" s="68"/>
    </row>
    <row r="765" ht="15.75" customHeight="1">
      <c r="BT765" s="68"/>
      <c r="BU765" s="68"/>
      <c r="BV765" s="68"/>
      <c r="BW765" s="68"/>
    </row>
    <row r="766" ht="15.75" customHeight="1">
      <c r="BT766" s="68"/>
      <c r="BU766" s="68"/>
      <c r="BV766" s="68"/>
      <c r="BW766" s="68"/>
    </row>
    <row r="767" ht="15.75" customHeight="1">
      <c r="BT767" s="68"/>
      <c r="BU767" s="68"/>
      <c r="BV767" s="68"/>
      <c r="BW767" s="68"/>
    </row>
    <row r="768" ht="15.75" customHeight="1">
      <c r="BT768" s="68"/>
      <c r="BU768" s="68"/>
      <c r="BV768" s="68"/>
      <c r="BW768" s="68"/>
    </row>
    <row r="769" ht="15.75" customHeight="1">
      <c r="BT769" s="68"/>
      <c r="BU769" s="68"/>
      <c r="BV769" s="68"/>
      <c r="BW769" s="68"/>
    </row>
    <row r="770" ht="15.75" customHeight="1">
      <c r="BT770" s="68"/>
      <c r="BU770" s="68"/>
      <c r="BV770" s="68"/>
      <c r="BW770" s="68"/>
    </row>
    <row r="771" ht="15.75" customHeight="1">
      <c r="BT771" s="68"/>
      <c r="BU771" s="68"/>
      <c r="BV771" s="68"/>
      <c r="BW771" s="68"/>
    </row>
    <row r="772" ht="15.75" customHeight="1">
      <c r="BT772" s="68"/>
      <c r="BU772" s="68"/>
      <c r="BV772" s="68"/>
      <c r="BW772" s="68"/>
    </row>
    <row r="773" ht="15.75" customHeight="1">
      <c r="BT773" s="68"/>
      <c r="BU773" s="68"/>
      <c r="BV773" s="68"/>
      <c r="BW773" s="68"/>
    </row>
    <row r="774" ht="15.75" customHeight="1">
      <c r="BT774" s="68"/>
      <c r="BU774" s="68"/>
      <c r="BV774" s="68"/>
      <c r="BW774" s="68"/>
    </row>
    <row r="775" ht="15.75" customHeight="1">
      <c r="BT775" s="68"/>
      <c r="BU775" s="68"/>
      <c r="BV775" s="68"/>
      <c r="BW775" s="68"/>
    </row>
    <row r="776" ht="15.75" customHeight="1">
      <c r="BT776" s="68"/>
      <c r="BU776" s="68"/>
      <c r="BV776" s="68"/>
      <c r="BW776" s="68"/>
    </row>
    <row r="777" ht="15.75" customHeight="1">
      <c r="BT777" s="68"/>
      <c r="BU777" s="68"/>
      <c r="BV777" s="68"/>
      <c r="BW777" s="68"/>
    </row>
    <row r="778" ht="15.75" customHeight="1">
      <c r="BT778" s="68"/>
      <c r="BU778" s="68"/>
      <c r="BV778" s="68"/>
      <c r="BW778" s="68"/>
    </row>
    <row r="779" ht="15.75" customHeight="1">
      <c r="BT779" s="68"/>
      <c r="BU779" s="68"/>
      <c r="BV779" s="68"/>
      <c r="BW779" s="68"/>
    </row>
    <row r="780" ht="15.75" customHeight="1">
      <c r="BT780" s="68"/>
      <c r="BU780" s="68"/>
      <c r="BV780" s="68"/>
      <c r="BW780" s="68"/>
    </row>
    <row r="781" ht="15.75" customHeight="1">
      <c r="BT781" s="68"/>
      <c r="BU781" s="68"/>
      <c r="BV781" s="68"/>
      <c r="BW781" s="68"/>
    </row>
    <row r="782" ht="15.75" customHeight="1">
      <c r="BT782" s="68"/>
      <c r="BU782" s="68"/>
      <c r="BV782" s="68"/>
      <c r="BW782" s="68"/>
    </row>
    <row r="783" ht="15.75" customHeight="1">
      <c r="BT783" s="68"/>
      <c r="BU783" s="68"/>
      <c r="BV783" s="68"/>
      <c r="BW783" s="68"/>
    </row>
    <row r="784" ht="15.75" customHeight="1">
      <c r="BT784" s="68"/>
      <c r="BU784" s="68"/>
      <c r="BV784" s="68"/>
      <c r="BW784" s="68"/>
    </row>
    <row r="785" ht="15.75" customHeight="1">
      <c r="BT785" s="68"/>
      <c r="BU785" s="68"/>
      <c r="BV785" s="68"/>
      <c r="BW785" s="68"/>
    </row>
    <row r="786" ht="15.75" customHeight="1">
      <c r="BT786" s="68"/>
      <c r="BU786" s="68"/>
      <c r="BV786" s="68"/>
      <c r="BW786" s="68"/>
    </row>
    <row r="787" ht="15.75" customHeight="1">
      <c r="BT787" s="68"/>
      <c r="BU787" s="68"/>
      <c r="BV787" s="68"/>
      <c r="BW787" s="68"/>
    </row>
    <row r="788" ht="15.75" customHeight="1">
      <c r="BT788" s="68"/>
      <c r="BU788" s="68"/>
      <c r="BV788" s="68"/>
      <c r="BW788" s="68"/>
    </row>
    <row r="789" ht="15.75" customHeight="1">
      <c r="BT789" s="68"/>
      <c r="BU789" s="68"/>
      <c r="BV789" s="68"/>
      <c r="BW789" s="68"/>
    </row>
    <row r="790" ht="15.75" customHeight="1">
      <c r="BT790" s="68"/>
      <c r="BU790" s="68"/>
      <c r="BV790" s="68"/>
      <c r="BW790" s="68"/>
    </row>
    <row r="791" ht="15.75" customHeight="1">
      <c r="BT791" s="68"/>
      <c r="BU791" s="68"/>
      <c r="BV791" s="68"/>
      <c r="BW791" s="68"/>
    </row>
    <row r="792" ht="15.75" customHeight="1">
      <c r="BT792" s="68"/>
      <c r="BU792" s="68"/>
      <c r="BV792" s="68"/>
      <c r="BW792" s="68"/>
    </row>
    <row r="793" ht="15.75" customHeight="1">
      <c r="BT793" s="68"/>
      <c r="BU793" s="68"/>
      <c r="BV793" s="68"/>
      <c r="BW793" s="68"/>
    </row>
    <row r="794" ht="15.75" customHeight="1">
      <c r="BT794" s="68"/>
      <c r="BU794" s="68"/>
      <c r="BV794" s="68"/>
      <c r="BW794" s="68"/>
    </row>
    <row r="795" ht="15.75" customHeight="1">
      <c r="BT795" s="68"/>
      <c r="BU795" s="68"/>
      <c r="BV795" s="68"/>
      <c r="BW795" s="68"/>
    </row>
    <row r="796" ht="15.75" customHeight="1">
      <c r="BT796" s="68"/>
      <c r="BU796" s="68"/>
      <c r="BV796" s="68"/>
      <c r="BW796" s="68"/>
    </row>
    <row r="797" ht="15.75" customHeight="1">
      <c r="BT797" s="68"/>
      <c r="BU797" s="68"/>
      <c r="BV797" s="68"/>
      <c r="BW797" s="68"/>
    </row>
    <row r="798" ht="15.75" customHeight="1">
      <c r="BT798" s="68"/>
      <c r="BU798" s="68"/>
      <c r="BV798" s="68"/>
      <c r="BW798" s="68"/>
    </row>
    <row r="799" ht="15.75" customHeight="1">
      <c r="BT799" s="68"/>
      <c r="BU799" s="68"/>
      <c r="BV799" s="68"/>
      <c r="BW799" s="68"/>
    </row>
    <row r="800" ht="15.75" customHeight="1">
      <c r="BT800" s="68"/>
      <c r="BU800" s="68"/>
      <c r="BV800" s="68"/>
      <c r="BW800" s="68"/>
    </row>
    <row r="801" ht="15.75" customHeight="1">
      <c r="BT801" s="68"/>
      <c r="BU801" s="68"/>
      <c r="BV801" s="68"/>
      <c r="BW801" s="68"/>
    </row>
    <row r="802" ht="15.75" customHeight="1">
      <c r="BT802" s="68"/>
      <c r="BU802" s="68"/>
      <c r="BV802" s="68"/>
      <c r="BW802" s="68"/>
    </row>
    <row r="803" ht="15.75" customHeight="1">
      <c r="BT803" s="68"/>
      <c r="BU803" s="68"/>
      <c r="BV803" s="68"/>
      <c r="BW803" s="68"/>
    </row>
    <row r="804" ht="15.75" customHeight="1">
      <c r="BT804" s="68"/>
      <c r="BU804" s="68"/>
      <c r="BV804" s="68"/>
      <c r="BW804" s="68"/>
    </row>
    <row r="805" ht="15.75" customHeight="1">
      <c r="BT805" s="68"/>
      <c r="BU805" s="68"/>
      <c r="BV805" s="68"/>
      <c r="BW805" s="68"/>
    </row>
    <row r="806" ht="15.75" customHeight="1">
      <c r="BT806" s="68"/>
      <c r="BU806" s="68"/>
      <c r="BV806" s="68"/>
      <c r="BW806" s="68"/>
    </row>
    <row r="807" ht="15.75" customHeight="1">
      <c r="BT807" s="68"/>
      <c r="BU807" s="68"/>
      <c r="BV807" s="68"/>
      <c r="BW807" s="68"/>
    </row>
    <row r="808" ht="15.75" customHeight="1">
      <c r="BT808" s="68"/>
      <c r="BU808" s="68"/>
      <c r="BV808" s="68"/>
      <c r="BW808" s="68"/>
    </row>
    <row r="809" ht="15.75" customHeight="1">
      <c r="BT809" s="68"/>
      <c r="BU809" s="68"/>
      <c r="BV809" s="68"/>
      <c r="BW809" s="68"/>
    </row>
    <row r="810" ht="15.75" customHeight="1">
      <c r="BT810" s="68"/>
      <c r="BU810" s="68"/>
      <c r="BV810" s="68"/>
      <c r="BW810" s="68"/>
    </row>
    <row r="811" ht="15.75" customHeight="1">
      <c r="BT811" s="68"/>
      <c r="BU811" s="68"/>
      <c r="BV811" s="68"/>
      <c r="BW811" s="68"/>
    </row>
    <row r="812" ht="15.75" customHeight="1">
      <c r="BT812" s="68"/>
      <c r="BU812" s="68"/>
      <c r="BV812" s="68"/>
      <c r="BW812" s="68"/>
    </row>
    <row r="813" ht="15.75" customHeight="1">
      <c r="BT813" s="68"/>
      <c r="BU813" s="68"/>
      <c r="BV813" s="68"/>
      <c r="BW813" s="68"/>
    </row>
    <row r="814" ht="15.75" customHeight="1">
      <c r="BT814" s="68"/>
      <c r="BU814" s="68"/>
      <c r="BV814" s="68"/>
      <c r="BW814" s="68"/>
    </row>
    <row r="815" ht="15.75" customHeight="1">
      <c r="BT815" s="68"/>
      <c r="BU815" s="68"/>
      <c r="BV815" s="68"/>
      <c r="BW815" s="68"/>
    </row>
    <row r="816" ht="15.75" customHeight="1">
      <c r="BT816" s="68"/>
      <c r="BU816" s="68"/>
      <c r="BV816" s="68"/>
      <c r="BW816" s="68"/>
    </row>
    <row r="817" ht="15.75" customHeight="1">
      <c r="BT817" s="68"/>
      <c r="BU817" s="68"/>
      <c r="BV817" s="68"/>
      <c r="BW817" s="68"/>
    </row>
    <row r="818" ht="15.75" customHeight="1">
      <c r="BT818" s="68"/>
      <c r="BU818" s="68"/>
      <c r="BV818" s="68"/>
      <c r="BW818" s="68"/>
    </row>
    <row r="819" ht="15.75" customHeight="1">
      <c r="BT819" s="68"/>
      <c r="BU819" s="68"/>
      <c r="BV819" s="68"/>
      <c r="BW819" s="68"/>
    </row>
    <row r="820" ht="15.75" customHeight="1">
      <c r="BT820" s="68"/>
      <c r="BU820" s="68"/>
      <c r="BV820" s="68"/>
      <c r="BW820" s="68"/>
    </row>
    <row r="821" ht="15.75" customHeight="1">
      <c r="BT821" s="68"/>
      <c r="BU821" s="68"/>
      <c r="BV821" s="68"/>
      <c r="BW821" s="68"/>
    </row>
    <row r="822" ht="15.75" customHeight="1">
      <c r="BT822" s="68"/>
      <c r="BU822" s="68"/>
      <c r="BV822" s="68"/>
      <c r="BW822" s="68"/>
    </row>
    <row r="823" ht="15.75" customHeight="1">
      <c r="BT823" s="68"/>
      <c r="BU823" s="68"/>
      <c r="BV823" s="68"/>
      <c r="BW823" s="68"/>
    </row>
    <row r="824" ht="15.75" customHeight="1">
      <c r="BT824" s="68"/>
      <c r="BU824" s="68"/>
      <c r="BV824" s="68"/>
      <c r="BW824" s="68"/>
    </row>
    <row r="825" ht="15.75" customHeight="1">
      <c r="BT825" s="68"/>
      <c r="BU825" s="68"/>
      <c r="BV825" s="68"/>
      <c r="BW825" s="68"/>
    </row>
    <row r="826" ht="15.75" customHeight="1">
      <c r="BT826" s="68"/>
      <c r="BU826" s="68"/>
      <c r="BV826" s="68"/>
      <c r="BW826" s="68"/>
    </row>
    <row r="827" ht="15.75" customHeight="1">
      <c r="BT827" s="68"/>
      <c r="BU827" s="68"/>
      <c r="BV827" s="68"/>
      <c r="BW827" s="68"/>
    </row>
    <row r="828" ht="15.75" customHeight="1">
      <c r="BT828" s="68"/>
      <c r="BU828" s="68"/>
      <c r="BV828" s="68"/>
      <c r="BW828" s="68"/>
    </row>
    <row r="829" ht="15.75" customHeight="1">
      <c r="BT829" s="68"/>
      <c r="BU829" s="68"/>
      <c r="BV829" s="68"/>
      <c r="BW829" s="68"/>
    </row>
    <row r="830" ht="15.75" customHeight="1">
      <c r="BT830" s="68"/>
      <c r="BU830" s="68"/>
      <c r="BV830" s="68"/>
      <c r="BW830" s="68"/>
    </row>
    <row r="831" ht="15.75" customHeight="1">
      <c r="BT831" s="68"/>
      <c r="BU831" s="68"/>
      <c r="BV831" s="68"/>
      <c r="BW831" s="68"/>
    </row>
    <row r="832" ht="15.75" customHeight="1">
      <c r="BT832" s="68"/>
      <c r="BU832" s="68"/>
      <c r="BV832" s="68"/>
      <c r="BW832" s="68"/>
    </row>
    <row r="833" ht="15.75" customHeight="1">
      <c r="BT833" s="68"/>
      <c r="BU833" s="68"/>
      <c r="BV833" s="68"/>
      <c r="BW833" s="68"/>
    </row>
    <row r="834" ht="15.75" customHeight="1">
      <c r="BT834" s="68"/>
      <c r="BU834" s="68"/>
      <c r="BV834" s="68"/>
      <c r="BW834" s="68"/>
    </row>
    <row r="835" ht="15.75" customHeight="1">
      <c r="BT835" s="68"/>
      <c r="BU835" s="68"/>
      <c r="BV835" s="68"/>
      <c r="BW835" s="68"/>
    </row>
    <row r="836" ht="15.75" customHeight="1">
      <c r="BT836" s="68"/>
      <c r="BU836" s="68"/>
      <c r="BV836" s="68"/>
      <c r="BW836" s="68"/>
    </row>
    <row r="837" ht="15.75" customHeight="1">
      <c r="BT837" s="68"/>
      <c r="BU837" s="68"/>
      <c r="BV837" s="68"/>
      <c r="BW837" s="68"/>
    </row>
    <row r="838" ht="15.75" customHeight="1">
      <c r="BT838" s="68"/>
      <c r="BU838" s="68"/>
      <c r="BV838" s="68"/>
      <c r="BW838" s="68"/>
    </row>
    <row r="839" ht="15.75" customHeight="1">
      <c r="BT839" s="68"/>
      <c r="BU839" s="68"/>
      <c r="BV839" s="68"/>
      <c r="BW839" s="68"/>
    </row>
    <row r="840" ht="15.75" customHeight="1">
      <c r="BT840" s="68"/>
      <c r="BU840" s="68"/>
      <c r="BV840" s="68"/>
      <c r="BW840" s="68"/>
    </row>
    <row r="841" ht="15.75" customHeight="1">
      <c r="BT841" s="68"/>
      <c r="BU841" s="68"/>
      <c r="BV841" s="68"/>
      <c r="BW841" s="68"/>
    </row>
    <row r="842" ht="15.75" customHeight="1">
      <c r="BT842" s="68"/>
      <c r="BU842" s="68"/>
      <c r="BV842" s="68"/>
      <c r="BW842" s="68"/>
    </row>
    <row r="843" ht="15.75" customHeight="1">
      <c r="BT843" s="68"/>
      <c r="BU843" s="68"/>
      <c r="BV843" s="68"/>
      <c r="BW843" s="68"/>
    </row>
    <row r="844" ht="15.75" customHeight="1">
      <c r="BT844" s="68"/>
      <c r="BU844" s="68"/>
      <c r="BV844" s="68"/>
      <c r="BW844" s="68"/>
    </row>
    <row r="845" ht="15.75" customHeight="1">
      <c r="BT845" s="68"/>
      <c r="BU845" s="68"/>
      <c r="BV845" s="68"/>
      <c r="BW845" s="68"/>
    </row>
    <row r="846" ht="15.75" customHeight="1">
      <c r="BT846" s="68"/>
      <c r="BU846" s="68"/>
      <c r="BV846" s="68"/>
      <c r="BW846" s="68"/>
    </row>
    <row r="847" ht="15.75" customHeight="1">
      <c r="BT847" s="68"/>
      <c r="BU847" s="68"/>
      <c r="BV847" s="68"/>
      <c r="BW847" s="68"/>
    </row>
    <row r="848" ht="15.75" customHeight="1">
      <c r="BT848" s="68"/>
      <c r="BU848" s="68"/>
      <c r="BV848" s="68"/>
      <c r="BW848" s="68"/>
    </row>
    <row r="849" ht="15.75" customHeight="1">
      <c r="BT849" s="68"/>
      <c r="BU849" s="68"/>
      <c r="BV849" s="68"/>
      <c r="BW849" s="68"/>
    </row>
    <row r="850" ht="15.75" customHeight="1">
      <c r="BT850" s="68"/>
      <c r="BU850" s="68"/>
      <c r="BV850" s="68"/>
      <c r="BW850" s="68"/>
    </row>
    <row r="851" ht="15.75" customHeight="1">
      <c r="BT851" s="68"/>
      <c r="BU851" s="68"/>
      <c r="BV851" s="68"/>
      <c r="BW851" s="68"/>
    </row>
    <row r="852" ht="15.75" customHeight="1">
      <c r="BT852" s="68"/>
      <c r="BU852" s="68"/>
      <c r="BV852" s="68"/>
      <c r="BW852" s="68"/>
    </row>
    <row r="853" ht="15.75" customHeight="1">
      <c r="BT853" s="68"/>
      <c r="BU853" s="68"/>
      <c r="BV853" s="68"/>
      <c r="BW853" s="68"/>
    </row>
    <row r="854" ht="15.75" customHeight="1">
      <c r="BT854" s="68"/>
      <c r="BU854" s="68"/>
      <c r="BV854" s="68"/>
      <c r="BW854" s="68"/>
    </row>
    <row r="855" ht="15.75" customHeight="1">
      <c r="BT855" s="68"/>
      <c r="BU855" s="68"/>
      <c r="BV855" s="68"/>
      <c r="BW855" s="68"/>
    </row>
    <row r="856" ht="15.75" customHeight="1">
      <c r="BT856" s="68"/>
      <c r="BU856" s="68"/>
      <c r="BV856" s="68"/>
      <c r="BW856" s="68"/>
    </row>
    <row r="857" ht="15.75" customHeight="1">
      <c r="BT857" s="68"/>
      <c r="BU857" s="68"/>
      <c r="BV857" s="68"/>
      <c r="BW857" s="68"/>
    </row>
    <row r="858" ht="15.75" customHeight="1">
      <c r="BT858" s="68"/>
      <c r="BU858" s="68"/>
      <c r="BV858" s="68"/>
      <c r="BW858" s="68"/>
    </row>
    <row r="859" ht="15.75" customHeight="1">
      <c r="BT859" s="68"/>
      <c r="BU859" s="68"/>
      <c r="BV859" s="68"/>
      <c r="BW859" s="68"/>
    </row>
    <row r="860" ht="15.75" customHeight="1">
      <c r="BT860" s="68"/>
      <c r="BU860" s="68"/>
      <c r="BV860" s="68"/>
      <c r="BW860" s="68"/>
    </row>
    <row r="861" ht="15.75" customHeight="1">
      <c r="BT861" s="68"/>
      <c r="BU861" s="68"/>
      <c r="BV861" s="68"/>
      <c r="BW861" s="68"/>
    </row>
    <row r="862" ht="15.75" customHeight="1">
      <c r="BT862" s="68"/>
      <c r="BU862" s="68"/>
      <c r="BV862" s="68"/>
      <c r="BW862" s="68"/>
    </row>
    <row r="863" ht="15.75" customHeight="1">
      <c r="BT863" s="68"/>
      <c r="BU863" s="68"/>
      <c r="BV863" s="68"/>
      <c r="BW863" s="68"/>
    </row>
    <row r="864" ht="15.75" customHeight="1">
      <c r="BT864" s="68"/>
      <c r="BU864" s="68"/>
      <c r="BV864" s="68"/>
      <c r="BW864" s="68"/>
    </row>
    <row r="865" ht="15.75" customHeight="1">
      <c r="BT865" s="68"/>
      <c r="BU865" s="68"/>
      <c r="BV865" s="68"/>
      <c r="BW865" s="68"/>
    </row>
    <row r="866" ht="15.75" customHeight="1">
      <c r="BT866" s="68"/>
      <c r="BU866" s="68"/>
      <c r="BV866" s="68"/>
      <c r="BW866" s="68"/>
    </row>
    <row r="867" ht="15.75" customHeight="1">
      <c r="BT867" s="68"/>
      <c r="BU867" s="68"/>
      <c r="BV867" s="68"/>
      <c r="BW867" s="68"/>
    </row>
    <row r="868" ht="15.75" customHeight="1">
      <c r="BT868" s="68"/>
      <c r="BU868" s="68"/>
      <c r="BV868" s="68"/>
      <c r="BW868" s="68"/>
    </row>
    <row r="869" ht="15.75" customHeight="1">
      <c r="BT869" s="68"/>
      <c r="BU869" s="68"/>
      <c r="BV869" s="68"/>
      <c r="BW869" s="68"/>
    </row>
    <row r="870" ht="15.75" customHeight="1">
      <c r="BT870" s="68"/>
      <c r="BU870" s="68"/>
      <c r="BV870" s="68"/>
      <c r="BW870" s="68"/>
    </row>
    <row r="871" ht="15.75" customHeight="1">
      <c r="BT871" s="68"/>
      <c r="BU871" s="68"/>
      <c r="BV871" s="68"/>
      <c r="BW871" s="68"/>
    </row>
    <row r="872" ht="15.75" customHeight="1">
      <c r="BT872" s="68"/>
      <c r="BU872" s="68"/>
      <c r="BV872" s="68"/>
      <c r="BW872" s="68"/>
    </row>
    <row r="873" ht="15.75" customHeight="1">
      <c r="BT873" s="68"/>
      <c r="BU873" s="68"/>
      <c r="BV873" s="68"/>
      <c r="BW873" s="68"/>
    </row>
    <row r="874" ht="15.75" customHeight="1">
      <c r="BT874" s="68"/>
      <c r="BU874" s="68"/>
      <c r="BV874" s="68"/>
      <c r="BW874" s="68"/>
    </row>
    <row r="875" ht="15.75" customHeight="1">
      <c r="BT875" s="68"/>
      <c r="BU875" s="68"/>
      <c r="BV875" s="68"/>
      <c r="BW875" s="68"/>
    </row>
    <row r="876" ht="15.75" customHeight="1">
      <c r="BT876" s="68"/>
      <c r="BU876" s="68"/>
      <c r="BV876" s="68"/>
      <c r="BW876" s="68"/>
    </row>
    <row r="877" ht="15.75" customHeight="1">
      <c r="BT877" s="68"/>
      <c r="BU877" s="68"/>
      <c r="BV877" s="68"/>
      <c r="BW877" s="68"/>
    </row>
    <row r="878" ht="15.75" customHeight="1">
      <c r="BT878" s="68"/>
      <c r="BU878" s="68"/>
      <c r="BV878" s="68"/>
      <c r="BW878" s="68"/>
    </row>
    <row r="879" ht="15.75" customHeight="1">
      <c r="BT879" s="68"/>
      <c r="BU879" s="68"/>
      <c r="BV879" s="68"/>
      <c r="BW879" s="68"/>
    </row>
    <row r="880" ht="15.75" customHeight="1">
      <c r="BT880" s="68"/>
      <c r="BU880" s="68"/>
      <c r="BV880" s="68"/>
      <c r="BW880" s="68"/>
    </row>
    <row r="881" ht="15.75" customHeight="1">
      <c r="BT881" s="68"/>
      <c r="BU881" s="68"/>
      <c r="BV881" s="68"/>
      <c r="BW881" s="68"/>
    </row>
    <row r="882" ht="15.75" customHeight="1">
      <c r="BT882" s="68"/>
      <c r="BU882" s="68"/>
      <c r="BV882" s="68"/>
      <c r="BW882" s="68"/>
    </row>
    <row r="883" ht="15.75" customHeight="1">
      <c r="BT883" s="68"/>
      <c r="BU883" s="68"/>
      <c r="BV883" s="68"/>
      <c r="BW883" s="68"/>
    </row>
    <row r="884" ht="15.75" customHeight="1">
      <c r="BT884" s="68"/>
      <c r="BU884" s="68"/>
      <c r="BV884" s="68"/>
      <c r="BW884" s="68"/>
    </row>
    <row r="885" ht="15.75" customHeight="1">
      <c r="BT885" s="68"/>
      <c r="BU885" s="68"/>
      <c r="BV885" s="68"/>
      <c r="BW885" s="68"/>
    </row>
    <row r="886" ht="15.75" customHeight="1">
      <c r="BT886" s="68"/>
      <c r="BU886" s="68"/>
      <c r="BV886" s="68"/>
      <c r="BW886" s="68"/>
    </row>
    <row r="887" ht="15.75" customHeight="1">
      <c r="BT887" s="68"/>
      <c r="BU887" s="68"/>
      <c r="BV887" s="68"/>
      <c r="BW887" s="68"/>
    </row>
    <row r="888" ht="15.75" customHeight="1">
      <c r="BT888" s="68"/>
      <c r="BU888" s="68"/>
      <c r="BV888" s="68"/>
      <c r="BW888" s="68"/>
    </row>
    <row r="889" ht="15.75" customHeight="1">
      <c r="BT889" s="68"/>
      <c r="BU889" s="68"/>
      <c r="BV889" s="68"/>
      <c r="BW889" s="68"/>
    </row>
    <row r="890" ht="15.75" customHeight="1">
      <c r="BT890" s="68"/>
      <c r="BU890" s="68"/>
      <c r="BV890" s="68"/>
      <c r="BW890" s="68"/>
    </row>
    <row r="891" ht="15.75" customHeight="1">
      <c r="BT891" s="68"/>
      <c r="BU891" s="68"/>
      <c r="BV891" s="68"/>
      <c r="BW891" s="68"/>
    </row>
    <row r="892" ht="15.75" customHeight="1">
      <c r="BT892" s="68"/>
      <c r="BU892" s="68"/>
      <c r="BV892" s="68"/>
      <c r="BW892" s="68"/>
    </row>
    <row r="893" ht="15.75" customHeight="1">
      <c r="BT893" s="68"/>
      <c r="BU893" s="68"/>
      <c r="BV893" s="68"/>
      <c r="BW893" s="68"/>
    </row>
    <row r="894" ht="15.75" customHeight="1">
      <c r="BT894" s="68"/>
      <c r="BU894" s="68"/>
      <c r="BV894" s="68"/>
      <c r="BW894" s="68"/>
    </row>
    <row r="895" ht="15.75" customHeight="1">
      <c r="BT895" s="68"/>
      <c r="BU895" s="68"/>
      <c r="BV895" s="68"/>
      <c r="BW895" s="68"/>
    </row>
    <row r="896" ht="15.75" customHeight="1">
      <c r="BT896" s="68"/>
      <c r="BU896" s="68"/>
      <c r="BV896" s="68"/>
      <c r="BW896" s="68"/>
    </row>
    <row r="897" ht="15.75" customHeight="1">
      <c r="BT897" s="68"/>
      <c r="BU897" s="68"/>
      <c r="BV897" s="68"/>
      <c r="BW897" s="68"/>
    </row>
    <row r="898" ht="15.75" customHeight="1">
      <c r="BT898" s="68"/>
      <c r="BU898" s="68"/>
      <c r="BV898" s="68"/>
      <c r="BW898" s="68"/>
    </row>
    <row r="899" ht="15.75" customHeight="1">
      <c r="BT899" s="68"/>
      <c r="BU899" s="68"/>
      <c r="BV899" s="68"/>
      <c r="BW899" s="68"/>
    </row>
    <row r="900" ht="15.75" customHeight="1">
      <c r="BT900" s="68"/>
      <c r="BU900" s="68"/>
      <c r="BV900" s="68"/>
      <c r="BW900" s="68"/>
    </row>
    <row r="901" ht="15.75" customHeight="1">
      <c r="BT901" s="68"/>
      <c r="BU901" s="68"/>
      <c r="BV901" s="68"/>
      <c r="BW901" s="68"/>
    </row>
    <row r="902" ht="15.75" customHeight="1">
      <c r="BT902" s="68"/>
      <c r="BU902" s="68"/>
      <c r="BV902" s="68"/>
      <c r="BW902" s="68"/>
    </row>
    <row r="903" ht="15.75" customHeight="1">
      <c r="BT903" s="68"/>
      <c r="BU903" s="68"/>
      <c r="BV903" s="68"/>
      <c r="BW903" s="68"/>
    </row>
    <row r="904" ht="15.75" customHeight="1">
      <c r="BT904" s="68"/>
      <c r="BU904" s="68"/>
      <c r="BV904" s="68"/>
      <c r="BW904" s="68"/>
    </row>
    <row r="905" ht="15.75" customHeight="1">
      <c r="BT905" s="68"/>
      <c r="BU905" s="68"/>
      <c r="BV905" s="68"/>
      <c r="BW905" s="68"/>
    </row>
    <row r="906" ht="15.75" customHeight="1">
      <c r="BT906" s="68"/>
      <c r="BU906" s="68"/>
      <c r="BV906" s="68"/>
      <c r="BW906" s="68"/>
    </row>
    <row r="907" ht="15.75" customHeight="1">
      <c r="BT907" s="68"/>
      <c r="BU907" s="68"/>
      <c r="BV907" s="68"/>
      <c r="BW907" s="68"/>
    </row>
    <row r="908" ht="15.75" customHeight="1">
      <c r="BT908" s="68"/>
      <c r="BU908" s="68"/>
      <c r="BV908" s="68"/>
      <c r="BW908" s="68"/>
    </row>
    <row r="909" ht="15.75" customHeight="1">
      <c r="BT909" s="68"/>
      <c r="BU909" s="68"/>
      <c r="BV909" s="68"/>
      <c r="BW909" s="68"/>
    </row>
    <row r="910" ht="15.75" customHeight="1">
      <c r="BT910" s="68"/>
      <c r="BU910" s="68"/>
      <c r="BV910" s="68"/>
      <c r="BW910" s="68"/>
    </row>
    <row r="911" ht="15.75" customHeight="1">
      <c r="BT911" s="68"/>
      <c r="BU911" s="68"/>
      <c r="BV911" s="68"/>
      <c r="BW911" s="68"/>
    </row>
    <row r="912" ht="15.75" customHeight="1">
      <c r="BT912" s="68"/>
      <c r="BU912" s="68"/>
      <c r="BV912" s="68"/>
      <c r="BW912" s="68"/>
    </row>
    <row r="913" ht="15.75" customHeight="1">
      <c r="BT913" s="68"/>
      <c r="BU913" s="68"/>
      <c r="BV913" s="68"/>
      <c r="BW913" s="68"/>
    </row>
    <row r="914" ht="15.75" customHeight="1">
      <c r="BT914" s="68"/>
      <c r="BU914" s="68"/>
      <c r="BV914" s="68"/>
      <c r="BW914" s="68"/>
    </row>
    <row r="915" ht="15.75" customHeight="1">
      <c r="BT915" s="68"/>
      <c r="BU915" s="68"/>
      <c r="BV915" s="68"/>
      <c r="BW915" s="68"/>
    </row>
    <row r="916" ht="15.75" customHeight="1">
      <c r="BT916" s="68"/>
      <c r="BU916" s="68"/>
      <c r="BV916" s="68"/>
      <c r="BW916" s="68"/>
    </row>
    <row r="917" ht="15.75" customHeight="1">
      <c r="BT917" s="68"/>
      <c r="BU917" s="68"/>
      <c r="BV917" s="68"/>
      <c r="BW917" s="68"/>
    </row>
    <row r="918" ht="15.75" customHeight="1">
      <c r="BT918" s="68"/>
      <c r="BU918" s="68"/>
      <c r="BV918" s="68"/>
      <c r="BW918" s="68"/>
    </row>
    <row r="919" ht="15.75" customHeight="1">
      <c r="BT919" s="68"/>
      <c r="BU919" s="68"/>
      <c r="BV919" s="68"/>
      <c r="BW919" s="68"/>
    </row>
    <row r="920" ht="15.75" customHeight="1">
      <c r="BT920" s="68"/>
      <c r="BU920" s="68"/>
      <c r="BV920" s="68"/>
      <c r="BW920" s="68"/>
    </row>
    <row r="921" ht="15.75" customHeight="1">
      <c r="BT921" s="68"/>
      <c r="BU921" s="68"/>
      <c r="BV921" s="68"/>
      <c r="BW921" s="68"/>
    </row>
    <row r="922" ht="15.75" customHeight="1">
      <c r="BT922" s="68"/>
      <c r="BU922" s="68"/>
      <c r="BV922" s="68"/>
      <c r="BW922" s="68"/>
    </row>
    <row r="923" ht="15.75" customHeight="1">
      <c r="BT923" s="68"/>
      <c r="BU923" s="68"/>
      <c r="BV923" s="68"/>
      <c r="BW923" s="68"/>
    </row>
    <row r="924" ht="15.75" customHeight="1">
      <c r="BT924" s="68"/>
      <c r="BU924" s="68"/>
      <c r="BV924" s="68"/>
      <c r="BW924" s="68"/>
    </row>
    <row r="925" ht="15.75" customHeight="1">
      <c r="BT925" s="68"/>
      <c r="BU925" s="68"/>
      <c r="BV925" s="68"/>
      <c r="BW925" s="68"/>
    </row>
    <row r="926" ht="15.75" customHeight="1">
      <c r="BT926" s="68"/>
      <c r="BU926" s="68"/>
      <c r="BV926" s="68"/>
      <c r="BW926" s="68"/>
    </row>
    <row r="927" ht="15.75" customHeight="1">
      <c r="BT927" s="68"/>
      <c r="BU927" s="68"/>
      <c r="BV927" s="68"/>
      <c r="BW927" s="68"/>
    </row>
    <row r="928" ht="15.75" customHeight="1">
      <c r="BT928" s="68"/>
      <c r="BU928" s="68"/>
      <c r="BV928" s="68"/>
      <c r="BW928" s="68"/>
    </row>
    <row r="929" ht="15.75" customHeight="1">
      <c r="BT929" s="68"/>
      <c r="BU929" s="68"/>
      <c r="BV929" s="68"/>
      <c r="BW929" s="68"/>
    </row>
    <row r="930" ht="15.75" customHeight="1">
      <c r="BT930" s="68"/>
      <c r="BU930" s="68"/>
      <c r="BV930" s="68"/>
      <c r="BW930" s="68"/>
    </row>
    <row r="931" ht="15.75" customHeight="1">
      <c r="BT931" s="68"/>
      <c r="BU931" s="68"/>
      <c r="BV931" s="68"/>
      <c r="BW931" s="68"/>
    </row>
    <row r="932" ht="15.75" customHeight="1">
      <c r="BT932" s="68"/>
      <c r="BU932" s="68"/>
      <c r="BV932" s="68"/>
      <c r="BW932" s="68"/>
    </row>
    <row r="933" ht="15.75" customHeight="1">
      <c r="BT933" s="68"/>
      <c r="BU933" s="68"/>
      <c r="BV933" s="68"/>
      <c r="BW933" s="68"/>
    </row>
    <row r="934" ht="15.75" customHeight="1">
      <c r="BT934" s="68"/>
      <c r="BU934" s="68"/>
      <c r="BV934" s="68"/>
      <c r="BW934" s="68"/>
    </row>
    <row r="935" ht="15.75" customHeight="1">
      <c r="BT935" s="68"/>
      <c r="BU935" s="68"/>
      <c r="BV935" s="68"/>
      <c r="BW935" s="68"/>
    </row>
    <row r="936" ht="15.75" customHeight="1">
      <c r="BT936" s="68"/>
      <c r="BU936" s="68"/>
      <c r="BV936" s="68"/>
      <c r="BW936" s="68"/>
    </row>
    <row r="937" ht="15.75" customHeight="1">
      <c r="BT937" s="68"/>
      <c r="BU937" s="68"/>
      <c r="BV937" s="68"/>
      <c r="BW937" s="68"/>
    </row>
    <row r="938" ht="15.75" customHeight="1">
      <c r="BT938" s="68"/>
      <c r="BU938" s="68"/>
      <c r="BV938" s="68"/>
      <c r="BW938" s="68"/>
    </row>
    <row r="939" ht="15.75" customHeight="1">
      <c r="BT939" s="68"/>
      <c r="BU939" s="68"/>
      <c r="BV939" s="68"/>
      <c r="BW939" s="68"/>
    </row>
    <row r="940" ht="15.75" customHeight="1">
      <c r="BT940" s="68"/>
      <c r="BU940" s="68"/>
      <c r="BV940" s="68"/>
      <c r="BW940" s="68"/>
    </row>
    <row r="941" ht="15.75" customHeight="1">
      <c r="BT941" s="68"/>
      <c r="BU941" s="68"/>
      <c r="BV941" s="68"/>
      <c r="BW941" s="68"/>
    </row>
    <row r="942" ht="15.75" customHeight="1">
      <c r="BT942" s="68"/>
      <c r="BU942" s="68"/>
      <c r="BV942" s="68"/>
      <c r="BW942" s="68"/>
    </row>
    <row r="943" ht="15.75" customHeight="1">
      <c r="BT943" s="68"/>
      <c r="BU943" s="68"/>
      <c r="BV943" s="68"/>
      <c r="BW943" s="68"/>
    </row>
    <row r="944" ht="15.75" customHeight="1">
      <c r="BT944" s="68"/>
      <c r="BU944" s="68"/>
      <c r="BV944" s="68"/>
      <c r="BW944" s="68"/>
    </row>
    <row r="945" ht="15.75" customHeight="1">
      <c r="BT945" s="68"/>
      <c r="BU945" s="68"/>
      <c r="BV945" s="68"/>
      <c r="BW945" s="68"/>
    </row>
    <row r="946" ht="15.75" customHeight="1">
      <c r="BT946" s="68"/>
      <c r="BU946" s="68"/>
      <c r="BV946" s="68"/>
      <c r="BW946" s="68"/>
    </row>
    <row r="947" ht="15.75" customHeight="1">
      <c r="BT947" s="68"/>
      <c r="BU947" s="68"/>
      <c r="BV947" s="68"/>
      <c r="BW947" s="68"/>
    </row>
    <row r="948" ht="15.75" customHeight="1">
      <c r="BT948" s="68"/>
      <c r="BU948" s="68"/>
      <c r="BV948" s="68"/>
      <c r="BW948" s="68"/>
    </row>
    <row r="949" ht="15.75" customHeight="1">
      <c r="BT949" s="68"/>
      <c r="BU949" s="68"/>
      <c r="BV949" s="68"/>
      <c r="BW949" s="68"/>
    </row>
    <row r="950" ht="15.75" customHeight="1">
      <c r="BT950" s="68"/>
      <c r="BU950" s="68"/>
      <c r="BV950" s="68"/>
      <c r="BW950" s="68"/>
    </row>
    <row r="951" ht="15.75" customHeight="1">
      <c r="BT951" s="68"/>
      <c r="BU951" s="68"/>
      <c r="BV951" s="68"/>
      <c r="BW951" s="68"/>
    </row>
    <row r="952" ht="15.75" customHeight="1">
      <c r="BT952" s="68"/>
      <c r="BU952" s="68"/>
      <c r="BV952" s="68"/>
      <c r="BW952" s="68"/>
    </row>
    <row r="953" ht="15.75" customHeight="1">
      <c r="BT953" s="68"/>
      <c r="BU953" s="68"/>
      <c r="BV953" s="68"/>
      <c r="BW953" s="68"/>
    </row>
    <row r="954" ht="15.75" customHeight="1">
      <c r="BT954" s="68"/>
      <c r="BU954" s="68"/>
      <c r="BV954" s="68"/>
      <c r="BW954" s="68"/>
    </row>
    <row r="955" ht="15.75" customHeight="1">
      <c r="BT955" s="68"/>
      <c r="BU955" s="68"/>
      <c r="BV955" s="68"/>
      <c r="BW955" s="68"/>
    </row>
    <row r="956" ht="15.75" customHeight="1">
      <c r="BT956" s="68"/>
      <c r="BU956" s="68"/>
      <c r="BV956" s="68"/>
      <c r="BW956" s="68"/>
    </row>
    <row r="957" ht="15.75" customHeight="1">
      <c r="BT957" s="68"/>
      <c r="BU957" s="68"/>
      <c r="BV957" s="68"/>
      <c r="BW957" s="68"/>
    </row>
    <row r="958" ht="15.75" customHeight="1">
      <c r="BT958" s="68"/>
      <c r="BU958" s="68"/>
      <c r="BV958" s="68"/>
      <c r="BW958" s="68"/>
    </row>
    <row r="959" ht="15.75" customHeight="1">
      <c r="BT959" s="68"/>
      <c r="BU959" s="68"/>
      <c r="BV959" s="68"/>
      <c r="BW959" s="68"/>
    </row>
    <row r="960" ht="15.75" customHeight="1">
      <c r="BT960" s="68"/>
      <c r="BU960" s="68"/>
      <c r="BV960" s="68"/>
      <c r="BW960" s="68"/>
    </row>
    <row r="961" ht="15.75" customHeight="1">
      <c r="BT961" s="68"/>
      <c r="BU961" s="68"/>
      <c r="BV961" s="68"/>
      <c r="BW961" s="68"/>
    </row>
    <row r="962" ht="15.75" customHeight="1">
      <c r="BT962" s="68"/>
      <c r="BU962" s="68"/>
      <c r="BV962" s="68"/>
      <c r="BW962" s="68"/>
    </row>
    <row r="963" ht="15.75" customHeight="1">
      <c r="BT963" s="68"/>
      <c r="BU963" s="68"/>
      <c r="BV963" s="68"/>
      <c r="BW963" s="68"/>
    </row>
    <row r="964" ht="15.75" customHeight="1">
      <c r="BT964" s="68"/>
      <c r="BU964" s="68"/>
      <c r="BV964" s="68"/>
      <c r="BW964" s="68"/>
    </row>
    <row r="965" ht="15.75" customHeight="1">
      <c r="BT965" s="68"/>
      <c r="BU965" s="68"/>
      <c r="BV965" s="68"/>
      <c r="BW965" s="68"/>
    </row>
    <row r="966" ht="15.75" customHeight="1">
      <c r="BT966" s="68"/>
      <c r="BU966" s="68"/>
      <c r="BV966" s="68"/>
      <c r="BW966" s="68"/>
    </row>
    <row r="967" ht="15.75" customHeight="1">
      <c r="BT967" s="68"/>
      <c r="BU967" s="68"/>
      <c r="BV967" s="68"/>
      <c r="BW967" s="68"/>
    </row>
    <row r="968" ht="15.75" customHeight="1">
      <c r="BT968" s="68"/>
      <c r="BU968" s="68"/>
      <c r="BV968" s="68"/>
      <c r="BW968" s="68"/>
    </row>
    <row r="969" ht="15.75" customHeight="1">
      <c r="BT969" s="68"/>
      <c r="BU969" s="68"/>
      <c r="BV969" s="68"/>
      <c r="BW969" s="68"/>
    </row>
    <row r="970" ht="15.75" customHeight="1">
      <c r="BT970" s="68"/>
      <c r="BU970" s="68"/>
      <c r="BV970" s="68"/>
      <c r="BW970" s="68"/>
    </row>
    <row r="971" ht="15.75" customHeight="1">
      <c r="BT971" s="68"/>
      <c r="BU971" s="68"/>
      <c r="BV971" s="68"/>
      <c r="BW971" s="68"/>
    </row>
    <row r="972" ht="15.75" customHeight="1">
      <c r="BT972" s="68"/>
      <c r="BU972" s="68"/>
      <c r="BV972" s="68"/>
      <c r="BW972" s="68"/>
    </row>
    <row r="973" ht="15.75" customHeight="1">
      <c r="BT973" s="68"/>
      <c r="BU973" s="68"/>
      <c r="BV973" s="68"/>
      <c r="BW973" s="68"/>
    </row>
    <row r="974" ht="15.75" customHeight="1">
      <c r="BT974" s="68"/>
      <c r="BU974" s="68"/>
      <c r="BV974" s="68"/>
      <c r="BW974" s="68"/>
    </row>
    <row r="975" ht="15.75" customHeight="1">
      <c r="BT975" s="68"/>
      <c r="BU975" s="68"/>
      <c r="BV975" s="68"/>
      <c r="BW975" s="68"/>
    </row>
    <row r="976" ht="15.75" customHeight="1">
      <c r="BT976" s="68"/>
      <c r="BU976" s="68"/>
      <c r="BV976" s="68"/>
      <c r="BW976" s="68"/>
    </row>
    <row r="977" ht="15.75" customHeight="1">
      <c r="BT977" s="68"/>
      <c r="BU977" s="68"/>
      <c r="BV977" s="68"/>
      <c r="BW977" s="68"/>
    </row>
    <row r="978" ht="15.75" customHeight="1">
      <c r="BT978" s="68"/>
      <c r="BU978" s="68"/>
      <c r="BV978" s="68"/>
      <c r="BW978" s="68"/>
    </row>
    <row r="979" ht="15.75" customHeight="1">
      <c r="BT979" s="68"/>
      <c r="BU979" s="68"/>
      <c r="BV979" s="68"/>
      <c r="BW979" s="68"/>
    </row>
    <row r="980" ht="15.75" customHeight="1">
      <c r="BT980" s="68"/>
      <c r="BU980" s="68"/>
      <c r="BV980" s="68"/>
      <c r="BW980" s="68"/>
    </row>
    <row r="981" ht="15.75" customHeight="1">
      <c r="BT981" s="68"/>
      <c r="BU981" s="68"/>
      <c r="BV981" s="68"/>
      <c r="BW981" s="68"/>
    </row>
    <row r="982" ht="15.75" customHeight="1">
      <c r="BT982" s="68"/>
      <c r="BU982" s="68"/>
      <c r="BV982" s="68"/>
      <c r="BW982" s="68"/>
    </row>
    <row r="983" ht="15.75" customHeight="1">
      <c r="BT983" s="68"/>
      <c r="BU983" s="68"/>
      <c r="BV983" s="68"/>
      <c r="BW983" s="68"/>
    </row>
    <row r="984" ht="15.75" customHeight="1">
      <c r="BT984" s="68"/>
      <c r="BU984" s="68"/>
      <c r="BV984" s="68"/>
      <c r="BW984" s="68"/>
    </row>
    <row r="985" ht="15.75" customHeight="1">
      <c r="BT985" s="68"/>
      <c r="BU985" s="68"/>
      <c r="BV985" s="68"/>
      <c r="BW985" s="68"/>
    </row>
    <row r="986" ht="15.75" customHeight="1">
      <c r="BT986" s="68"/>
      <c r="BU986" s="68"/>
      <c r="BV986" s="68"/>
      <c r="BW986" s="68"/>
    </row>
    <row r="987" ht="15.75" customHeight="1">
      <c r="BT987" s="68"/>
      <c r="BU987" s="68"/>
      <c r="BV987" s="68"/>
      <c r="BW987" s="68"/>
    </row>
    <row r="988" ht="15.75" customHeight="1">
      <c r="BT988" s="68"/>
      <c r="BU988" s="68"/>
      <c r="BV988" s="68"/>
      <c r="BW988" s="68"/>
    </row>
    <row r="989" ht="15.75" customHeight="1">
      <c r="BT989" s="68"/>
      <c r="BU989" s="68"/>
      <c r="BV989" s="68"/>
      <c r="BW989" s="68"/>
    </row>
    <row r="990" ht="15.75" customHeight="1">
      <c r="BT990" s="68"/>
      <c r="BU990" s="68"/>
      <c r="BV990" s="68"/>
      <c r="BW990" s="68"/>
    </row>
    <row r="991" ht="15.75" customHeight="1">
      <c r="BT991" s="68"/>
      <c r="BU991" s="68"/>
      <c r="BV991" s="68"/>
      <c r="BW991" s="68"/>
    </row>
    <row r="992" ht="15.75" customHeight="1">
      <c r="BT992" s="68"/>
      <c r="BU992" s="68"/>
      <c r="BV992" s="68"/>
      <c r="BW992" s="68"/>
    </row>
    <row r="993" ht="15.75" customHeight="1">
      <c r="BT993" s="68"/>
      <c r="BU993" s="68"/>
      <c r="BV993" s="68"/>
      <c r="BW993" s="68"/>
    </row>
    <row r="994" ht="15.75" customHeight="1">
      <c r="BT994" s="68"/>
      <c r="BU994" s="68"/>
      <c r="BV994" s="68"/>
      <c r="BW994" s="68"/>
    </row>
    <row r="995" ht="15.75" customHeight="1">
      <c r="BT995" s="68"/>
      <c r="BU995" s="68"/>
      <c r="BV995" s="68"/>
      <c r="BW995" s="68"/>
    </row>
    <row r="996" ht="15.75" customHeight="1">
      <c r="BT996" s="68"/>
      <c r="BU996" s="68"/>
      <c r="BV996" s="68"/>
      <c r="BW996" s="68"/>
    </row>
    <row r="997" ht="15.75" customHeight="1">
      <c r="BT997" s="68"/>
      <c r="BU997" s="68"/>
      <c r="BV997" s="68"/>
      <c r="BW997" s="68"/>
    </row>
    <row r="998" ht="15.75" customHeight="1">
      <c r="BT998" s="68"/>
      <c r="BU998" s="68"/>
      <c r="BV998" s="68"/>
      <c r="BW998" s="68"/>
    </row>
    <row r="999" ht="15.75" customHeight="1">
      <c r="BT999" s="68"/>
      <c r="BU999" s="68"/>
      <c r="BV999" s="68"/>
      <c r="BW999" s="68"/>
    </row>
    <row r="1000" ht="15.75" customHeight="1">
      <c r="BT1000" s="68"/>
      <c r="BU1000" s="68"/>
      <c r="BV1000" s="68"/>
      <c r="BW1000" s="68"/>
    </row>
  </sheetData>
  <mergeCells count="14">
    <mergeCell ref="AW1:BB1"/>
    <mergeCell ref="BD1:BJ1"/>
    <mergeCell ref="BL1:BS1"/>
    <mergeCell ref="BT1:BW1"/>
    <mergeCell ref="BY1:BZ1"/>
    <mergeCell ref="CA1:CA2"/>
    <mergeCell ref="CB1:CB2"/>
    <mergeCell ref="A1:D1"/>
    <mergeCell ref="F1:M1"/>
    <mergeCell ref="N1:S1"/>
    <mergeCell ref="U1:Y1"/>
    <mergeCell ref="AA1:AG1"/>
    <mergeCell ref="AI1:AN1"/>
    <mergeCell ref="AP1:AU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5"/>
    <col customWidth="1" min="2" max="3" width="4.5"/>
    <col customWidth="1" min="4" max="4" width="4.38"/>
    <col customWidth="1" min="5" max="11" width="4.5"/>
    <col customWidth="1" min="12" max="12" width="18.75"/>
    <col customWidth="1" min="13" max="13" width="2.5"/>
    <col customWidth="1" min="14" max="16" width="4.5"/>
    <col customWidth="1" min="17" max="17" width="6.25"/>
    <col customWidth="1" min="18" max="18" width="5.38"/>
    <col customWidth="1" min="19" max="19" width="4.5"/>
    <col customWidth="1" min="20" max="20" width="5.5"/>
    <col customWidth="1" min="21" max="24" width="4.5"/>
    <col customWidth="1" min="25" max="25" width="20.13"/>
    <col customWidth="1" min="26" max="32" width="4.5"/>
    <col customWidth="1" min="33" max="33" width="21.88"/>
    <col customWidth="1" min="34" max="35" width="4.5"/>
    <col customWidth="1" min="36" max="36" width="5.38"/>
    <col customWidth="1" min="37" max="49" width="4.5"/>
  </cols>
  <sheetData>
    <row r="1" ht="27.75" customHeight="1">
      <c r="A1" s="69" t="s">
        <v>363</v>
      </c>
      <c r="H1" s="70"/>
      <c r="I1" s="69" t="s">
        <v>364</v>
      </c>
      <c r="R1" s="69"/>
      <c r="S1" s="69"/>
      <c r="T1" s="54" t="s">
        <v>365</v>
      </c>
      <c r="X1" s="70"/>
      <c r="Y1" s="70" t="s">
        <v>366</v>
      </c>
      <c r="AE1" s="69"/>
      <c r="AF1" s="69" t="s">
        <v>367</v>
      </c>
      <c r="AK1" s="69"/>
      <c r="AL1" s="69"/>
      <c r="AM1" s="69"/>
      <c r="AN1" s="69"/>
      <c r="AO1" s="69"/>
      <c r="AP1" s="71"/>
      <c r="AQ1" s="69"/>
      <c r="AR1" s="69"/>
      <c r="AS1" s="69"/>
      <c r="AT1" s="69"/>
      <c r="AU1" s="69"/>
      <c r="AV1" s="69"/>
      <c r="AW1" s="69"/>
      <c r="AX1" s="71"/>
      <c r="AY1" s="71"/>
    </row>
    <row r="2" ht="61.5" customHeight="1">
      <c r="A2" s="54" t="s">
        <v>0</v>
      </c>
      <c r="B2" s="56" t="s">
        <v>368</v>
      </c>
      <c r="C2" s="56" t="s">
        <v>369</v>
      </c>
      <c r="D2" s="56" t="s">
        <v>370</v>
      </c>
      <c r="E2" s="56" t="s">
        <v>371</v>
      </c>
      <c r="F2" s="56" t="s">
        <v>372</v>
      </c>
      <c r="G2" s="56" t="s">
        <v>373</v>
      </c>
      <c r="H2" s="56"/>
      <c r="I2" s="56" t="s">
        <v>0</v>
      </c>
      <c r="J2" s="56" t="s">
        <v>374</v>
      </c>
      <c r="K2" s="56" t="s">
        <v>375</v>
      </c>
      <c r="L2" s="56" t="s">
        <v>3</v>
      </c>
      <c r="M2" s="56" t="s">
        <v>6</v>
      </c>
      <c r="N2" s="56" t="s">
        <v>376</v>
      </c>
      <c r="O2" s="56" t="s">
        <v>377</v>
      </c>
      <c r="P2" s="56" t="s">
        <v>9</v>
      </c>
      <c r="Q2" s="56" t="s">
        <v>378</v>
      </c>
      <c r="S2" s="56"/>
      <c r="T2" s="54" t="s">
        <v>379</v>
      </c>
      <c r="U2" s="54" t="s">
        <v>380</v>
      </c>
      <c r="V2" s="56" t="s">
        <v>368</v>
      </c>
      <c r="W2" s="56" t="s">
        <v>381</v>
      </c>
      <c r="X2" s="56"/>
      <c r="Y2" s="56" t="s">
        <v>3</v>
      </c>
      <c r="Z2" s="56" t="s">
        <v>382</v>
      </c>
      <c r="AA2" s="56" t="s">
        <v>368</v>
      </c>
      <c r="AB2" s="54" t="s">
        <v>381</v>
      </c>
      <c r="AC2" s="54" t="s">
        <v>370</v>
      </c>
      <c r="AD2" s="56" t="s">
        <v>383</v>
      </c>
      <c r="AE2" s="56"/>
      <c r="AF2" s="54" t="s">
        <v>0</v>
      </c>
      <c r="AG2" s="60" t="s">
        <v>384</v>
      </c>
      <c r="AH2" s="56" t="s">
        <v>385</v>
      </c>
      <c r="AI2" s="56" t="s">
        <v>386</v>
      </c>
      <c r="AJ2" s="56" t="s">
        <v>387</v>
      </c>
      <c r="AK2" s="56"/>
      <c r="AL2" s="56"/>
      <c r="AM2" s="56"/>
      <c r="AN2" s="56"/>
      <c r="AO2" s="56"/>
      <c r="AP2" s="54"/>
      <c r="AQ2" s="54"/>
      <c r="AR2" s="54"/>
      <c r="AS2" s="56"/>
      <c r="AT2" s="56"/>
      <c r="AU2" s="56"/>
      <c r="AV2" s="56"/>
      <c r="AW2" s="56"/>
      <c r="AX2" s="54"/>
      <c r="AY2" s="54"/>
    </row>
    <row r="3" ht="16.5" customHeight="1">
      <c r="A3" s="72">
        <f>COUNT(data_num!A49:A1000)
</f>
        <v>1</v>
      </c>
      <c r="B3" s="73">
        <f>AVERAGE(data_num!B49:B1000)
</f>
        <v>3</v>
      </c>
      <c r="C3" s="74">
        <f>AVERAGE(data_num!C49:C1000)
</f>
        <v>6</v>
      </c>
      <c r="D3" s="73">
        <f>COUNTIFS(data_num!B49:B1000,"&gt;5", data_num!C49:C1000,"&gt;5")/COUNT(data_num!A49:A1000)
</f>
        <v>0</v>
      </c>
      <c r="E3" s="74" t="str">
        <f>IFERROR(__xludf.DUMMYFUNCTION("IFERROR(
  IF(
    OR(
      ROWS(FILTER(data_num!B49:B1000, ISNUMBER(data_num!B49:B1000), ISNUMBER(data_num!C49:C1000)))&lt;2,
      STDEV.S(FILTER(data_num!B49:B1000, ISNUMBER(data_num!B49:B1000), ISNUMBER(data_num!C49:C1000)))=0,
      STDEV.S(FILTER(data"&amp;"_num!C49:C1000, ISNUMBER(data_num!B49:B1000), ISNUMBER(data_num!C49:C1000)))=0
    ),
    """",
    CORREL(
      FILTER(data_num!B49:B1000, ISNUMBER(data_num!B49:B1000), ISNUMBER(data_num!C49:C1000)),
      FILTER(data_num!C49:C1000, ISNUMBER(data_num!B4"&amp;"9:B1000), ISNUMBER(data_num!C49:C1000))
    )
  ),
"""")
"),"")</f>
        <v/>
      </c>
      <c r="F3" s="73">
        <f>MEDIAN(data_num!B49:B1000)
</f>
        <v>3</v>
      </c>
      <c r="G3" s="73">
        <f>MEDIAN(data_num!C49:C1000)
</f>
        <v>6</v>
      </c>
      <c r="H3" s="73"/>
      <c r="I3" s="72">
        <f>IFERROR(__xludf.DUMMYFUNCTION("FILTER(
  {data_num!A3:A1000, data_num!B3:B1000, data_num!C3:C1000, data_num!D3:D1000, data_num!G3:G1000, data_num!H3:H1000, data_num!I3:I1000, data_num!J3:J1000, data_num!M3:M1000},
  (IFERROR(VALEUR(data_num!B3:B1000), data_num!B3:B1000)&gt;5)*
  (IFERROR("&amp;"VALEUR(data_num!C3:C1000), data_num!C3:C1000)&gt;5)*
  (data_num!M3:M1000&lt;&gt;"""")
)
"),4.0)</f>
        <v>4</v>
      </c>
      <c r="J3" s="73">
        <f>IFERROR(__xludf.DUMMYFUNCTION("""COMPUTED_VALUE"""),6.0)</f>
        <v>6</v>
      </c>
      <c r="K3" s="73">
        <f>IFERROR(__xludf.DUMMYFUNCTION("""COMPUTED_VALUE"""),9.0)</f>
        <v>9</v>
      </c>
      <c r="L3" s="75" t="str">
        <f>IFERROR(__xludf.DUMMYFUNCTION("""COMPUTED_VALUE"""),"environnement")</f>
        <v>environnement</v>
      </c>
      <c r="M3" s="73" t="str">
        <f>IFERROR(__xludf.DUMMYFUNCTION("""COMPUTED_VALUE"""),"Leçon d'anatomie marine par la lumière tangible. Sous une pergola bioclimatique face à la mer, une étudiante manipule d'un geste précis l'hologramme complexe d'une posidonie géante. L'interface gestuelle permet de disséquer virtuellement la plante pour co"&amp;"mprendre sa résilience au réchauffement climatique.")</f>
        <v>Leçon d'anatomie marine par la lumière tangible. Sous une pergola bioclimatique face à la mer, une étudiante manipule d'un geste précis l'hologramme complexe d'une posidonie géante. L'interface gestuelle permet de disséquer virtuellement la plante pour comprendre sa résilience au réchauffement climatique.</v>
      </c>
      <c r="N3" s="75" t="str">
        <f>IFERROR(__xludf.DUMMYFUNCTION("""COMPUTED_VALUE"""),"A documentary-style photograph taken with a 35mm lens. A young woman, a university student, stands on a terraced coastal outdoor laboratory overlooking the Mediterranean sea. She wears sleek, sensors-embedded haptic gloves. Her hands are raised, actively "&amp;"manipulating a large, translucent, glowing green and blue holographic projection of a complex Posidonia oceanica seagrass root system that floats in the air before her. Other students are in the blurred background. The sunlight is bright, golden hour. The"&amp;" architecture is stone and wood, integrated with plants.")</f>
        <v>A documentary-style photograph taken with a 35mm lens. A young woman, a university student, stands on a terraced coastal outdoor laboratory overlooking the Mediterranean sea. She wears sleek, sensors-embedded haptic gloves. Her hands are raised, actively manipulating a large, translucent, glowing green and blue holographic projection of a complex Posidonia oceanica seagrass root system that floats in the air before her. Other students are in the blurred background. The sunlight is bright, golden hour. The architecture is stone and wood, integrated with plants.</v>
      </c>
      <c r="O3" s="76" t="str">
        <f>IFERROR(__xludf.DUMMYFUNCTION("""COMPUTED_VALUE"""),"https://drive.google.com/file/d/1Qj5Cx_NoOyusSk0sZFQDkl-kafsWrCSV/view?usp=drive_link")</f>
        <v>https://drive.google.com/file/d/1Qj5Cx_NoOyusSk0sZFQDkl-kafsWrCSV/view?usp=drive_link</v>
      </c>
      <c r="P3" s="75" t="str">
        <f>IFERROR(__xludf.DUMMYFUNCTION("""COMPUTED_VALUE"""),"nano banana")</f>
        <v>nano banana</v>
      </c>
      <c r="Q3" s="73">
        <f>IFERROR(__xludf.DUMMYFUNCTION("""COMPUTED_VALUE"""),4.123105625617661)</f>
        <v>4.123105626</v>
      </c>
      <c r="R3" s="75"/>
      <c r="S3" s="73"/>
      <c r="T3" s="72">
        <f>IFERROR(__xludf.DUMMYFUNCTION("SORT(UNIQUE(FILTER(data_num!E2:E1000, data_num!E2:E1000&lt;&gt;"""")))
"),1.0)</f>
        <v>1</v>
      </c>
      <c r="U3" s="77">
        <f>IFERROR(__xludf.DUMMYFUNCTION("IFERROR(
  ROWS(FILTER(data_num!A3:A1000, (data_num!E3:E1000&amp;"""")=(T3&amp;""""), ISNUMBER(data_num!B3:B1000), ISNUMBER(data_num!C3:C1000))),
  0
)
"),3.0)</f>
        <v>3</v>
      </c>
      <c r="V3" s="72">
        <f>IFERROR(__xludf.DUMMYFUNCTION("IF(U3=0, """",
  IFERROR(AVERAGE(FILTER(data_num!B3:B1000, (data_num!E3:E1000&amp;"""")=(T3&amp;""""), ISNUMBER(data_num!B3:B1000), ISNUMBER(data_num!C3:C1000))), """")
)
"),2.6666666666666665)</f>
        <v>2.666666667</v>
      </c>
      <c r="W3" s="73">
        <f>IFERROR(__xludf.DUMMYFUNCTION("IF(U3=0, """",
  IFERROR(AVERAGE(FILTER(data_num!C3:C1000, (data_num!E3:E1000&amp;"""")=(T3&amp;""""), ISNUMBER(data_num!B3:B1000), ISNUMBER(data_num!C3:C1000))), """")
)
"),5.0)</f>
        <v>5</v>
      </c>
      <c r="X3" s="73"/>
      <c r="Y3" s="73" t="str">
        <f>IFERROR(__xludf.DUMMYFUNCTION("UNIQUE(FILTER(data_num!D3:D1000, data_num!D3:D1000&lt;&gt;""""))"),"environnement")</f>
        <v>environnement</v>
      </c>
      <c r="Z3" s="73">
        <f>COUNTIFS(data_num!D:D, Y3, data_num!K:K, 1)
</f>
        <v>8</v>
      </c>
      <c r="AA3" s="73">
        <f>IF(Z3=0,"",AVERAGEIFS(data_num!B:B, data_num!D:D, Y3, data_num!K:K, 1))
</f>
        <v>5.875</v>
      </c>
      <c r="AB3" s="77">
        <f>IF(Z3=0,"",AVERAGEIFS(data_num!C:C, data_num!D:D, Y3, data_num!K:K, 1))
</f>
        <v>8</v>
      </c>
      <c r="AC3" s="72">
        <f>IF(Z3=0,"",SUMIFS(data_num!L:L, data_num!D:D, Y3, data_num!K:K, 1)/Z3)
</f>
        <v>0.625</v>
      </c>
      <c r="AD3" s="73">
        <f>IF(Z3=0,"",SUMIFS(data_num!L:L, data_num!D:D, Y3, data_num!K:K, 1)/Z3)
</f>
        <v>0.625</v>
      </c>
      <c r="AE3" s="73"/>
      <c r="AF3" s="72">
        <f>IFERROR(__xludf.DUMMYFUNCTION("SORT(
  FILTER({data_num!A3:A1000, data_num!D3:D1000, data_num!B3:B1000, data_num!C3:C1000, data_num!M3:M1000}, data_num!M3:M1000&lt;&gt;""""),
  5, TRUE)"),45.0)</f>
        <v>45</v>
      </c>
      <c r="AG3" s="75" t="str">
        <f>IFERROR(__xludf.DUMMYFUNCTION("""COMPUTED_VALUE"""),"pratiques de l'éducation")</f>
        <v>pratiques de l'éducation</v>
      </c>
      <c r="AH3" s="73">
        <f>IFERROR(__xludf.DUMMYFUNCTION("""COMPUTED_VALUE"""),10.0)</f>
        <v>10</v>
      </c>
      <c r="AI3" s="77">
        <f>IFERROR(__xludf.DUMMYFUNCTION("""COMPUTED_VALUE"""),8.0)</f>
        <v>8</v>
      </c>
      <c r="AJ3" s="73">
        <f>IFERROR(__xludf.DUMMYFUNCTION("""COMPUTED_VALUE"""),2.0)</f>
        <v>2</v>
      </c>
      <c r="AK3" s="73"/>
      <c r="AL3" s="73"/>
      <c r="AM3" s="73"/>
      <c r="AN3" s="73"/>
      <c r="AO3" s="73"/>
      <c r="AP3" s="77"/>
      <c r="AQ3" s="72"/>
      <c r="AR3" s="73"/>
      <c r="AS3" s="73"/>
      <c r="AT3" s="73"/>
      <c r="AU3" s="73"/>
      <c r="AV3" s="73"/>
      <c r="AW3" s="73"/>
      <c r="AX3" s="77"/>
      <c r="AY3" s="77"/>
    </row>
    <row r="4" ht="16.5" customHeight="1">
      <c r="A4" s="72">
        <f>COUNT(data_num!A48:A1000)
</f>
        <v>2</v>
      </c>
      <c r="B4" s="73">
        <f>AVERAGE(data_num!B48:B1000)
</f>
        <v>1.5</v>
      </c>
      <c r="C4" s="74">
        <f>AVERAGE(data_num!C48:C1000)
</f>
        <v>4.5</v>
      </c>
      <c r="D4" s="73">
        <f>COUNTIFS(data_num!B48:B1000,"&gt;5", data_num!C48:C1000,"&gt;5")/COUNT(data_num!A48:A1000)
</f>
        <v>0</v>
      </c>
      <c r="E4" s="74">
        <f>IFERROR(__xludf.DUMMYFUNCTION("IFERROR(
  IF(
    OR(
      ROWS(FILTER(data_num!B48:B1000, ISNUMBER(data_num!B48:B1000), ISNUMBER(data_num!C48:C1000)))&lt;2,
      STDEV.S(FILTER(data_num!B48:B1000, ISNUMBER(data_num!B48:B1000), ISNUMBER(data_num!C48:C1000)))=0,
      STDEV.S(FILTER(data"&amp;"_num!C48:C1000, ISNUMBER(data_num!B48:B1000), ISNUMBER(data_num!C48:C1000)))=0
    ),
    """",
    CORREL(
      FILTER(data_num!B48:B1000, ISNUMBER(data_num!B48:B1000), ISNUMBER(data_num!C48:C1000)),
      FILTER(data_num!C48:C1000, ISNUMBER(data_num!B4"&amp;"8:B1000), ISNUMBER(data_num!C48:C1000))
    )
  ),
"""")
"),1.0)</f>
        <v>1</v>
      </c>
      <c r="F4" s="73">
        <f>MEDIAN(data_num!B48:B1000)
</f>
        <v>1.5</v>
      </c>
      <c r="G4" s="73">
        <f>MEDIAN(data_num!C48:C1000)
</f>
        <v>4.5</v>
      </c>
      <c r="H4" s="73"/>
      <c r="I4" s="72">
        <f>IFERROR(__xludf.DUMMYFUNCTION("""COMPUTED_VALUE"""),6.0)</f>
        <v>6</v>
      </c>
      <c r="J4" s="73">
        <f>IFERROR(__xludf.DUMMYFUNCTION("""COMPUTED_VALUE"""),7.0)</f>
        <v>7</v>
      </c>
      <c r="K4" s="73">
        <f>IFERROR(__xludf.DUMMYFUNCTION("""COMPUTED_VALUE"""),8.0)</f>
        <v>8</v>
      </c>
      <c r="L4" s="75" t="str">
        <f>IFERROR(__xludf.DUMMYFUNCTION("""COMPUTED_VALUE"""),"environnement")</f>
        <v>environnement</v>
      </c>
      <c r="M4" s="73" t="str">
        <f>IFERROR(__xludf.DUMMYFUNCTION("""COMPUTED_VALUE"""),"L'Archipel des Esprits, Apprendre par l'Action Collective. Dans un monde ou l'échange instantané de données libère le temps de l'apprentissage théorique pour l'appliquer. Les étudiants se rassemblent dans d'anciens jardins-écoles méditerranéens, où ils ut"&amp;"ilisent leur savoir commun pour réparer la biodiversité locale. Leur connexion neurale remplace les longues discussions par une intelligence collective haptique focalisée sur le geste, recréant un lien social fondamental basé sur la co-création.")</f>
        <v>L'Archipel des Esprits, Apprendre par l'Action Collective. Dans un monde ou l'échange instantané de données libère le temps de l'apprentissage théorique pour l'appliquer. Les étudiants se rassemblent dans d'anciens jardins-écoles méditerranéens, où ils utilisent leur savoir commun pour réparer la biodiversité locale. Leur connexion neurale remplace les longues discussions par une intelligence collective haptique focalisée sur le geste, recréant un lien social fondamental basé sur la co-création.</v>
      </c>
      <c r="N4" s="75" t="str">
        <f>IFERROR(__xludf.DUMMYFUNCTION("""COMPUTED_VALUE"""),"Ultra-realistic contemporary photograph, 35mm sensor, cinematic lighting. A young adult, central in the foreground, with warm Mediterranean sunlight illuminating their face. They are standing in a lush, rewilded rooftop garden with terracotta pots and sol"&amp;"ar panels visible in the background. They are wearing a small, subtle ear-worn device. The person is actively grafting a plant, one hand touching a glowing section of the plant where a holographic data-stream (knowledge of plant biology) is subtly overlai"&amp;"d, indicating a non-verbal knowledge transfer. The atmosphere is serene and deeply focused.")</f>
        <v>Ultra-realistic contemporary photograph, 35mm sensor, cinematic lighting. A young adult, central in the foreground, with warm Mediterranean sunlight illuminating their face. They are standing in a lush, rewilded rooftop garden with terracotta pots and solar panels visible in the background. They are wearing a small, subtle ear-worn device. The person is actively grafting a plant, one hand touching a glowing section of the plant where a holographic data-stream (knowledge of plant biology) is subtly overlaid, indicating a non-verbal knowledge transfer. The atmosphere is serene and deeply focused.</v>
      </c>
      <c r="O4" s="76" t="str">
        <f>IFERROR(__xludf.DUMMYFUNCTION("""COMPUTED_VALUE"""),"https://drive.google.com/file/d/1U7f1XvGmZg9ZfLRJ62MCXWRSYBUAcZgc/view?usp=drive_link")</f>
        <v>https://drive.google.com/file/d/1U7f1XvGmZg9ZfLRJ62MCXWRSYBUAcZgc/view?usp=drive_link</v>
      </c>
      <c r="P4" s="75" t="str">
        <f>IFERROR(__xludf.DUMMYFUNCTION("""COMPUTED_VALUE"""),"nano banana")</f>
        <v>nano banana</v>
      </c>
      <c r="Q4" s="73">
        <f>IFERROR(__xludf.DUMMYFUNCTION("""COMPUTED_VALUE"""),3.605551275463989)</f>
        <v>3.605551275</v>
      </c>
      <c r="R4" s="75"/>
      <c r="S4" s="73"/>
      <c r="T4" s="72">
        <f>IFERROR(__xludf.DUMMYFUNCTION("""COMPUTED_VALUE"""),2.0)</f>
        <v>2</v>
      </c>
      <c r="U4" s="77">
        <f>IFERROR(__xludf.DUMMYFUNCTION("IFERROR(
  ROWS(FILTER(data_num!A4:A1000, (data_num!E4:E1000&amp;"""")=(T4&amp;""""), ISNUMBER(data_num!B4:B1000), ISNUMBER(data_num!C4:C1000))),
  0
)
"),3.0)</f>
        <v>3</v>
      </c>
      <c r="V4" s="72">
        <f>IFERROR(__xludf.DUMMYFUNCTION("IF(U4=0, """",
  IFERROR(AVERAGE(FILTER(data_num!B4:B1000, (data_num!E4:E1000&amp;"""")=(T4&amp;""""), ISNUMBER(data_num!B4:B1000), ISNUMBER(data_num!C4:C1000))), """")
)
"),5.666666666666667)</f>
        <v>5.666666667</v>
      </c>
      <c r="W4" s="73">
        <f>IFERROR(__xludf.DUMMYFUNCTION("IF(U4=0, """",
  IFERROR(AVERAGE(FILTER(data_num!C4:C1000, (data_num!E4:E1000&amp;"""")=(T4&amp;""""), ISNUMBER(data_num!B4:B1000), ISNUMBER(data_num!C4:C1000))), """")
)
"),6.333333333333333)</f>
        <v>6.333333333</v>
      </c>
      <c r="X4" s="73"/>
      <c r="Y4" s="73" t="str">
        <f>IFERROR(__xludf.DUMMYFUNCTION("""COMPUTED_VALUE"""),"tout au long de la vie")</f>
        <v>tout au long de la vie</v>
      </c>
      <c r="Z4" s="73">
        <f>COUNTIFS(data_num!D:D, Y4, data_num!K:K, 1)
</f>
        <v>15</v>
      </c>
      <c r="AA4" s="73">
        <f>IF(Z4=0,"",AVERAGEIFS(data_num!B:B, data_num!D:D, Y4, data_num!K:K, 1))
</f>
        <v>2.2</v>
      </c>
      <c r="AB4" s="77">
        <f>IF(Z4=0,"",AVERAGEIFS(data_num!C:C, data_num!D:D, Y4, data_num!K:K, 1))
</f>
        <v>3.066666667</v>
      </c>
      <c r="AC4" s="72">
        <f>IF(Z4=0,"",SUMIFS(data_num!L:L, data_num!D:D, Y4, data_num!K:K, 1)/Z4)
</f>
        <v>0</v>
      </c>
      <c r="AD4" s="73">
        <f>IF(Z4=0,"",SUMIFS(data_num!L:L, data_num!D:D, Y4, data_num!K:K, 1)/Z4)
</f>
        <v>0</v>
      </c>
      <c r="AE4" s="73"/>
      <c r="AF4" s="72">
        <f>IFERROR(__xludf.DUMMYFUNCTION("""COMPUTED_VALUE"""),38.0)</f>
        <v>38</v>
      </c>
      <c r="AG4" s="75" t="str">
        <f>IFERROR(__xludf.DUMMYFUNCTION("""COMPUTED_VALUE"""),"pour tous et pour toutes")</f>
        <v>pour tous et pour toutes</v>
      </c>
      <c r="AH4" s="73">
        <f>IFERROR(__xludf.DUMMYFUNCTION("""COMPUTED_VALUE"""),8.0)</f>
        <v>8</v>
      </c>
      <c r="AI4" s="77">
        <f>IFERROR(__xludf.DUMMYFUNCTION("""COMPUTED_VALUE"""),8.0)</f>
        <v>8</v>
      </c>
      <c r="AJ4" s="73">
        <f>IFERROR(__xludf.DUMMYFUNCTION("""COMPUTED_VALUE"""),2.8284271247461903)</f>
        <v>2.828427125</v>
      </c>
      <c r="AK4" s="73"/>
      <c r="AL4" s="73"/>
      <c r="AM4" s="73"/>
      <c r="AN4" s="73"/>
      <c r="AO4" s="73"/>
      <c r="AP4" s="77"/>
      <c r="AQ4" s="72"/>
      <c r="AR4" s="73"/>
      <c r="AS4" s="73"/>
      <c r="AT4" s="73"/>
      <c r="AU4" s="73"/>
      <c r="AV4" s="73"/>
      <c r="AW4" s="73"/>
      <c r="AX4" s="77"/>
      <c r="AY4" s="77"/>
    </row>
    <row r="5" ht="16.5" customHeight="1">
      <c r="A5" s="72">
        <f>COUNT(data_num!A47:A1000)
</f>
        <v>3</v>
      </c>
      <c r="B5" s="73">
        <f>AVERAGE(data_num!B47:B1000)
</f>
        <v>1</v>
      </c>
      <c r="C5" s="74">
        <f>AVERAGE(data_num!C47:C1000)
</f>
        <v>4.666666667</v>
      </c>
      <c r="D5" s="73">
        <f>COUNTIFS(data_num!B47:B1000,"&gt;5", data_num!C47:C1000,"&gt;5")/COUNT(data_num!A47:A1000)
</f>
        <v>0</v>
      </c>
      <c r="E5" s="74">
        <f>IFERROR(__xludf.DUMMYFUNCTION("IFERROR(
  IF(
    OR(
      ROWS(FILTER(data_num!B47:B1000, ISNUMBER(data_num!B47:B1000), ISNUMBER(data_num!C47:C1000)))&lt;2,
      STDEV.S(FILTER(data_num!B47:B1000, ISNUMBER(data_num!B47:B1000), ISNUMBER(data_num!C47:C1000)))=0,
      STDEV.S(FILTER(data"&amp;"_num!C47:C1000, ISNUMBER(data_num!B47:B1000), ISNUMBER(data_num!C47:C1000)))=0
    ),
    """",
    CORREL(
      FILTER(data_num!B47:B1000, ISNUMBER(data_num!B47:B1000), ISNUMBER(data_num!C47:C1000)),
      FILTER(data_num!C47:C1000, ISNUMBER(data_num!B4"&amp;"7:B1000), ISNUMBER(data_num!C47:C1000))
    )
  ),
"""")
"),0.7559289460184546)</f>
        <v>0.755928946</v>
      </c>
      <c r="F5" s="73">
        <f>MEDIAN(data_num!B47:B1000)
</f>
        <v>0</v>
      </c>
      <c r="G5" s="73">
        <f>MEDIAN(data_num!C47:C1000)
</f>
        <v>5</v>
      </c>
      <c r="H5" s="73"/>
      <c r="I5" s="72">
        <f>IFERROR(__xludf.DUMMYFUNCTION("""COMPUTED_VALUE"""),8.0)</f>
        <v>8</v>
      </c>
      <c r="J5" s="73">
        <f>IFERROR(__xludf.DUMMYFUNCTION("""COMPUTED_VALUE"""),7.0)</f>
        <v>7</v>
      </c>
      <c r="K5" s="73">
        <f>IFERROR(__xludf.DUMMYFUNCTION("""COMPUTED_VALUE"""),7.0)</f>
        <v>7</v>
      </c>
      <c r="L5" s="75" t="str">
        <f>IFERROR(__xludf.DUMMYFUNCTION("""COMPUTED_VALUE"""),"environnement")</f>
        <v>environnement</v>
      </c>
      <c r="M5" s="73" t="str">
        <f>IFERROR(__xludf.DUMMYFUNCTION("""COMPUTED_VALUE"""),"La Synapse Captive, L'Écho Froid du Savoir Formaté. Dans un environnement urbain sombre et saturé, l'éducation est réduite à un téléchargement de données massif et obligatoire via des ports neuraux administrés par l'État. Le contact visuel et le dialogue "&amp;"sont considérés comme des ""interférences de bande passante"". Un étudiant, cherchant désespérément un savoir non-validé ou une voix humaine oubliée, tente de pirater le flux officiel avec un vieux module déconnecté.")</f>
        <v>La Synapse Captive, L'Écho Froid du Savoir Formaté. Dans un environnement urbain sombre et saturé, l'éducation est réduite à un téléchargement de données massif et obligatoire via des ports neuraux administrés par l'État. Le contact visuel et le dialogue sont considérés comme des "interférences de bande passante". Un étudiant, cherchant désespérément un savoir non-validé ou une voix humaine oubliée, tente de pirater le flux officiel avec un vieux module déconnecté.</v>
      </c>
      <c r="N5" s="75" t="str">
        <f>IFERROR(__xludf.DUMMYFUNCTION("""COMPUTED_VALUE"""),"Ultra-realistic contemporary photograph, 35mm sensor, harsh neon lighting casting strong shadows. A student (young adult) is huddled in a narrow, rainy alleyway, cyberpunk aesthetic, with glowing data cables running along the damp walls. The person's face"&amp;" is illuminated by the sickly blue-green light of a crude, handheld, DIY device they are desperately trying to operate. A thick cable connects the device to a port on their neck or temple. Their expression is anxious and isolated, highlighting the loss of"&amp;" genuine human interaction in this controlled education system.")</f>
        <v>Ultra-realistic contemporary photograph, 35mm sensor, harsh neon lighting casting strong shadows. A student (young adult) is huddled in a narrow, rainy alleyway, cyberpunk aesthetic, with glowing data cables running along the damp walls. The person's face is illuminated by the sickly blue-green light of a crude, handheld, DIY device they are desperately trying to operate. A thick cable connects the device to a port on their neck or temple. Their expression is anxious and isolated, highlighting the loss of genuine human interaction in this controlled education system.</v>
      </c>
      <c r="O5" s="76" t="str">
        <f>IFERROR(__xludf.DUMMYFUNCTION("""COMPUTED_VALUE"""),"https://drive.google.com/file/d/1zB9aVoEuaWOaRtDOTITvV38QQkZYAAeP/view?usp=drive_link")</f>
        <v>https://drive.google.com/file/d/1zB9aVoEuaWOaRtDOTITvV38QQkZYAAeP/view?usp=drive_link</v>
      </c>
      <c r="P5" s="75" t="str">
        <f>IFERROR(__xludf.DUMMYFUNCTION("""COMPUTED_VALUE"""),"nano banana")</f>
        <v>nano banana</v>
      </c>
      <c r="Q5" s="73">
        <f>IFERROR(__xludf.DUMMYFUNCTION("""COMPUTED_VALUE"""),4.242640687119285)</f>
        <v>4.242640687</v>
      </c>
      <c r="R5" s="75"/>
      <c r="S5" s="73"/>
      <c r="T5" s="72">
        <f>IFERROR(__xludf.DUMMYFUNCTION("""COMPUTED_VALUE"""),3.0)</f>
        <v>3</v>
      </c>
      <c r="U5" s="77">
        <f>IFERROR(__xludf.DUMMYFUNCTION("IFERROR(
  ROWS(FILTER(data_num!A5:A1000, (data_num!E5:E1000&amp;"""")=(T5&amp;""""), ISNUMBER(data_num!B5:B1000), ISNUMBER(data_num!C5:C1000))),
  0
)
"),3.0)</f>
        <v>3</v>
      </c>
      <c r="V5" s="72">
        <f>IFERROR(__xludf.DUMMYFUNCTION("IF(U5=0, """",
  IFERROR(AVERAGE(FILTER(data_num!B5:B1000, (data_num!E5:E1000&amp;"""")=(T5&amp;""""), ISNUMBER(data_num!B5:B1000), ISNUMBER(data_num!C5:C1000))), """")
)
"),7.333333333333333)</f>
        <v>7.333333333</v>
      </c>
      <c r="W5" s="73">
        <f>IFERROR(__xludf.DUMMYFUNCTION("IF(U5=0, """",
  IFERROR(AVERAGE(FILTER(data_num!C5:C1000, (data_num!E5:E1000&amp;"""")=(T5&amp;""""), ISNUMBER(data_num!B5:B1000), ISNUMBER(data_num!C5:C1000))), """")
)
"),5.333333333333333)</f>
        <v>5.333333333</v>
      </c>
      <c r="X5" s="73"/>
      <c r="Y5" s="73" t="str">
        <f>IFERROR(__xludf.DUMMYFUNCTION("""COMPUTED_VALUE"""),"pour tous et pour toutes")</f>
        <v>pour tous et pour toutes</v>
      </c>
      <c r="Z5" s="73">
        <f>COUNTIFS(data_num!D:D, Y5, data_num!K:K, 1)
</f>
        <v>7</v>
      </c>
      <c r="AA5" s="73">
        <f>IF(Z5=0,"",AVERAGEIFS(data_num!B:B, data_num!D:D, Y5, data_num!K:K, 1))
</f>
        <v>3.428571429</v>
      </c>
      <c r="AB5" s="77">
        <f>IF(Z5=0,"",AVERAGEIFS(data_num!C:C, data_num!D:D, Y5, data_num!K:K, 1))
</f>
        <v>6.714285714</v>
      </c>
      <c r="AC5" s="72">
        <f>IF(Z5=0,"",SUMIFS(data_num!L:L, data_num!D:D, Y5, data_num!K:K, 1)/Z5)
</f>
        <v>0.2857142857</v>
      </c>
      <c r="AD5" s="73">
        <f>IF(Z5=0,"",SUMIFS(data_num!L:L, data_num!D:D, Y5, data_num!K:K, 1)/Z5)
</f>
        <v>0.2857142857</v>
      </c>
      <c r="AE5" s="73"/>
      <c r="AF5" s="72">
        <f>IFERROR(__xludf.DUMMYFUNCTION("""COMPUTED_VALUE"""),44.0)</f>
        <v>44</v>
      </c>
      <c r="AG5" s="75" t="str">
        <f>IFERROR(__xludf.DUMMYFUNCTION("""COMPUTED_VALUE"""),"pratiques de l'éducation")</f>
        <v>pratiques de l'éducation</v>
      </c>
      <c r="AH5" s="73">
        <f>IFERROR(__xludf.DUMMYFUNCTION("""COMPUTED_VALUE"""),9.0)</f>
        <v>9</v>
      </c>
      <c r="AI5" s="77">
        <f>IFERROR(__xludf.DUMMYFUNCTION("""COMPUTED_VALUE"""),7.0)</f>
        <v>7</v>
      </c>
      <c r="AJ5" s="73">
        <f>IFERROR(__xludf.DUMMYFUNCTION("""COMPUTED_VALUE"""),3.1622776601683795)</f>
        <v>3.16227766</v>
      </c>
      <c r="AK5" s="73"/>
      <c r="AL5" s="73"/>
      <c r="AM5" s="73"/>
      <c r="AN5" s="73"/>
      <c r="AO5" s="73"/>
      <c r="AP5" s="77"/>
      <c r="AQ5" s="72"/>
      <c r="AR5" s="73"/>
      <c r="AS5" s="73"/>
      <c r="AT5" s="73"/>
      <c r="AU5" s="73"/>
      <c r="AV5" s="73"/>
      <c r="AW5" s="73"/>
      <c r="AX5" s="77"/>
      <c r="AY5" s="77"/>
    </row>
    <row r="6" ht="16.5" customHeight="1">
      <c r="A6" s="72">
        <f>COUNT(data_num!A46:A1000)
</f>
        <v>4</v>
      </c>
      <c r="B6" s="73">
        <f>AVERAGE(data_num!B46:B1000)
</f>
        <v>3.25</v>
      </c>
      <c r="C6" s="74">
        <f>AVERAGE(data_num!C46:C1000)
</f>
        <v>5.5</v>
      </c>
      <c r="D6" s="73">
        <f>COUNTIFS(data_num!B46:B1000,"&gt;5", data_num!C46:C1000,"&gt;5")/COUNT(data_num!A46:A1000)
</f>
        <v>0.25</v>
      </c>
      <c r="E6" s="74">
        <f>IFERROR(__xludf.DUMMYFUNCTION("IFERROR(
  IF(
    OR(
      ROWS(FILTER(data_num!B46:B1000, ISNUMBER(data_num!B46:B1000), ISNUMBER(data_num!C46:C1000)))&lt;2,
      STDEV.S(FILTER(data_num!B46:B1000, ISNUMBER(data_num!B46:B1000), ISNUMBER(data_num!C46:C1000)))=0,
      STDEV.S(FILTER(data"&amp;"_num!C46:C1000, ISNUMBER(data_num!B46:B1000), ISNUMBER(data_num!C46:C1000)))=0
    ),
    """",
    CORREL(
      FILTER(data_num!B46:B1000, ISNUMBER(data_num!B46:B1000), ISNUMBER(data_num!C46:C1000)),
      FILTER(data_num!C46:C1000, ISNUMBER(data_num!B4"&amp;"6:B1000), ISNUMBER(data_num!C46:C1000))
    )
  ),
"""")
"),0.899598168882441)</f>
        <v>0.8995981689</v>
      </c>
      <c r="F6" s="73">
        <f>MEDIAN(data_num!B46:B1000)
</f>
        <v>1.5</v>
      </c>
      <c r="G6" s="73">
        <f>MEDIAN(data_num!C46:C1000)
</f>
        <v>5.5</v>
      </c>
      <c r="H6" s="73"/>
      <c r="I6" s="72">
        <f>IFERROR(__xludf.DUMMYFUNCTION("""COMPUTED_VALUE"""),9.0)</f>
        <v>9</v>
      </c>
      <c r="J6" s="73">
        <f>IFERROR(__xludf.DUMMYFUNCTION("""COMPUTED_VALUE"""),7.0)</f>
        <v>7</v>
      </c>
      <c r="K6" s="73">
        <f>IFERROR(__xludf.DUMMYFUNCTION("""COMPUTED_VALUE"""),8.0)</f>
        <v>8</v>
      </c>
      <c r="L6" s="75" t="str">
        <f>IFERROR(__xludf.DUMMYFUNCTION("""COMPUTED_VALUE"""),"environnement")</f>
        <v>environnement</v>
      </c>
      <c r="M6" s="73" t="str">
        <f>IFERROR(__xludf.DUMMYFUNCTION("""COMPUTED_VALUE"""),"L'École Nomade des Horizons Infinis. Les élèves, équipés de casques de réalité augmentée, explorent les fonds marins virtuels, tandis que leur professeur, tel un guide d'expédition, les interpelle pour souligner la biodiversité. L'apprentissage se fait pa"&amp;"r immersion sensorielle, chaque leçon étant une aventure au-delà des murs de la salle de classe.")</f>
        <v>L'École Nomade des Horizons Infinis. Les élèves, équipés de casques de réalité augmentée, explorent les fonds marins virtuels, tandis que leur professeur, tel un guide d'expédition, les interpelle pour souligner la biodiversité. L'apprentissage se fait par immersion sensorielle, chaque leçon étant une aventure au-delà des murs de la salle de classe.</v>
      </c>
      <c r="N6" s="75" t="str">
        <f>IFERROR(__xludf.DUMMYFUNCTION("""COMPUTED_VALUE"""),"A realistic photograph of a diverse group of students wearing sleek augmented reality headsets, exploring a vibrant, virtual underwater world. Their ""adventurer"" professor, dressed in practical, modern outdoor gear, points emphatically at a glowing cora"&amp;"l reef, his face animated with discovery. The setting is bright and futuristic, with holographic projections of marine life floating around them.")</f>
        <v>A realistic photograph of a diverse group of students wearing sleek augmented reality headsets, exploring a vibrant, virtual underwater world. Their "adventurer" professor, dressed in practical, modern outdoor gear, points emphatically at a glowing coral reef, his face animated with discovery. The setting is bright and futuristic, with holographic projections of marine life floating around them.</v>
      </c>
      <c r="O6" s="76" t="str">
        <f>IFERROR(__xludf.DUMMYFUNCTION("""COMPUTED_VALUE"""),"https://drive.google.com/file/d/1_O9u0zAjfutIGoATXCvfc86Pt9YUClrx/view?usp=drive_link")</f>
        <v>https://drive.google.com/file/d/1_O9u0zAjfutIGoATXCvfc86Pt9YUClrx/view?usp=drive_link</v>
      </c>
      <c r="P6" s="75" t="str">
        <f>IFERROR(__xludf.DUMMYFUNCTION("""COMPUTED_VALUE"""),"nano banana")</f>
        <v>nano banana</v>
      </c>
      <c r="Q6" s="73">
        <f>IFERROR(__xludf.DUMMYFUNCTION("""COMPUTED_VALUE"""),3.605551275463989)</f>
        <v>3.605551275</v>
      </c>
      <c r="R6" s="75"/>
      <c r="S6" s="73"/>
      <c r="T6" s="72">
        <f>IFERROR(__xludf.DUMMYFUNCTION("""COMPUTED_VALUE"""),4.0)</f>
        <v>4</v>
      </c>
      <c r="U6" s="77">
        <f>IFERROR(__xludf.DUMMYFUNCTION("IFERROR(
  ROWS(FILTER(data_num!A6:A1000, (data_num!E6:E1000&amp;"""")=(T6&amp;""""), ISNUMBER(data_num!B6:B1000), ISNUMBER(data_num!C6:C1000))),
  0
)
"),3.0)</f>
        <v>3</v>
      </c>
      <c r="V6" s="72">
        <f>IFERROR(__xludf.DUMMYFUNCTION("IF(U6=0, """",
  IFERROR(AVERAGE(FILTER(data_num!B6:B1000, (data_num!E6:E1000&amp;"""")=(T6&amp;""""), ISNUMBER(data_num!B6:B1000), ISNUMBER(data_num!C6:C1000))), """")
)
"),1.0)</f>
        <v>1</v>
      </c>
      <c r="W6" s="73">
        <f>IFERROR(__xludf.DUMMYFUNCTION("IF(U6=0, """",
  IFERROR(AVERAGE(FILTER(data_num!C6:C1000, (data_num!E6:E1000&amp;"""")=(T6&amp;""""), ISNUMBER(data_num!B6:B1000), ISNUMBER(data_num!C6:C1000))), """")
)
"),5.666666666666667)</f>
        <v>5.666666667</v>
      </c>
      <c r="X6" s="73"/>
      <c r="Y6" s="73" t="str">
        <f>IFERROR(__xludf.DUMMYFUNCTION("""COMPUTED_VALUE"""),"pratiques de l'éducation")</f>
        <v>pratiques de l'éducation</v>
      </c>
      <c r="Z6" s="73">
        <f>COUNTIFS(data_num!D:D, Y6, data_num!K:K, 1)
</f>
        <v>6</v>
      </c>
      <c r="AA6" s="73">
        <f>IF(Z6=0,"",AVERAGEIFS(data_num!B:B, data_num!D:D, Y6, data_num!K:K, 1))
</f>
        <v>4.833333333</v>
      </c>
      <c r="AB6" s="77">
        <f>IF(Z6=0,"",AVERAGEIFS(data_num!C:C, data_num!D:D, Y6, data_num!K:K, 1))
</f>
        <v>6</v>
      </c>
      <c r="AC6" s="72">
        <f>IF(Z6=0,"",SUMIFS(data_num!L:L, data_num!D:D, Y6, data_num!K:K, 1)/Z6)
</f>
        <v>0.5</v>
      </c>
      <c r="AD6" s="73">
        <f>IF(Z6=0,"",SUMIFS(data_num!L:L, data_num!D:D, Y6, data_num!K:K, 1)/Z6)
</f>
        <v>0.5</v>
      </c>
      <c r="AE6" s="73"/>
      <c r="AF6" s="72">
        <f>IFERROR(__xludf.DUMMYFUNCTION("""COMPUTED_VALUE"""),6.0)</f>
        <v>6</v>
      </c>
      <c r="AG6" s="75" t="str">
        <f>IFERROR(__xludf.DUMMYFUNCTION("""COMPUTED_VALUE"""),"environnement")</f>
        <v>environnement</v>
      </c>
      <c r="AH6" s="73">
        <f>IFERROR(__xludf.DUMMYFUNCTION("""COMPUTED_VALUE"""),7.0)</f>
        <v>7</v>
      </c>
      <c r="AI6" s="77">
        <f>IFERROR(__xludf.DUMMYFUNCTION("""COMPUTED_VALUE"""),8.0)</f>
        <v>8</v>
      </c>
      <c r="AJ6" s="73">
        <f>IFERROR(__xludf.DUMMYFUNCTION("""COMPUTED_VALUE"""),3.605551275463989)</f>
        <v>3.605551275</v>
      </c>
      <c r="AK6" s="73"/>
      <c r="AL6" s="73"/>
      <c r="AM6" s="73"/>
      <c r="AN6" s="73"/>
      <c r="AO6" s="73"/>
      <c r="AP6" s="77"/>
      <c r="AQ6" s="72"/>
      <c r="AR6" s="73"/>
      <c r="AS6" s="73"/>
      <c r="AT6" s="73"/>
      <c r="AU6" s="73"/>
      <c r="AV6" s="73"/>
      <c r="AW6" s="73"/>
      <c r="AX6" s="77"/>
      <c r="AY6" s="77"/>
    </row>
    <row r="7" ht="16.5" customHeight="1">
      <c r="A7" s="72">
        <f>COUNT(data_num!A45:A1000)
</f>
        <v>5</v>
      </c>
      <c r="B7" s="73">
        <f>AVERAGE(data_num!B45:B1000)
</f>
        <v>4.4</v>
      </c>
      <c r="C7" s="74">
        <f>AVERAGE(data_num!C45:C1000)
</f>
        <v>5.8</v>
      </c>
      <c r="D7" s="73">
        <f>COUNTIFS(data_num!B45:B1000,"&gt;5", data_num!C45:C1000,"&gt;5")/COUNT(data_num!A45:A1000)
</f>
        <v>0.4</v>
      </c>
      <c r="E7" s="74">
        <f>IFERROR(__xludf.DUMMYFUNCTION("IFERROR(
  IF(
    OR(
      ROWS(FILTER(data_num!B45:B1000, ISNUMBER(data_num!B45:B1000), ISNUMBER(data_num!C45:C1000)))&lt;2,
      STDEV.S(FILTER(data_num!B45:B1000, ISNUMBER(data_num!B45:B1000), ISNUMBER(data_num!C45:C1000)))=0,
      STDEV.S(FILTER(data"&amp;"_num!C45:C1000, ISNUMBER(data_num!B45:B1000), ISNUMBER(data_num!C45:C1000)))=0
    ),
    """",
    CORREL(
      FILTER(data_num!B45:B1000, ISNUMBER(data_num!B45:B1000), ISNUMBER(data_num!C45:C1000)),
      FILTER(data_num!C45:C1000, ISNUMBER(data_num!B4"&amp;"5:B1000), ISNUMBER(data_num!C45:C1000))
    )
  ),
"""")
"),0.8993063354231096)</f>
        <v>0.8993063354</v>
      </c>
      <c r="F7" s="73">
        <f>MEDIAN(data_num!B45:B1000)
</f>
        <v>3</v>
      </c>
      <c r="G7" s="73">
        <f>MEDIAN(data_num!C45:C1000)
</f>
        <v>6</v>
      </c>
      <c r="H7" s="73"/>
      <c r="I7" s="72">
        <f>IFERROR(__xludf.DUMMYFUNCTION("""COMPUTED_VALUE"""),17.0)</f>
        <v>17</v>
      </c>
      <c r="J7" s="73">
        <f>IFERROR(__xludf.DUMMYFUNCTION("""COMPUTED_VALUE"""),8.0)</f>
        <v>8</v>
      </c>
      <c r="K7" s="73">
        <f>IFERROR(__xludf.DUMMYFUNCTION("""COMPUTED_VALUE"""),7.0)</f>
        <v>7</v>
      </c>
      <c r="L7" s="75" t="str">
        <f>IFERROR(__xludf.DUMMYFUNCTION("""COMPUTED_VALUE"""),"environnement")</f>
        <v>environnement</v>
      </c>
      <c r="M7" s="73" t="str">
        <f>IFERROR(__xludf.DUMMYFUNCTION("""COMPUTED_VALUE"""),"Bonne mère et botanique. Jéricho, a curious 12-year-old boy with warm brown skin and tousled curls, wearing an oversized pair of glasses and a worn backpack, holds his phone up to photograph an unusual plant. Beside him stands a gentle, androgynous bio-tu"&amp;"tor in a moss-green biodegradable jumpsuit, gesturing toward a glowing hybrid vine. Around them, a small, diverse group of students—different ethnicities, genders, and styles—kneel or crouch, sketching in handmade notebooks or tapping on weathered tablets"&amp;". Composition : Medium shot framed from a slight low angle, with Jéricho centered in the foreground actively using his phone. The bio-tutor appears softly blurred in the background, guiding another student, while the surrounding ruins and emerging greener"&amp;"y create a layered, immersive environment. Action : Jéricho is capturing a photo of a softly glowing, serrated-leaf plant sprouting from a crack in sun-bleached limestone. His phone screen displays a minimalist interface reading “Non-toxic — Edible.” Near"&amp;"by, a student gently touches bioluminescent lichen growing over the weathered stone of an old Marseille calanque wall, while another sniffs a flower with crystalline petals. Location : At ground level in the overgrown ruins of a once-modern neighborhood i"&amp;"n Marseille, where urban decay meets Mediterranean wilderness. Crumbling buildings with faded pastel facades and wrought-iron balconies are entwined with wild fennel, caper bushes, and resilient pines. In the distance, the silhouette of Notre-Dame de la G"&amp;"arde’s bell tower peeks above the rooftops, softened by haze. The ground is a patchwork of fractured asphalt, wild grass, and the region’s characteristic pale limestone rubble* now carpeted in humus and luminous moss. Sunlight—bright, clear, and distinctl"&amp;"y Provençal—filters through broken shutters and olive branches. Style : Soft pastel color palette inspired by Studio Ghibli films—warm ochres, sea-salt blues, sage greens, dusty lavenders, and creamy whites—with delicate watercolor-like textures and gentl"&amp;"e, expressive linework. The aesthetic is dreamy, poetic, and serene, avoiding sharp edges or hyper-realism. Emphasis on organic forms, subtle glowing flora, and the hazy golden light unique to the Mediterranean coast. Editing Instructions : Absolutely no "&amp;"photorealistic rendering; maintain a hand-painted, soft-focus illustration style. ; Include subtle but recognizable Marseille elements: sun-bleached limestone blocks, Mediterranean scrub vegetation (like wild fennel or capers), and the distant outline of "&amp;"Notre-Dame de la Garde without making it dominant. ; Keep tech minimal and unobtrusive—Jéricho’s phone should look functional but simple, with no logos.   ; Design hybrid flora to feel native to a Mediterranean climate: e.g., glowing sage-like leaves, cry"&amp;"stalline sea lavender, or mushrooms mimicking sea urchins.  ; Ensure the overall mood remains inclusive, tender, and ageless—appealing to children, teens, and adults alike, with a sense of quiet hope and ecological renewal rooted in Marseille’s unique lan"&amp;"dscape. This version honors Marseille’s geology, flora, and iconic skyline while keeping the focus on your story’s themes of rewilding, curiosity, and intergenerational learning—all wrapped in a soft, Miyazaki-esque visual poem.")</f>
        <v>Bonne mère et botanique. Jéricho, a curious 12-year-old boy with warm brown skin and tousled curls, wearing an oversized pair of glasses and a worn backpack, holds his phone up to photograph an unusual plant. Beside him stands a gentle, androgynous bio-tutor in a moss-green biodegradable jumpsuit, gesturing toward a glowing hybrid vine. Around them, a small, diverse group of students—different ethnicities, genders, and styles—kneel or crouch, sketching in handmade notebooks or tapping on weathered tablets. Composition : Medium shot framed from a slight low angle, with Jéricho centered in the foreground actively using his phone. The bio-tutor appears softly blurred in the background, guiding another student, while the surrounding ruins and emerging greenery create a layered, immersive environment. Action : Jéricho is capturing a photo of a softly glowing, serrated-leaf plant sprouting from a crack in sun-bleached limestone. His phone screen displays a minimalist interface reading “Non-toxic — Edible.” Nearby, a student gently touches bioluminescent lichen growing over the weathered stone of an old Marseille calanque wall, while another sniffs a flower with crystalline petals. Location : At ground level in the overgrown ruins of a once-modern neighborhood in Marseille, where urban decay meets Mediterranean wilderness. Crumbling buildings with faded pastel facades and wrought-iron balconies are entwined with wild fennel, caper bushes, and resilient pines. In the distance, the silhouette of Notre-Dame de la Garde’s bell tower peeks above the rooftops, softened by haze. The ground is a patchwork of fractured asphalt, wild grass, and the region’s characteristic pale limestone rubble* now carpeted in humus and luminous moss. Sunlight—bright, clear, and distinctly Provençal—filters through broken shutters and olive branches. Style : Soft pastel color palette inspired by Studio Ghibli films—warm ochres, sea-salt blues, sage greens, dusty lavenders, and creamy whites—with delicate watercolor-like textures and gentle, expressive linework. The aesthetic is dreamy, poetic, and serene, avoiding sharp edges or hyper-realism. Emphasis on organic forms, subtle glowing flora, and the hazy golden light unique to the Mediterranean coast. Editing Instructions : Absolutely no photorealistic rendering; maintain a hand-painted, soft-focus illustration style. ; Include subtle but recognizable Marseille elements: sun-bleached limestone blocks, Mediterranean scrub vegetation (like wild fennel or capers), and the distant outline of Notre-Dame de la Garde without making it dominant. ; Keep tech minimal and unobtrusive—Jéricho’s phone should look functional but simple, with no logos.   ; Design hybrid flora to feel native to a Mediterranean climate: e.g., glowing sage-like leaves, crystalline sea lavender, or mushrooms mimicking sea urchins.  ; Ensure the overall mood remains inclusive, tender, and ageless—appealing to children, teens, and adults alike, with a sense of quiet hope and ecological renewal rooted in Marseille’s unique landscape. This version honors Marseille’s geology, flora, and iconic skyline while keeping the focus on your story’s themes of rewilding, curiosity, and intergenerational learning—all wrapped in a soft, Miyazaki-esque visual poem.</v>
      </c>
      <c r="N7" s="75" t="str">
        <f>IFERROR(__xludf.DUMMYFUNCTION("""COMPUTED_VALUE"""),"Jéricho, a curious 12-year-old boy with warm brown skin and tousled curls, wearing an oversized pair of glasses and a worn backpack, holds his phone up to photograph an unusual plant. Beside him stands a gentle, androgynous bio-tutor in a moss-green biode"&amp;"gradable jumpsuit, gesturing toward a glowing hybrid vine. Around them, a small, diverse group of students—different ethnicities, genders, and styles—kneel or crouch, sketching in handmade notebooks or tapping on weathered tablets. Composition : Medium sh"&amp;"ot framed from a slight low angle, with Jéricho centered in the foreground actively using his phone. The bio-tutor appears softly blurred in the background, guiding another student, while the surrounding ruins and emerging greenery create a layered, immer"&amp;"sive environment. Action : Jéricho is capturing a photo of a softly glowing, serrated-leaf plant sprouting from a crack in sun-bleached limestone. His phone screen displays a minimalist interface reading “Non-toxic — Edible.” Nearby, a student gently touc"&amp;"hes bioluminescent lichen growing over the weathered stone of an old Marseille calanque wall, while another sniffs a flower with crystalline petals. Location : At ground level in the overgrown ruins of a once-modern neighborhood in Marseille, where urban "&amp;"decay meets Mediterranean wilderness. Crumbling buildings with faded pastel facades and wrought-iron balconies are entwined with wild fennel, caper bushes, and resilient pines. In the distance, the silhouette of Notre-Dame de la Garde’s bell tower peeks a"&amp;"bove the rooftops, softened by haze. The ground is a patchwork of fractured asphalt, wild grass, and the region’s characteristic pale limestone rubble* now carpeted in humus and luminous moss. Sunlight—bright, clear, and distinctly Provençal—filters throu"&amp;"gh broken shutters and olive branches. Style : Soft pastel color palette inspired by Studio Ghibli films—warm ochres, sea-salt blues, sage greens, dusty lavenders, and creamy whites—with delicate watercolor-like textures and gentle, expressive linework. T"&amp;"he aesthetic is dreamy, poetic, and serene, avoiding sharp edges or hyper-realism. Emphasis on organic forms, subtle glowing flora, and the hazy golden light unique to the Mediterranean coast. Editing Instructions : Absolutely no photorealistic rendering;"&amp;" maintain a hand-painted, soft-focus illustration style. ; Include subtle but recognizable Marseille elements: sun-bleached limestone blocks, Mediterranean scrub vegetation (like wild fennel or capers), and the distant outline of Notre-Dame de la Garde wi"&amp;"thout making it dominant. ; Keep tech minimal and unobtrusive—Jéricho’s phone should look functional but simple, with no logos.   ; Design hybrid flora to feel native to a Mediterranean climate: e.g., glowing sage-like leaves, crystalline sea lavender, or"&amp;" mushrooms mimicking sea urchins.  ; Ensure the overall mood remains inclusive, tender, and ageless—appealing to children, teens, and adults alike, with a sense of quiet hope and ecological renewal rooted in Marseille’s unique landscape. This version hono"&amp;"rs Marseille’s geology, flora, and iconic skyline while keeping the focus on your story’s themes of rewilding, curiosity, and intergenerational learning—all wrapped in a soft, Miyazaki-esque visual poem.")</f>
        <v>Jéricho, a curious 12-year-old boy with warm brown skin and tousled curls, wearing an oversized pair of glasses and a worn backpack, holds his phone up to photograph an unusual plant. Beside him stands a gentle, androgynous bio-tutor in a moss-green biodegradable jumpsuit, gesturing toward a glowing hybrid vine. Around them, a small, diverse group of students—different ethnicities, genders, and styles—kneel or crouch, sketching in handmade notebooks or tapping on weathered tablets. Composition : Medium shot framed from a slight low angle, with Jéricho centered in the foreground actively using his phone. The bio-tutor appears softly blurred in the background, guiding another student, while the surrounding ruins and emerging greenery create a layered, immersive environment. Action : Jéricho is capturing a photo of a softly glowing, serrated-leaf plant sprouting from a crack in sun-bleached limestone. His phone screen displays a minimalist interface reading “Non-toxic — Edible.” Nearby, a student gently touches bioluminescent lichen growing over the weathered stone of an old Marseille calanque wall, while another sniffs a flower with crystalline petals. Location : At ground level in the overgrown ruins of a once-modern neighborhood in Marseille, where urban decay meets Mediterranean wilderness. Crumbling buildings with faded pastel facades and wrought-iron balconies are entwined with wild fennel, caper bushes, and resilient pines. In the distance, the silhouette of Notre-Dame de la Garde’s bell tower peeks above the rooftops, softened by haze. The ground is a patchwork of fractured asphalt, wild grass, and the region’s characteristic pale limestone rubble* now carpeted in humus and luminous moss. Sunlight—bright, clear, and distinctly Provençal—filters through broken shutters and olive branches. Style : Soft pastel color palette inspired by Studio Ghibli films—warm ochres, sea-salt blues, sage greens, dusty lavenders, and creamy whites—with delicate watercolor-like textures and gentle, expressive linework. The aesthetic is dreamy, poetic, and serene, avoiding sharp edges or hyper-realism. Emphasis on organic forms, subtle glowing flora, and the hazy golden light unique to the Mediterranean coast. Editing Instructions : Absolutely no photorealistic rendering; maintain a hand-painted, soft-focus illustration style. ; Include subtle but recognizable Marseille elements: sun-bleached limestone blocks, Mediterranean scrub vegetation (like wild fennel or capers), and the distant outline of Notre-Dame de la Garde without making it dominant. ; Keep tech minimal and unobtrusive—Jéricho’s phone should look functional but simple, with no logos.   ; Design hybrid flora to feel native to a Mediterranean climate: e.g., glowing sage-like leaves, crystalline sea lavender, or mushrooms mimicking sea urchins.  ; Ensure the overall mood remains inclusive, tender, and ageless—appealing to children, teens, and adults alike, with a sense of quiet hope and ecological renewal rooted in Marseille’s unique landscape. This version honors Marseille’s geology, flora, and iconic skyline while keeping the focus on your story’s themes of rewilding, curiosity, and intergenerational learning—all wrapped in a soft, Miyazaki-esque visual poem.</v>
      </c>
      <c r="O7" s="76" t="str">
        <f>IFERROR(__xludf.DUMMYFUNCTION("""COMPUTED_VALUE"""),"https://drive.google.com/file/d/154bzBdwZXMEl-EzjHTVWFl8pVf1NjJWU/view?usp=drive_link")</f>
        <v>https://drive.google.com/file/d/154bzBdwZXMEl-EzjHTVWFl8pVf1NjJWU/view?usp=drive_link</v>
      </c>
      <c r="P7" s="75" t="str">
        <f>IFERROR(__xludf.DUMMYFUNCTION("""COMPUTED_VALUE"""),"nano banana")</f>
        <v>nano banana</v>
      </c>
      <c r="Q7" s="73">
        <f>IFERROR(__xludf.DUMMYFUNCTION("""COMPUTED_VALUE"""),3.605551275463989)</f>
        <v>3.605551275</v>
      </c>
      <c r="R7" s="75"/>
      <c r="S7" s="73"/>
      <c r="T7" s="72">
        <f>IFERROR(__xludf.DUMMYFUNCTION("""COMPUTED_VALUE"""),5.0)</f>
        <v>5</v>
      </c>
      <c r="U7" s="77">
        <f>IFERROR(__xludf.DUMMYFUNCTION("IFERROR(
  ROWS(FILTER(data_num!A7:A1000, (data_num!E7:E1000&amp;"""")=(T7&amp;""""), ISNUMBER(data_num!B7:B1000), ISNUMBER(data_num!C7:C1000))),
  0
)
"),3.0)</f>
        <v>3</v>
      </c>
      <c r="V7" s="72">
        <f>IFERROR(__xludf.DUMMYFUNCTION("IF(U7=0, """",
  IFERROR(AVERAGE(FILTER(data_num!B7:B1000, (data_num!E7:E1000&amp;"""")=(T7&amp;""""), ISNUMBER(data_num!B7:B1000), ISNUMBER(data_num!C7:C1000))), """")
)
"),2.3333333333333335)</f>
        <v>2.333333333</v>
      </c>
      <c r="W7" s="73">
        <f>IFERROR(__xludf.DUMMYFUNCTION("IF(U7=0, """",
  IFERROR(AVERAGE(FILTER(data_num!C7:C1000, (data_num!E7:E1000&amp;"""")=(T7&amp;""""), ISNUMBER(data_num!B7:B1000), ISNUMBER(data_num!C7:C1000))), """")
)
"),1.6666666666666667)</f>
        <v>1.666666667</v>
      </c>
      <c r="X7" s="73"/>
      <c r="Y7" s="73"/>
      <c r="Z7" s="73"/>
      <c r="AA7" s="73" t="str">
        <f>IF(Z7=0,"",AVERAGEIFS(data_num!B:B, data_num!D:D, Y7, data_num!K:K, 1))
</f>
        <v/>
      </c>
      <c r="AB7" s="77" t="str">
        <f>IF(Z7=0,"",AVERAGEIFS(data_num!C:C, data_num!D:D, Y7, data_num!K:K, 1))
</f>
        <v/>
      </c>
      <c r="AC7" s="72" t="str">
        <f>IF(Z7=0,"",SUMIFS(data_num!L:L, data_num!D:D, Y7, data_num!K:K, 1)/Z7)
</f>
        <v/>
      </c>
      <c r="AD7" s="73" t="str">
        <f>IF(Z7=0,"",SUMIFS(data_num!L:L, data_num!D:D, Y7, data_num!K:K, 1)/Z7)
</f>
        <v/>
      </c>
      <c r="AE7" s="73"/>
      <c r="AF7" s="72">
        <f>IFERROR(__xludf.DUMMYFUNCTION("""COMPUTED_VALUE"""),9.0)</f>
        <v>9</v>
      </c>
      <c r="AG7" s="75" t="str">
        <f>IFERROR(__xludf.DUMMYFUNCTION("""COMPUTED_VALUE"""),"environnement")</f>
        <v>environnement</v>
      </c>
      <c r="AH7" s="73">
        <f>IFERROR(__xludf.DUMMYFUNCTION("""COMPUTED_VALUE"""),7.0)</f>
        <v>7</v>
      </c>
      <c r="AI7" s="77">
        <f>IFERROR(__xludf.DUMMYFUNCTION("""COMPUTED_VALUE"""),8.0)</f>
        <v>8</v>
      </c>
      <c r="AJ7" s="73">
        <f>IFERROR(__xludf.DUMMYFUNCTION("""COMPUTED_VALUE"""),3.605551275463989)</f>
        <v>3.605551275</v>
      </c>
      <c r="AK7" s="73"/>
      <c r="AL7" s="73"/>
      <c r="AM7" s="73"/>
      <c r="AN7" s="73"/>
      <c r="AO7" s="73"/>
      <c r="AP7" s="77"/>
      <c r="AQ7" s="72"/>
      <c r="AR7" s="73"/>
      <c r="AS7" s="73"/>
      <c r="AT7" s="73"/>
      <c r="AU7" s="73"/>
      <c r="AV7" s="73"/>
      <c r="AW7" s="73"/>
      <c r="AX7" s="77"/>
      <c r="AY7" s="77"/>
    </row>
    <row r="8" ht="16.5" customHeight="1">
      <c r="A8" s="72">
        <f>COUNT(data_num!A44:A1000)
</f>
        <v>6</v>
      </c>
      <c r="B8" s="73">
        <f>AVERAGE(data_num!B44:B1000)
</f>
        <v>4.833333333</v>
      </c>
      <c r="C8" s="74">
        <f>AVERAGE(data_num!C44:C1000)
</f>
        <v>6</v>
      </c>
      <c r="D8" s="73">
        <f>COUNTIFS(data_num!B44:B1000,"&gt;5", data_num!C44:C1000,"&gt;5")/COUNT(data_num!A44:A1000)
</f>
        <v>0.5</v>
      </c>
      <c r="E8" s="74">
        <f>IFERROR(__xludf.DUMMYFUNCTION("IFERROR(
  IF(
    OR(
      ROWS(FILTER(data_num!B44:B1000, ISNUMBER(data_num!B44:B1000), ISNUMBER(data_num!C44:C1000)))&lt;2,
      STDEV.S(FILTER(data_num!B44:B1000, ISNUMBER(data_num!B44:B1000), ISNUMBER(data_num!C44:C1000)))=0,
      STDEV.S(FILTER(data"&amp;"_num!C44:C1000, ISNUMBER(data_num!B44:B1000), ISNUMBER(data_num!C44:C1000)))=0
    ),
    """",
    CORREL(
      FILTER(data_num!B44:B1000, ISNUMBER(data_num!B44:B1000), ISNUMBER(data_num!C44:C1000)),
      FILTER(data_num!C44:C1000, ISNUMBER(data_num!B4"&amp;"4:B1000), ISNUMBER(data_num!C44:C1000))
    )
  ),
"""")
"),0.9052963887221629)</f>
        <v>0.9052963887</v>
      </c>
      <c r="F8" s="73">
        <f>MEDIAN(data_num!B44:B1000)
</f>
        <v>5</v>
      </c>
      <c r="G8" s="73">
        <f>MEDIAN(data_num!C44:C1000)
</f>
        <v>6.5</v>
      </c>
      <c r="H8" s="73"/>
      <c r="I8" s="72">
        <f>IFERROR(__xludf.DUMMYFUNCTION("""COMPUTED_VALUE"""),37.0)</f>
        <v>37</v>
      </c>
      <c r="J8" s="73">
        <f>IFERROR(__xludf.DUMMYFUNCTION("""COMPUTED_VALUE"""),6.0)</f>
        <v>6</v>
      </c>
      <c r="K8" s="73">
        <f>IFERROR(__xludf.DUMMYFUNCTION("""COMPUTED_VALUE"""),8.0)</f>
        <v>8</v>
      </c>
      <c r="L8" s="75" t="str">
        <f>IFERROR(__xludf.DUMMYFUNCTION("""COMPUTED_VALUE"""),"pour tous et pour toutes")</f>
        <v>pour tous et pour toutes</v>
      </c>
      <c r="M8" s="73" t="str">
        <f>IFERROR(__xludf.DUMMYFUNCTION("""COMPUTED_VALUE"""),"L'Agora de la Connaissance, Unie et Augmentée. Dans une agora de village, des équipes d'élèves, dont un enfant utilise un dispositif de mobilité avancé, collaborent autour d'une table interactive pour simuler la résolution d'une crise environnementale. L'"&amp;"enseignant, au centre, orchestre les débats, tandis que l'architecture ouverte Solarpunk favorise l'échange continu et l'inclusion totale.")</f>
        <v>L'Agora de la Connaissance, Unie et Augmentée. Dans une agora de village, des équipes d'élèves, dont un enfant utilise un dispositif de mobilité avancé, collaborent autour d'une table interactive pour simuler la résolution d'une crise environnementale. L'enseignant, au centre, orchestre les débats, tandis que l'architecture ouverte Solarpunk favorise l'échange continu et l'inclusion totale.</v>
      </c>
      <c r="N8" s="75" t="str">
        <f>IFERROR(__xludf.DUMMYFUNCTION("""COMPUTED_VALUE"""),"A hyperrealistic, cinematic photograph (35mm sensor, realistic, warm lighting). A diverse group of four students is huddled around a large, luminous, kinetic table in an ancient Mediterranean stone hall. A child, seated in a sleek, modern, advanced mobili"&amp;"ty device, is actively gesturing at a vibrant, three-dimensional holographic map projected onto the table's surface. Two other students are engaged in intense discussion, pointing at the data. An inspiring teacher, standing slightly behind the group, watc"&amp;"hes with encouragement. The architecture is a blend of old stone walls and modern Solarpunk glass elements, with sunlight streaming through large arches. The scene emphasizes teamwork and full inclusion.")</f>
        <v>A hyperrealistic, cinematic photograph (35mm sensor, realistic, warm lighting). A diverse group of four students is huddled around a large, luminous, kinetic table in an ancient Mediterranean stone hall. A child, seated in a sleek, modern, advanced mobility device, is actively gesturing at a vibrant, three-dimensional holographic map projected onto the table's surface. Two other students are engaged in intense discussion, pointing at the data. An inspiring teacher, standing slightly behind the group, watches with encouragement. The architecture is a blend of old stone walls and modern Solarpunk glass elements, with sunlight streaming through large arches. The scene emphasizes teamwork and full inclusion.</v>
      </c>
      <c r="O8" s="76" t="str">
        <f>IFERROR(__xludf.DUMMYFUNCTION("""COMPUTED_VALUE"""),"https://drive.google.com/file/d/1Lr9SslLSCLNQBkbqwTZ-NrJssOB9eTC4/view?usp=sharing")</f>
        <v>https://drive.google.com/file/d/1Lr9SslLSCLNQBkbqwTZ-NrJssOB9eTC4/view?usp=sharing</v>
      </c>
      <c r="P8" s="75" t="str">
        <f>IFERROR(__xludf.DUMMYFUNCTION("""COMPUTED_VALUE"""),"nano banana")</f>
        <v>nano banana</v>
      </c>
      <c r="Q8" s="73">
        <f>IFERROR(__xludf.DUMMYFUNCTION("""COMPUTED_VALUE"""),4.47213595499958)</f>
        <v>4.472135955</v>
      </c>
      <c r="R8" s="75"/>
      <c r="S8" s="73"/>
      <c r="T8" s="72">
        <f>IFERROR(__xludf.DUMMYFUNCTION("""COMPUTED_VALUE"""),6.0)</f>
        <v>6</v>
      </c>
      <c r="U8" s="77">
        <f>IFERROR(__xludf.DUMMYFUNCTION("IFERROR(
  ROWS(FILTER(data_num!A8:A1000, (data_num!E8:E1000&amp;"""")=(T8&amp;""""), ISNUMBER(data_num!B8:B1000), ISNUMBER(data_num!C8:C1000))),
  0
)
"),3.0)</f>
        <v>3</v>
      </c>
      <c r="V8" s="72">
        <f>IFERROR(__xludf.DUMMYFUNCTION("IF(U8=0, """",
  IFERROR(AVERAGE(FILTER(data_num!B8:B1000, (data_num!E8:E1000&amp;"""")=(T8&amp;""""), ISNUMBER(data_num!B8:B1000), ISNUMBER(data_num!C8:C1000))), """")
)
"),2.3333333333333335)</f>
        <v>2.333333333</v>
      </c>
      <c r="W8" s="73">
        <f>IFERROR(__xludf.DUMMYFUNCTION("IF(U8=0, """",
  IFERROR(AVERAGE(FILTER(data_num!C8:C1000, (data_num!E8:E1000&amp;"""")=(T8&amp;""""), ISNUMBER(data_num!B8:B1000), ISNUMBER(data_num!C8:C1000))), """")
)
"),6.0)</f>
        <v>6</v>
      </c>
      <c r="X8" s="74"/>
      <c r="Y8" s="74"/>
      <c r="Z8" s="73"/>
      <c r="AA8" s="73" t="str">
        <f>IF(Z8=0,"",AVERAGEIFS(data_num!B:B, data_num!D:D, Y8, data_num!K:K, 1))
</f>
        <v/>
      </c>
      <c r="AB8" s="77" t="str">
        <f>IF(Z8=0,"",AVERAGEIFS(data_num!C:C, data_num!D:D, Y8, data_num!K:K, 1))
</f>
        <v/>
      </c>
      <c r="AC8" s="72" t="str">
        <f>IF(Z8=0,"",SUMIFS(data_num!L:L, data_num!D:D, Y8, data_num!K:K, 1)/Z8)
</f>
        <v/>
      </c>
      <c r="AD8" s="73" t="str">
        <f>IF(Z7=0,"",SUMIFS(data_num!L:L, data_num!D:D, Y7, data_num!K:K, 1)/Z7)
</f>
        <v/>
      </c>
      <c r="AE8" s="73"/>
      <c r="AF8" s="72">
        <f>IFERROR(__xludf.DUMMYFUNCTION("""COMPUTED_VALUE"""),17.0)</f>
        <v>17</v>
      </c>
      <c r="AG8" s="75" t="str">
        <f>IFERROR(__xludf.DUMMYFUNCTION("""COMPUTED_VALUE"""),"environnement")</f>
        <v>environnement</v>
      </c>
      <c r="AH8" s="73">
        <f>IFERROR(__xludf.DUMMYFUNCTION("""COMPUTED_VALUE"""),8.0)</f>
        <v>8</v>
      </c>
      <c r="AI8" s="77">
        <f>IFERROR(__xludf.DUMMYFUNCTION("""COMPUTED_VALUE"""),7.0)</f>
        <v>7</v>
      </c>
      <c r="AJ8" s="73">
        <f>IFERROR(__xludf.DUMMYFUNCTION("""COMPUTED_VALUE"""),3.605551275463989)</f>
        <v>3.605551275</v>
      </c>
      <c r="AK8" s="73"/>
      <c r="AL8" s="73"/>
      <c r="AM8" s="73"/>
      <c r="AN8" s="73"/>
      <c r="AO8" s="73"/>
      <c r="AP8" s="77"/>
      <c r="AQ8" s="72"/>
      <c r="AR8" s="73"/>
      <c r="AS8" s="73"/>
      <c r="AT8" s="73"/>
      <c r="AU8" s="73"/>
      <c r="AV8" s="73"/>
      <c r="AW8" s="73"/>
      <c r="AX8" s="77"/>
      <c r="AY8" s="77"/>
    </row>
    <row r="9" ht="16.5" customHeight="1">
      <c r="A9" s="72">
        <f>COUNT(data_num!A43:A1000)
</f>
        <v>7</v>
      </c>
      <c r="B9" s="73">
        <f>AVERAGE(data_num!B43:B1000)
</f>
        <v>4.857142857</v>
      </c>
      <c r="C9" s="74">
        <f>AVERAGE(data_num!C43:C1000)
</f>
        <v>5.857142857</v>
      </c>
      <c r="D9" s="73">
        <f>COUNTIFS(data_num!B43:B1000,"&gt;5", data_num!C43:C1000,"&gt;5")/COUNT(data_num!A43:A1000)
</f>
        <v>0.4285714286</v>
      </c>
      <c r="E9" s="74">
        <f>IFERROR(__xludf.DUMMYFUNCTION("IFERROR(
  IF(
    OR(
      ROWS(FILTER(data_num!B43:B1000, ISNUMBER(data_num!B43:B1000), ISNUMBER(data_num!C43:C1000)))&lt;2,
      STDEV.S(FILTER(data_num!B43:B1000, ISNUMBER(data_num!B43:B1000), ISNUMBER(data_num!C43:C1000)))=0,
      STDEV.S(FILTER(data"&amp;"_num!C43:C1000, ISNUMBER(data_num!B43:B1000), ISNUMBER(data_num!C43:C1000)))=0
    ),
    """",
    CORREL(
      FILTER(data_num!B43:B1000, ISNUMBER(data_num!B43:B1000), ISNUMBER(data_num!C43:C1000)),
      FILTER(data_num!C43:C1000, ISNUMBER(data_num!B4"&amp;"3:B1000), ISNUMBER(data_num!C43:C1000))
    )
  ),
"""")
"),0.878374401440249)</f>
        <v>0.8783744014</v>
      </c>
      <c r="F9" s="73">
        <f>MEDIAN(data_num!B43:B1000)
</f>
        <v>5</v>
      </c>
      <c r="G9" s="73">
        <f>MEDIAN(data_num!C43:C1000)
</f>
        <v>6</v>
      </c>
      <c r="H9" s="73"/>
      <c r="I9" s="72">
        <f>IFERROR(__xludf.DUMMYFUNCTION("""COMPUTED_VALUE"""),38.0)</f>
        <v>38</v>
      </c>
      <c r="J9" s="73">
        <f>IFERROR(__xludf.DUMMYFUNCTION("""COMPUTED_VALUE"""),8.0)</f>
        <v>8</v>
      </c>
      <c r="K9" s="73">
        <f>IFERROR(__xludf.DUMMYFUNCTION("""COMPUTED_VALUE"""),8.0)</f>
        <v>8</v>
      </c>
      <c r="L9" s="75" t="str">
        <f>IFERROR(__xludf.DUMMYFUNCTION("""COMPUTED_VALUE"""),"pour tous et pour toutes")</f>
        <v>pour tous et pour toutes</v>
      </c>
      <c r="M9" s="73" t="str">
        <f>IFERROR(__xludf.DUMMYFUNCTION("""COMPUTED_VALUE"""),"Apprendre Ensemble, au-delà des Murs. Dans un futur où l'éducation transcende les cadres traditionnels, des groupes intergénérationnels explorent les écosystèmes côtiers, guidés par des intelligences collectives. Chaque individu contribue à la connaissanc"&amp;"e, créant un savoir dynamique et partagé, respectueux des cycles naturels et des savoirs ancestraux.")</f>
        <v>Apprendre Ensemble, au-delà des Murs. Dans un futur où l'éducation transcende les cadres traditionnels, des groupes intergénérationnels explorent les écosystèmes côtiers, guidés par des intelligences collectives. Chaque individu contribue à la connaissance, créant un savoir dynamique et partagé, respectueux des cycles naturels et des savoirs ancestraux.</v>
      </c>
      <c r="N9" s="75" t="str">
        <f>IFERROR(__xludf.DUMMYFUNCTION("""COMPUTED_VALUE"""),"A wide shot of a Mediterranean rocky coastline. A small group of mixed-age learners, from children to elders, are gathered around a tidal pool. One central figure, a young woman, points to a specific marine organism with a glowing, transparent stylus, whi"&amp;"le others observe intently. They are all wearing simple, comfortable clothing made from natural fibers. The sunlight is bright and warm, reflecting off the calm, clear water. The overall atmosphere is one of peaceful exploration and shared discovery.")</f>
        <v>A wide shot of a Mediterranean rocky coastline. A small group of mixed-age learners, from children to elders, are gathered around a tidal pool. One central figure, a young woman, points to a specific marine organism with a glowing, transparent stylus, while others observe intently. They are all wearing simple, comfortable clothing made from natural fibers. The sunlight is bright and warm, reflecting off the calm, clear water. The overall atmosphere is one of peaceful exploration and shared discovery.</v>
      </c>
      <c r="O9" s="76" t="str">
        <f>IFERROR(__xludf.DUMMYFUNCTION("""COMPUTED_VALUE"""),"https://drive.google.com/file/d/1vPCEPoS_UCrkq4V12Nk7OCI60j-F71xG/view?usp=sharing")</f>
        <v>https://drive.google.com/file/d/1vPCEPoS_UCrkq4V12Nk7OCI60j-F71xG/view?usp=sharing</v>
      </c>
      <c r="P9" s="75" t="str">
        <f>IFERROR(__xludf.DUMMYFUNCTION("""COMPUTED_VALUE"""),"nano banana")</f>
        <v>nano banana</v>
      </c>
      <c r="Q9" s="73">
        <f>IFERROR(__xludf.DUMMYFUNCTION("""COMPUTED_VALUE"""),2.8284271247461903)</f>
        <v>2.828427125</v>
      </c>
      <c r="R9" s="75"/>
      <c r="S9" s="73"/>
      <c r="T9" s="72">
        <f>IFERROR(__xludf.DUMMYFUNCTION("""COMPUTED_VALUE"""),7.0)</f>
        <v>7</v>
      </c>
      <c r="U9" s="77">
        <f>IFERROR(__xludf.DUMMYFUNCTION("IFERROR(
  ROWS(FILTER(data_num!A9:A1000, (data_num!E9:E1000&amp;"""")=(T9&amp;""""), ISNUMBER(data_num!B9:B1000), ISNUMBER(data_num!C9:C1000))),
  0
)
"),2.0)</f>
        <v>2</v>
      </c>
      <c r="V9" s="72">
        <f>IFERROR(__xludf.DUMMYFUNCTION("IF(U9=0, """",
  IFERROR(AVERAGE(FILTER(data_num!B9:B1000, (data_num!E9:E1000&amp;"""")=(T9&amp;""""), ISNUMBER(data_num!B9:B1000), ISNUMBER(data_num!C9:C1000))), """")
)
"),3.5)</f>
        <v>3.5</v>
      </c>
      <c r="W9" s="73">
        <f>IFERROR(__xludf.DUMMYFUNCTION("IF(U9=0, """",
  IFERROR(AVERAGE(FILTER(data_num!C9:C1000, (data_num!E9:E1000&amp;"""")=(T9&amp;""""), ISNUMBER(data_num!B9:B1000), ISNUMBER(data_num!C9:C1000))), """")
)
"),3.0)</f>
        <v>3</v>
      </c>
      <c r="X9" s="74"/>
      <c r="Y9" s="74"/>
      <c r="Z9" s="73"/>
      <c r="AA9" s="73" t="str">
        <f>IF(Z9=0,"",AVERAGEIFS(data_num!B:B, data_num!D:D, Y9, data_num!K:K, 1))
</f>
        <v/>
      </c>
      <c r="AB9" s="77" t="str">
        <f>IF(Z9=0,"",AVERAGEIFS(data_num!C:C, data_num!D:D, Y9, data_num!K:K, 1))
</f>
        <v/>
      </c>
      <c r="AC9" s="72" t="str">
        <f>IF(Z9=0,"",SUMIFS(data_num!L:L, data_num!D:D, Y9, data_num!K:K, 1)/Z9)
</f>
        <v/>
      </c>
      <c r="AD9" s="73" t="str">
        <f>IF(Z8=0,"",SUMIFS(data_num!L:L, data_num!D:D, Y8, data_num!K:K, 1)/Z8)
</f>
        <v/>
      </c>
      <c r="AE9" s="73"/>
      <c r="AF9" s="72">
        <f>IFERROR(__xludf.DUMMYFUNCTION("""COMPUTED_VALUE"""),4.0)</f>
        <v>4</v>
      </c>
      <c r="AG9" s="75" t="str">
        <f>IFERROR(__xludf.DUMMYFUNCTION("""COMPUTED_VALUE"""),"environnement")</f>
        <v>environnement</v>
      </c>
      <c r="AH9" s="73">
        <f>IFERROR(__xludf.DUMMYFUNCTION("""COMPUTED_VALUE"""),6.0)</f>
        <v>6</v>
      </c>
      <c r="AI9" s="77">
        <f>IFERROR(__xludf.DUMMYFUNCTION("""COMPUTED_VALUE"""),9.0)</f>
        <v>9</v>
      </c>
      <c r="AJ9" s="73">
        <f>IFERROR(__xludf.DUMMYFUNCTION("""COMPUTED_VALUE"""),4.123105625617661)</f>
        <v>4.123105626</v>
      </c>
      <c r="AK9" s="73"/>
      <c r="AL9" s="73"/>
      <c r="AM9" s="73"/>
      <c r="AN9" s="73"/>
      <c r="AO9" s="73"/>
      <c r="AP9" s="77"/>
      <c r="AQ9" s="72"/>
      <c r="AR9" s="73"/>
      <c r="AS9" s="73"/>
      <c r="AT9" s="73"/>
      <c r="AU9" s="73"/>
      <c r="AV9" s="73"/>
      <c r="AW9" s="73"/>
      <c r="AX9" s="77"/>
      <c r="AY9" s="77"/>
    </row>
    <row r="10" ht="16.5" customHeight="1">
      <c r="A10" s="72">
        <f>COUNT(data_num!A42:A1000)
</f>
        <v>8</v>
      </c>
      <c r="B10" s="73">
        <f>AVERAGE(data_num!B42:B1000)
</f>
        <v>4.25</v>
      </c>
      <c r="C10" s="74">
        <f>AVERAGE(data_num!C42:C1000)
</f>
        <v>6.25</v>
      </c>
      <c r="D10" s="73">
        <f>COUNTIFS(data_num!B42:B1000,"&gt;5", data_num!C42:C1000,"&gt;5")/COUNT(data_num!A42:A1000)
</f>
        <v>0.375</v>
      </c>
      <c r="E10" s="74">
        <f>IFERROR(__xludf.DUMMYFUNCTION("IFERROR(
  IF(
    OR(
      ROWS(FILTER(data_num!B42:B1000, ISNUMBER(data_num!B42:B1000), ISNUMBER(data_num!C42:C1000)))&lt;2,
      STDEV.S(FILTER(data_num!B42:B1000, ISNUMBER(data_num!B42:B1000), ISNUMBER(data_num!C42:C1000)))=0,
      STDEV.S(FILTER(data"&amp;"_num!C42:C1000, ISNUMBER(data_num!B42:B1000), ISNUMBER(data_num!C42:C1000)))=0
    ),
    """",
    CORREL(
      FILTER(data_num!B42:B1000, ISNUMBER(data_num!B42:B1000), ISNUMBER(data_num!C42:C1000)),
      FILTER(data_num!C42:C1000, ISNUMBER(data_num!B4"&amp;"2:B1000), ISNUMBER(data_num!C42:C1000))
    )
  ),
"""")
"),0.4075946503160719)</f>
        <v>0.4075946503</v>
      </c>
      <c r="F10" s="73">
        <f>MEDIAN(data_num!B42:B1000)
</f>
        <v>4</v>
      </c>
      <c r="G10" s="73">
        <f>MEDIAN(data_num!C42:C1000)
</f>
        <v>6.5</v>
      </c>
      <c r="H10" s="73"/>
      <c r="I10" s="72">
        <f>IFERROR(__xludf.DUMMYFUNCTION("""COMPUTED_VALUE"""),43.0)</f>
        <v>43</v>
      </c>
      <c r="J10" s="73">
        <f>IFERROR(__xludf.DUMMYFUNCTION("""COMPUTED_VALUE"""),7.0)</f>
        <v>7</v>
      </c>
      <c r="K10" s="73">
        <f>IFERROR(__xludf.DUMMYFUNCTION("""COMPUTED_VALUE"""),7.0)</f>
        <v>7</v>
      </c>
      <c r="L10" s="75" t="str">
        <f>IFERROR(__xludf.DUMMYFUNCTION("""COMPUTED_VALUE"""),"pratiques de l'éducation")</f>
        <v>pratiques de l'éducation</v>
      </c>
      <c r="M10" s="73" t="str">
        <f>IFERROR(__xludf.DUMMYFUNCTION("""COMPUTED_VALUE"""),"Sauvetage Aquatique par Drone Pédagogique. Dans un bassin de formation en plein air, une monitrice guide un enfant qui pratique le massage cardiaque sur un mannequin de sauvetage connecté. Un drone aquatique de surveillance, l'Aqua-Secours, flotte à côté,"&amp;" simulant l'appel d'urgence et la localisation des victimes pour une préparation aux défis climatiques estivaux.")</f>
        <v>Sauvetage Aquatique par Drone Pédagogique. Dans un bassin de formation en plein air, une monitrice guide un enfant qui pratique le massage cardiaque sur un mannequin de sauvetage connecté. Un drone aquatique de surveillance, l'Aqua-Secours, flotte à côté, simulant l'appel d'urgence et la localisation des victimes pour une préparation aux défis climatiques estivaux.</v>
      </c>
      <c r="N10" s="75" t="str">
        <f>IFERROR(__xludf.DUMMYFUNCTION("""COMPUTED_VALUE"""),"Outdoor water safety class in the Mediterranean: A young student practices CPR on a connected rescue dummy floating near the edge of a turquoise pool. A water drone, the Aqua-Secours, hovers slightly above the water, projecting a small, holographic screen"&amp;" with a 3D map showing the emergency call signal. A life instructor, visible but in the background, monitors the student's performance via a tablet. Photorealistic, 35mm handheld, bright Mediterranean sunlight, high contrast, focus on the student and the "&amp;"drone's hologram.")</f>
        <v>Outdoor water safety class in the Mediterranean: A young student practices CPR on a connected rescue dummy floating near the edge of a turquoise pool. A water drone, the Aqua-Secours, hovers slightly above the water, projecting a small, holographic screen with a 3D map showing the emergency call signal. A life instructor, visible but in the background, monitors the student's performance via a tablet. Photorealistic, 35mm handheld, bright Mediterranean sunlight, high contrast, focus on the student and the drone's hologram.</v>
      </c>
      <c r="O10" s="76" t="str">
        <f>IFERROR(__xludf.DUMMYFUNCTION("""COMPUTED_VALUE"""),"https://drive.google.com/file/d/1L8MnDFa43xp-qFHMqiEA04KDYQMGhHt2/view?usp=drive_link")</f>
        <v>https://drive.google.com/file/d/1L8MnDFa43xp-qFHMqiEA04KDYQMGhHt2/view?usp=drive_link</v>
      </c>
      <c r="P10" s="75" t="str">
        <f>IFERROR(__xludf.DUMMYFUNCTION("""COMPUTED_VALUE"""),"flux schnell")</f>
        <v>flux schnell</v>
      </c>
      <c r="Q10" s="73">
        <f>IFERROR(__xludf.DUMMYFUNCTION("""COMPUTED_VALUE"""),4.242640687119285)</f>
        <v>4.242640687</v>
      </c>
      <c r="R10" s="75"/>
      <c r="S10" s="73"/>
      <c r="T10" s="72">
        <f>IFERROR(__xludf.DUMMYFUNCTION("""COMPUTED_VALUE"""),8.0)</f>
        <v>8</v>
      </c>
      <c r="U10" s="77">
        <f>IFERROR(__xludf.DUMMYFUNCTION("IFERROR(
  ROWS(FILTER(data_num!A10:A1000, (data_num!E10:E1000&amp;"""")=(T10&amp;""""), ISNUMBER(data_num!B10:B1000), ISNUMBER(data_num!C10:C1000))),
  0
)
"),1.0)</f>
        <v>1</v>
      </c>
      <c r="V10" s="72">
        <f>IFERROR(__xludf.DUMMYFUNCTION("IF(U10=0, """",
  IFERROR(AVERAGE(FILTER(data_num!B10:B1000, (data_num!E10:E1000&amp;"""")=(T10&amp;""""), ISNUMBER(data_num!B10:B1000), ISNUMBER(data_num!C10:C1000))), """")
)
"),3.0)</f>
        <v>3</v>
      </c>
      <c r="W10" s="73">
        <f>IFERROR(__xludf.DUMMYFUNCTION("IF(U10=0, """",
  IFERROR(AVERAGE(FILTER(data_num!C10:C1000, (data_num!E10:E1000&amp;"""")=(T10&amp;""""), ISNUMBER(data_num!B10:B1000), ISNUMBER(data_num!C10:C1000))), """")
)
"),3.0)</f>
        <v>3</v>
      </c>
      <c r="X10" s="74"/>
      <c r="Y10" s="74"/>
      <c r="Z10" s="73"/>
      <c r="AA10" s="73" t="str">
        <f>IF(Z10=0,"",AVERAGEIFS(data_num!B:B, data_num!D:D, Y10, data_num!K:K, 1))
</f>
        <v/>
      </c>
      <c r="AB10" s="77" t="str">
        <f>IF(Z10=0,"",AVERAGEIFS(data_num!C:C, data_num!D:D, Y10, data_num!K:K, 1))
</f>
        <v/>
      </c>
      <c r="AC10" s="72" t="str">
        <f>IF(Z10=0,"",SUMIFS(data_num!L:L, data_num!D:D, Y10, data_num!K:K, 1)/Z10)
</f>
        <v/>
      </c>
      <c r="AD10" s="73" t="str">
        <f>IF(Z9=0,"",SUMIFS(data_num!L:L, data_num!D:D, Y9, data_num!K:K, 1)/Z9)
</f>
        <v/>
      </c>
      <c r="AE10" s="73"/>
      <c r="AF10" s="72">
        <f>IFERROR(__xludf.DUMMYFUNCTION("""COMPUTED_VALUE"""),8.0)</f>
        <v>8</v>
      </c>
      <c r="AG10" s="75" t="str">
        <f>IFERROR(__xludf.DUMMYFUNCTION("""COMPUTED_VALUE"""),"environnement")</f>
        <v>environnement</v>
      </c>
      <c r="AH10" s="73">
        <f>IFERROR(__xludf.DUMMYFUNCTION("""COMPUTED_VALUE"""),7.0)</f>
        <v>7</v>
      </c>
      <c r="AI10" s="77">
        <f>IFERROR(__xludf.DUMMYFUNCTION("""COMPUTED_VALUE"""),7.0)</f>
        <v>7</v>
      </c>
      <c r="AJ10" s="73">
        <f>IFERROR(__xludf.DUMMYFUNCTION("""COMPUTED_VALUE"""),4.242640687119285)</f>
        <v>4.242640687</v>
      </c>
      <c r="AK10" s="73"/>
      <c r="AL10" s="73"/>
      <c r="AM10" s="73"/>
      <c r="AN10" s="73"/>
      <c r="AO10" s="73"/>
      <c r="AP10" s="77"/>
      <c r="AQ10" s="72"/>
      <c r="AR10" s="73"/>
      <c r="AS10" s="73"/>
      <c r="AT10" s="73"/>
      <c r="AU10" s="73"/>
      <c r="AV10" s="73"/>
      <c r="AW10" s="73"/>
      <c r="AX10" s="77"/>
      <c r="AY10" s="77"/>
    </row>
    <row r="11" ht="16.5" customHeight="1">
      <c r="A11" s="72">
        <f>COUNT(data_num!A41:A1000)
</f>
        <v>9</v>
      </c>
      <c r="B11" s="73">
        <f>AVERAGE(data_num!B41:B1000)
</f>
        <v>4.333333333</v>
      </c>
      <c r="C11" s="74">
        <f>AVERAGE(data_num!C41:C1000)
</f>
        <v>5.555555556</v>
      </c>
      <c r="D11" s="73">
        <f>COUNTIFS(data_num!B41:B1000,"&gt;5", data_num!C41:C1000,"&gt;5")/COUNT(data_num!A41:A1000)
</f>
        <v>0.3333333333</v>
      </c>
      <c r="E11" s="74">
        <f>IFERROR(__xludf.DUMMYFUNCTION("IFERROR(
  IF(
    OR(
      ROWS(FILTER(data_num!B41:B1000, ISNUMBER(data_num!B41:B1000), ISNUMBER(data_num!C41:C1000)))&lt;2,
      STDEV.S(FILTER(data_num!B41:B1000, ISNUMBER(data_num!B41:B1000), ISNUMBER(data_num!C41:C1000)))=0,
      STDEV.S(FILTER(data"&amp;"_num!C41:C1000, ISNUMBER(data_num!B41:B1000), ISNUMBER(data_num!C41:C1000)))=0
    ),
    """",
    CORREL(
      FILTER(data_num!B41:B1000, ISNUMBER(data_num!B41:B1000), ISNUMBER(data_num!C41:C1000)),
      FILTER(data_num!C41:C1000, ISNUMBER(data_num!B4"&amp;"1:B1000), ISNUMBER(data_num!C41:C1000))
    )
  ),
"""")
"),0.21566140150337745)</f>
        <v>0.2156614015</v>
      </c>
      <c r="F11" s="73">
        <f>MEDIAN(data_num!B41:B1000)
</f>
        <v>5</v>
      </c>
      <c r="G11" s="73">
        <f>MEDIAN(data_num!C41:C1000)
</f>
        <v>6</v>
      </c>
      <c r="H11" s="73"/>
      <c r="I11" s="72">
        <f>IFERROR(__xludf.DUMMYFUNCTION("""COMPUTED_VALUE"""),44.0)</f>
        <v>44</v>
      </c>
      <c r="J11" s="73">
        <f>IFERROR(__xludf.DUMMYFUNCTION("""COMPUTED_VALUE"""),9.0)</f>
        <v>9</v>
      </c>
      <c r="K11" s="73">
        <f>IFERROR(__xludf.DUMMYFUNCTION("""COMPUTED_VALUE"""),7.0)</f>
        <v>7</v>
      </c>
      <c r="L11" s="75" t="str">
        <f>IFERROR(__xludf.DUMMYFUNCTION("""COMPUTED_VALUE"""),"pratiques de l'éducation")</f>
        <v>pratiques de l'éducation</v>
      </c>
      <c r="M11" s="73" t="str">
        <f>IFERROR(__xludf.DUMMYFUNCTION("""COMPUTED_VALUE"""),"La Grande Roue, Phare des Secouristes Marins. Sur une place animée près du rivage, des adolescents suivent un programme pédagogique d'urgence en réalité augmentée pour localiser et assister les baigneurs en difficulté. L'océan scintille en arrière-plan ta"&amp;"ndis que l'immense structure de la grande roue, désormais équipée de capteurs solaires, sert de tour de contrôle pour les drones de sauvetage automatisés (Solarpunk/Cli-fi).")</f>
        <v>La Grande Roue, Phare des Secouristes Marins. Sur une place animée près du rivage, des adolescents suivent un programme pédagogique d'urgence en réalité augmentée pour localiser et assister les baigneurs en difficulté. L'océan scintille en arrière-plan tandis que l'immense structure de la grande roue, désormais équipée de capteurs solaires, sert de tour de contrôle pour les drones de sauvetage automatisés (Solarpunk/Cli-fi).</v>
      </c>
      <c r="N11" s="75" t="str">
        <f>IFERROR(__xludf.DUMMYFUNCTION("""COMPUTED_VALUE"""),"Urban coastal area. A young student, centered, wears sleek augmented reality glasses, actively gesturing with one hand to pilot a translucent, floating holographic drone interface in front of her. In the background, a massive Ferris wheel stands right nex"&amp;"t to the shimmering Mediterranean sea, its structure covered in integrated solar panels. The scene is brightly lit by the warm, late-afternoon Mediterranean sun. Cinematic realism, 35mm lens, focus on the intense concentration of the student, clear techno"&amp;"logical elements, Solarpunk atmosphere.")</f>
        <v>Urban coastal area. A young student, centered, wears sleek augmented reality glasses, actively gesturing with one hand to pilot a translucent, floating holographic drone interface in front of her. In the background, a massive Ferris wheel stands right next to the shimmering Mediterranean sea, its structure covered in integrated solar panels. The scene is brightly lit by the warm, late-afternoon Mediterranean sun. Cinematic realism, 35mm lens, focus on the intense concentration of the student, clear technological elements, Solarpunk atmosphere.</v>
      </c>
      <c r="O11" s="76" t="str">
        <f>IFERROR(__xludf.DUMMYFUNCTION("""COMPUTED_VALUE"""),"https://drive.google.com/file/d/1NIGse6pxi0TbpgGHYjzXJuwzeJdxPR3Z/view?usp=drive_link")</f>
        <v>https://drive.google.com/file/d/1NIGse6pxi0TbpgGHYjzXJuwzeJdxPR3Z/view?usp=drive_link</v>
      </c>
      <c r="P11" s="75" t="str">
        <f>IFERROR(__xludf.DUMMYFUNCTION("""COMPUTED_VALUE"""),"flux schnell")</f>
        <v>flux schnell</v>
      </c>
      <c r="Q11" s="73">
        <f>IFERROR(__xludf.DUMMYFUNCTION("""COMPUTED_VALUE"""),3.1622776601683795)</f>
        <v>3.16227766</v>
      </c>
      <c r="R11" s="75"/>
      <c r="S11" s="73"/>
      <c r="T11" s="72">
        <f>IFERROR(__xludf.DUMMYFUNCTION("""COMPUTED_VALUE"""),9.0)</f>
        <v>9</v>
      </c>
      <c r="U11" s="77">
        <f>IFERROR(__xludf.DUMMYFUNCTION("IFERROR(
  ROWS(FILTER(data_num!A11:A1000, (data_num!E11:E1000&amp;"""")=(T11&amp;""""), ISNUMBER(data_num!B11:B1000), ISNUMBER(data_num!C11:C1000))),
  0
)
"),1.0)</f>
        <v>1</v>
      </c>
      <c r="V11" s="72">
        <f>IFERROR(__xludf.DUMMYFUNCTION("IF(U11=0, """",
  IFERROR(AVERAGE(FILTER(data_num!B11:B1000, (data_num!E11:E1000&amp;"""")=(T11&amp;""""), ISNUMBER(data_num!B11:B1000), ISNUMBER(data_num!C11:C1000))), """")
)
"),5.0)</f>
        <v>5</v>
      </c>
      <c r="W11" s="73">
        <f>IFERROR(__xludf.DUMMYFUNCTION("IF(U11=0, """",
  IFERROR(AVERAGE(FILTER(data_num!C11:C1000, (data_num!E11:E1000&amp;"""")=(T11&amp;""""), ISNUMBER(data_num!B11:B1000), ISNUMBER(data_num!C11:C1000))), """")
)
"),4.0)</f>
        <v>4</v>
      </c>
      <c r="X11" s="74"/>
      <c r="Y11" s="74"/>
      <c r="Z11" s="73"/>
      <c r="AA11" s="73" t="str">
        <f>IF(Z11=0,"",AVERAGEIFS(data_num!B:B, data_num!D:D, Y11, data_num!K:K, 1))
</f>
        <v/>
      </c>
      <c r="AB11" s="77" t="str">
        <f>IF(Z11=0,"",AVERAGEIFS(data_num!C:C, data_num!D:D, Y11, data_num!K:K, 1))
</f>
        <v/>
      </c>
      <c r="AC11" s="72" t="str">
        <f>IF(Z11=0,"",SUMIFS(data_num!L:L, data_num!D:D, Y11, data_num!K:K, 1)/Z11)
</f>
        <v/>
      </c>
      <c r="AD11" s="73" t="str">
        <f>IF(Z10=0,"",SUMIFS(data_num!L:L, data_num!D:D, Y10, data_num!K:K, 1)/Z10)
</f>
        <v/>
      </c>
      <c r="AE11" s="73"/>
      <c r="AF11" s="72">
        <f>IFERROR(__xludf.DUMMYFUNCTION("""COMPUTED_VALUE"""),43.0)</f>
        <v>43</v>
      </c>
      <c r="AG11" s="75" t="str">
        <f>IFERROR(__xludf.DUMMYFUNCTION("""COMPUTED_VALUE"""),"pratiques de l'éducation")</f>
        <v>pratiques de l'éducation</v>
      </c>
      <c r="AH11" s="73">
        <f>IFERROR(__xludf.DUMMYFUNCTION("""COMPUTED_VALUE"""),7.0)</f>
        <v>7</v>
      </c>
      <c r="AI11" s="77">
        <f>IFERROR(__xludf.DUMMYFUNCTION("""COMPUTED_VALUE"""),7.0)</f>
        <v>7</v>
      </c>
      <c r="AJ11" s="73">
        <f>IFERROR(__xludf.DUMMYFUNCTION("""COMPUTED_VALUE"""),4.242640687119285)</f>
        <v>4.242640687</v>
      </c>
      <c r="AK11" s="73"/>
      <c r="AL11" s="73"/>
      <c r="AM11" s="73"/>
      <c r="AN11" s="73"/>
      <c r="AO11" s="73"/>
      <c r="AP11" s="77"/>
      <c r="AQ11" s="72"/>
      <c r="AR11" s="73"/>
      <c r="AS11" s="73"/>
      <c r="AT11" s="73"/>
      <c r="AU11" s="73"/>
      <c r="AV11" s="73"/>
      <c r="AW11" s="73"/>
      <c r="AX11" s="77"/>
      <c r="AY11" s="77"/>
    </row>
    <row r="12" ht="16.5" customHeight="1">
      <c r="A12" s="72">
        <f>COUNT(data_num!A40:A1000)
</f>
        <v>10</v>
      </c>
      <c r="B12" s="73">
        <f>AVERAGE(data_num!B40:B1000)
</f>
        <v>3.9</v>
      </c>
      <c r="C12" s="74">
        <f>AVERAGE(data_num!C40:C1000)
</f>
        <v>5.9</v>
      </c>
      <c r="D12" s="73">
        <f>COUNTIFS(data_num!B40:B1000,"&gt;5", data_num!C40:C1000,"&gt;5")/COUNT(data_num!A40:A1000)
</f>
        <v>0.3</v>
      </c>
      <c r="E12" s="74">
        <f>IFERROR(__xludf.DUMMYFUNCTION("IFERROR(
  IF(
    OR(
      ROWS(FILTER(data_num!B40:B1000, ISNUMBER(data_num!B40:B1000), ISNUMBER(data_num!C40:C1000)))&lt;2,
      STDEV.S(FILTER(data_num!B40:B1000, ISNUMBER(data_num!B40:B1000), ISNUMBER(data_num!C40:C1000)))=0,
      STDEV.S(FILTER(data"&amp;"_num!C40:C1000, ISNUMBER(data_num!B40:B1000), ISNUMBER(data_num!C40:C1000)))=0
    ),
    """",
    CORREL(
      FILTER(data_num!B40:B1000, ISNUMBER(data_num!B40:B1000), ISNUMBER(data_num!C40:C1000)),
      FILTER(data_num!C40:C1000, ISNUMBER(data_num!B4"&amp;"0:B1000), ISNUMBER(data_num!C40:C1000))
    )
  ),
"""")
"),0.04973604397735839)</f>
        <v>0.04973604398</v>
      </c>
      <c r="F12" s="73">
        <f>MEDIAN(data_num!B40:B1000)
</f>
        <v>4</v>
      </c>
      <c r="G12" s="73">
        <f>MEDIAN(data_num!C40:C1000)
</f>
        <v>6.5</v>
      </c>
      <c r="H12" s="73"/>
      <c r="I12" s="72">
        <f>IFERROR(__xludf.DUMMYFUNCTION("""COMPUTED_VALUE"""),45.0)</f>
        <v>45</v>
      </c>
      <c r="J12" s="73">
        <f>IFERROR(__xludf.DUMMYFUNCTION("""COMPUTED_VALUE"""),10.0)</f>
        <v>10</v>
      </c>
      <c r="K12" s="73">
        <f>IFERROR(__xludf.DUMMYFUNCTION("""COMPUTED_VALUE"""),8.0)</f>
        <v>8</v>
      </c>
      <c r="L12" s="75" t="str">
        <f>IFERROR(__xludf.DUMMYFUNCTION("""COMPUTED_VALUE"""),"pratiques de l'éducation")</f>
        <v>pratiques de l'éducation</v>
      </c>
      <c r="M12" s="73" t="str">
        <f>IFERROR(__xludf.DUMMYFUNCTION("""COMPUTED_VALUE"""),"Leçon de Défense, l'Enjeu de la Cité Cyberpunk. Dans une académie blindée face à la mer, un jeune cadet apprend la tactique de survie urbaine en manipulant un drone de reconnaissance lourd. L'horizon cyber-brumeux rappelle la menace, faisant de l'éducatio"&amp;"n un entraînement militaire permanent pour la protection des enclaves fortifiées (Cyberpunk, futur non-préférable).")</f>
        <v>Leçon de Défense, l'Enjeu de la Cité Cyberpunk. Dans une académie blindée face à la mer, un jeune cadet apprend la tactique de survie urbaine en manipulant un drone de reconnaissance lourd. L'horizon cyber-brumeux rappelle la menace, faisant de l'éducation un entraînement militaire permanent pour la protection des enclaves fortifiées (Cyberpunk, futur non-préférable).</v>
      </c>
      <c r="N12" s="75" t="str">
        <f>IFERROR(__xludf.DUMMYFUNCTION("""COMPUTED_VALUE"""),"A young cadet (teenager), centered, in a stark, futuristic military uniform, intensely operating a ruggedized tablet that controls a small, hovering surveillance drone. The scene takes place in a minimalist, concrete courtyard of an armored academy. In th"&amp;"e background, a high-security fence and a polluted, orange-hued Mediterranean sea hint at a dystopian context. Cinematic realism, 35mm lens, hard contrast, focus on the cadet's determined face and the glow of the tablet screen, Cyberpunk atmosphere, dark,"&amp;" metallic colors.")</f>
        <v>A young cadet (teenager), centered, in a stark, futuristic military uniform, intensely operating a ruggedized tablet that controls a small, hovering surveillance drone. The scene takes place in a minimalist, concrete courtyard of an armored academy. In the background, a high-security fence and a polluted, orange-hued Mediterranean sea hint at a dystopian context. Cinematic realism, 35mm lens, hard contrast, focus on the cadet's determined face and the glow of the tablet screen, Cyberpunk atmosphere, dark, metallic colors.</v>
      </c>
      <c r="O12" s="76" t="str">
        <f>IFERROR(__xludf.DUMMYFUNCTION("""COMPUTED_VALUE"""),"https://drive.google.com/file/d/14vxIm8DSPiEFG7ZqO4mH-Fl_FGlBsBFr/view?usp=drive_link")</f>
        <v>https://drive.google.com/file/d/14vxIm8DSPiEFG7ZqO4mH-Fl_FGlBsBFr/view?usp=drive_link</v>
      </c>
      <c r="P12" s="75" t="str">
        <f>IFERROR(__xludf.DUMMYFUNCTION("""COMPUTED_VALUE"""),"flux schnell")</f>
        <v>flux schnell</v>
      </c>
      <c r="Q12" s="73">
        <f>IFERROR(__xludf.DUMMYFUNCTION("""COMPUTED_VALUE"""),2.0)</f>
        <v>2</v>
      </c>
      <c r="R12" s="75"/>
      <c r="S12" s="73"/>
      <c r="T12" s="72">
        <f>IFERROR(__xludf.DUMMYFUNCTION("""COMPUTED_VALUE"""),10.0)</f>
        <v>10</v>
      </c>
      <c r="U12" s="77">
        <f>IFERROR(__xludf.DUMMYFUNCTION("IFERROR(
  ROWS(FILTER(data_num!A12:A1000, (data_num!E12:E1000&amp;"""")=(T12&amp;""""), ISNUMBER(data_num!B12:B1000), ISNUMBER(data_num!C12:C1000))),
  0
)
"),1.0)</f>
        <v>1</v>
      </c>
      <c r="V12" s="72">
        <f>IFERROR(__xludf.DUMMYFUNCTION("IF(U12=0, """",
  IFERROR(AVERAGE(FILTER(data_num!B12:B1000, (data_num!E12:E1000&amp;"""")=(T12&amp;""""), ISNUMBER(data_num!B12:B1000), ISNUMBER(data_num!C12:C1000))), """")
)
"),1.0)</f>
        <v>1</v>
      </c>
      <c r="W12" s="73">
        <f>IFERROR(__xludf.DUMMYFUNCTION("IF(U12=0, """",
  IFERROR(AVERAGE(FILTER(data_num!C12:C1000, (data_num!E12:E1000&amp;"""")=(T12&amp;""""), ISNUMBER(data_num!B12:B1000), ISNUMBER(data_num!C12:C1000))), """")
)
"),3.0)</f>
        <v>3</v>
      </c>
      <c r="X12" s="74"/>
      <c r="Y12" s="74"/>
      <c r="Z12" s="73"/>
      <c r="AA12" s="73" t="str">
        <f>IF(Z12=0,"",AVERAGEIFS(data_num!B:B, data_num!D:D, Y12, data_num!K:K, 1))
</f>
        <v/>
      </c>
      <c r="AB12" s="77" t="str">
        <f>IF(Z12=0,"",AVERAGEIFS(data_num!C:C, data_num!D:D, Y12, data_num!K:K, 1))
</f>
        <v/>
      </c>
      <c r="AC12" s="72" t="str">
        <f>IF(Z12=0,"",SUMIFS(data_num!L:L, data_num!D:D, Y12, data_num!K:K, 1)/Z12)
</f>
        <v/>
      </c>
      <c r="AD12" s="73" t="str">
        <f>IF(Z11=0,"",SUMIFS(data_num!L:L, data_num!D:D, Y11, data_num!K:K, 1)/Z11)
</f>
        <v/>
      </c>
      <c r="AE12" s="73"/>
      <c r="AF12" s="72">
        <f>IFERROR(__xludf.DUMMYFUNCTION("""COMPUTED_VALUE"""),37.0)</f>
        <v>37</v>
      </c>
      <c r="AG12" s="75" t="str">
        <f>IFERROR(__xludf.DUMMYFUNCTION("""COMPUTED_VALUE"""),"pour tous et pour toutes")</f>
        <v>pour tous et pour toutes</v>
      </c>
      <c r="AH12" s="73">
        <f>IFERROR(__xludf.DUMMYFUNCTION("""COMPUTED_VALUE"""),6.0)</f>
        <v>6</v>
      </c>
      <c r="AI12" s="77">
        <f>IFERROR(__xludf.DUMMYFUNCTION("""COMPUTED_VALUE"""),8.0)</f>
        <v>8</v>
      </c>
      <c r="AJ12" s="73">
        <f>IFERROR(__xludf.DUMMYFUNCTION("""COMPUTED_VALUE"""),4.47213595499958)</f>
        <v>4.472135955</v>
      </c>
      <c r="AK12" s="73"/>
      <c r="AL12" s="73"/>
      <c r="AM12" s="73"/>
      <c r="AN12" s="73"/>
      <c r="AO12" s="73"/>
      <c r="AP12" s="77"/>
      <c r="AQ12" s="72"/>
      <c r="AR12" s="73"/>
      <c r="AS12" s="73"/>
      <c r="AT12" s="73"/>
      <c r="AU12" s="73"/>
      <c r="AV12" s="73"/>
      <c r="AW12" s="73"/>
      <c r="AX12" s="77"/>
      <c r="AY12" s="77"/>
    </row>
    <row r="13" ht="16.5" customHeight="1">
      <c r="A13" s="72">
        <f>COUNT(data_num!A39:A1000)
</f>
        <v>11</v>
      </c>
      <c r="B13" s="73">
        <f>AVERAGE(data_num!B39:B1000)
</f>
        <v>4.272727273</v>
      </c>
      <c r="C13" s="74">
        <f>AVERAGE(data_num!C39:C1000)
</f>
        <v>6.090909091</v>
      </c>
      <c r="D13" s="73">
        <f>COUNTIFS(data_num!B39:B1000,"&gt;5", data_num!C39:C1000,"&gt;5")/COUNT(data_num!A39:A1000)
</f>
        <v>0.3636363636</v>
      </c>
      <c r="E13" s="74">
        <f>IFERROR(__xludf.DUMMYFUNCTION("IFERROR(
  IF(
    OR(
      ROWS(FILTER(data_num!B39:B1000, ISNUMBER(data_num!B39:B1000), ISNUMBER(data_num!C39:C1000)))&lt;2,
      STDEV.S(FILTER(data_num!B39:B1000, ISNUMBER(data_num!B39:B1000), ISNUMBER(data_num!C39:C1000)))=0,
      STDEV.S(FILTER(data"&amp;"_num!C39:C1000, ISNUMBER(data_num!B39:B1000), ISNUMBER(data_num!C39:C1000)))=0
    ),
    """",
    CORREL(
      FILTER(data_num!B39:B1000, ISNUMBER(data_num!B39:B1000), ISNUMBER(data_num!C39:C1000)),
      FILTER(data_num!C39:C1000, ISNUMBER(data_num!B3"&amp;"9:B1000), ISNUMBER(data_num!C39:C1000))
    )
  ),
"""")
"),0.11920286756699655)</f>
        <v>0.1192028676</v>
      </c>
      <c r="F13" s="73">
        <f>MEDIAN(data_num!B39:B1000)
</f>
        <v>5</v>
      </c>
      <c r="G13" s="73">
        <f>MEDIAN(data_num!C39:C1000)
</f>
        <v>7</v>
      </c>
      <c r="H13" s="73"/>
      <c r="I13" s="72"/>
      <c r="J13" s="73"/>
      <c r="K13" s="73"/>
      <c r="L13" s="73"/>
      <c r="M13" s="73"/>
      <c r="N13" s="73"/>
      <c r="O13" s="73"/>
      <c r="P13" s="73"/>
      <c r="Q13" s="73"/>
      <c r="R13" s="73"/>
      <c r="S13" s="73"/>
      <c r="T13" s="72">
        <f>IFERROR(__xludf.DUMMYFUNCTION("""COMPUTED_VALUE"""),11.0)</f>
        <v>11</v>
      </c>
      <c r="U13" s="77">
        <f>IFERROR(__xludf.DUMMYFUNCTION("IFERROR(
  ROWS(FILTER(data_num!A13:A1000, (data_num!E13:E1000&amp;"""")=(T13&amp;""""), ISNUMBER(data_num!B13:B1000), ISNUMBER(data_num!C13:C1000))),
  0
)
"),1.0)</f>
        <v>1</v>
      </c>
      <c r="V13" s="72">
        <f>IFERROR(__xludf.DUMMYFUNCTION("IF(U13=0, """",
  IFERROR(AVERAGE(FILTER(data_num!B13:B1000, (data_num!E13:E1000&amp;"""")=(T13&amp;""""), ISNUMBER(data_num!B13:B1000), ISNUMBER(data_num!C13:C1000))), """")
)
"),2.0)</f>
        <v>2</v>
      </c>
      <c r="W13" s="73">
        <f>IFERROR(__xludf.DUMMYFUNCTION("IF(U13=0, """",
  IFERROR(AVERAGE(FILTER(data_num!C13:C1000, (data_num!E13:E1000&amp;"""")=(T13&amp;""""), ISNUMBER(data_num!B13:B1000), ISNUMBER(data_num!C13:C1000))), """")
)
"),4.0)</f>
        <v>4</v>
      </c>
      <c r="X13" s="74"/>
      <c r="Y13" s="74"/>
      <c r="Z13" s="73"/>
      <c r="AA13" s="73" t="str">
        <f>IF(Z13=0,"",AVERAGEIFS(data_num!B:B, data_num!D:D, Y13, data_num!K:K, 1))
</f>
        <v/>
      </c>
      <c r="AB13" s="77" t="str">
        <f>IF(Z13=0,"",AVERAGEIFS(data_num!C:C, data_num!D:D, Y13, data_num!K:K, 1))
</f>
        <v/>
      </c>
      <c r="AC13" s="72" t="str">
        <f>IF(Z13=0,"",SUMIFS(data_num!L:L, data_num!D:D, Y13, data_num!K:K, 1)/Z13)
</f>
        <v/>
      </c>
      <c r="AD13" s="73" t="str">
        <f>IF(Z12=0,"",SUMIFS(data_num!L:L, data_num!D:D, Y12, data_num!K:K, 1)/Z12)
</f>
        <v/>
      </c>
      <c r="AE13" s="73"/>
      <c r="AF13" s="72">
        <f>IFERROR(__xludf.DUMMYFUNCTION("""COMPUTED_VALUE"""),5.0)</f>
        <v>5</v>
      </c>
      <c r="AG13" s="75" t="str">
        <f>IFERROR(__xludf.DUMMYFUNCTION("""COMPUTED_VALUE"""),"environnement")</f>
        <v>environnement</v>
      </c>
      <c r="AH13" s="73">
        <f>IFERROR(__xludf.DUMMYFUNCTION("""COMPUTED_VALUE"""),5.0)</f>
        <v>5</v>
      </c>
      <c r="AI13" s="77">
        <f>IFERROR(__xludf.DUMMYFUNCTION("""COMPUTED_VALUE"""),8.0)</f>
        <v>8</v>
      </c>
      <c r="AJ13" s="73">
        <f>IFERROR(__xludf.DUMMYFUNCTION("""COMPUTED_VALUE"""),5.385164807134504)</f>
        <v>5.385164807</v>
      </c>
      <c r="AK13" s="73"/>
      <c r="AL13" s="73"/>
      <c r="AM13" s="73"/>
      <c r="AN13" s="73"/>
      <c r="AO13" s="73"/>
      <c r="AP13" s="77"/>
      <c r="AQ13" s="72"/>
      <c r="AR13" s="73"/>
      <c r="AS13" s="73"/>
      <c r="AT13" s="73"/>
      <c r="AU13" s="73"/>
      <c r="AV13" s="73"/>
      <c r="AW13" s="73"/>
      <c r="AX13" s="77"/>
      <c r="AY13" s="77"/>
    </row>
    <row r="14" ht="16.5" customHeight="1">
      <c r="A14" s="72">
        <f>COUNT(data_num!A38:A1000)
</f>
        <v>12</v>
      </c>
      <c r="B14" s="73">
        <f>AVERAGE(data_num!B38:B1000)
</f>
        <v>4.416666667</v>
      </c>
      <c r="C14" s="74">
        <f>AVERAGE(data_num!C38:C1000)
</f>
        <v>6.25</v>
      </c>
      <c r="D14" s="73">
        <f>COUNTIFS(data_num!B38:B1000,"&gt;5", data_num!C38:C1000,"&gt;5")/COUNT(data_num!A38:A1000)
</f>
        <v>0.4166666667</v>
      </c>
      <c r="E14" s="74">
        <f>IFERROR(__xludf.DUMMYFUNCTION("IFERROR(
  IF(
    OR(
      ROWS(FILTER(data_num!B38:B1000, ISNUMBER(data_num!B38:B1000), ISNUMBER(data_num!C38:C1000)))&lt;2,
      STDEV.S(FILTER(data_num!B38:B1000, ISNUMBER(data_num!B38:B1000), ISNUMBER(data_num!C38:C1000)))=0,
      STDEV.S(FILTER(data"&amp;"_num!C38:C1000, ISNUMBER(data_num!B38:B1000), ISNUMBER(data_num!C38:C1000)))=0
    ),
    """",
    CORREL(
      FILTER(data_num!B38:B1000, ISNUMBER(data_num!B38:B1000), ISNUMBER(data_num!C38:C1000)),
      FILTER(data_num!C38:C1000, ISNUMBER(data_num!B3"&amp;"8:B1000), ISNUMBER(data_num!C38:C1000))
    )
  ),
"""")
"),0.1430504779424078)</f>
        <v>0.1430504779</v>
      </c>
      <c r="F14" s="73">
        <f>MEDIAN(data_num!B38:B1000)
</f>
        <v>5</v>
      </c>
      <c r="G14" s="73">
        <f>MEDIAN(data_num!C38:C1000)
</f>
        <v>7</v>
      </c>
      <c r="H14" s="73"/>
      <c r="I14" s="72"/>
      <c r="J14" s="73"/>
      <c r="K14" s="73"/>
      <c r="L14" s="73"/>
      <c r="M14" s="73"/>
      <c r="N14" s="73"/>
      <c r="O14" s="73"/>
      <c r="P14" s="73"/>
      <c r="Q14" s="73"/>
      <c r="R14" s="73"/>
      <c r="S14" s="73"/>
      <c r="T14" s="72">
        <f>IFERROR(__xludf.DUMMYFUNCTION("""COMPUTED_VALUE"""),12.0)</f>
        <v>12</v>
      </c>
      <c r="U14" s="77">
        <f>IFERROR(__xludf.DUMMYFUNCTION("IFERROR(
  ROWS(FILTER(data_num!A14:A1000, (data_num!E14:E1000&amp;"""")=(T14&amp;""""), ISNUMBER(data_num!B14:B1000), ISNUMBER(data_num!C14:C1000))),
  0
)
"),1.0)</f>
        <v>1</v>
      </c>
      <c r="V14" s="72">
        <f>IFERROR(__xludf.DUMMYFUNCTION("IF(U14=0, """",
  IFERROR(AVERAGE(FILTER(data_num!B14:B1000, (data_num!E14:E1000&amp;"""")=(T14&amp;""""), ISNUMBER(data_num!B14:B1000), ISNUMBER(data_num!C14:C1000))), """")
)
"),4.0)</f>
        <v>4</v>
      </c>
      <c r="W14" s="73">
        <f>IFERROR(__xludf.DUMMYFUNCTION("IF(U14=0, """",
  IFERROR(AVERAGE(FILTER(data_num!C14:C1000, (data_num!E14:E1000&amp;"""")=(T14&amp;""""), ISNUMBER(data_num!B14:B1000), ISNUMBER(data_num!C14:C1000))), """")
)
"),9.0)</f>
        <v>9</v>
      </c>
      <c r="X14" s="74"/>
      <c r="Y14" s="74"/>
      <c r="Z14" s="73"/>
      <c r="AA14" s="73" t="str">
        <f>IF(Z14=0,"",AVERAGEIFS(data_num!B:B, data_num!D:D, Y14, data_num!K:K, 1))
</f>
        <v/>
      </c>
      <c r="AB14" s="77" t="str">
        <f>IF(Z14=0,"",AVERAGEIFS(data_num!C:C, data_num!D:D, Y14, data_num!K:K, 1))
</f>
        <v/>
      </c>
      <c r="AC14" s="72" t="str">
        <f>IF(Z14=0,"",SUMIFS(data_num!L:L, data_num!D:D, Y14, data_num!K:K, 1)/Z14)
</f>
        <v/>
      </c>
      <c r="AD14" s="73" t="str">
        <f>IF(Z13=0,"",SUMIFS(data_num!L:L, data_num!D:D, Y13, data_num!K:K, 1)/Z13)
</f>
        <v/>
      </c>
      <c r="AE14" s="73"/>
      <c r="AF14" s="72">
        <f>IFERROR(__xludf.DUMMYFUNCTION("""COMPUTED_VALUE"""),32.0)</f>
        <v>32</v>
      </c>
      <c r="AG14" s="75" t="str">
        <f>IFERROR(__xludf.DUMMYFUNCTION("""COMPUTED_VALUE"""),"tout au long de la vie")</f>
        <v>tout au long de la vie</v>
      </c>
      <c r="AH14" s="73">
        <f>IFERROR(__xludf.DUMMYFUNCTION("""COMPUTED_VALUE"""),4.0)</f>
        <v>4</v>
      </c>
      <c r="AI14" s="77">
        <f>IFERROR(__xludf.DUMMYFUNCTION("""COMPUTED_VALUE"""),9.0)</f>
        <v>9</v>
      </c>
      <c r="AJ14" s="73">
        <f>IFERROR(__xludf.DUMMYFUNCTION("""COMPUTED_VALUE"""),6.082762530298219)</f>
        <v>6.08276253</v>
      </c>
      <c r="AK14" s="73"/>
      <c r="AL14" s="73"/>
      <c r="AM14" s="73"/>
      <c r="AN14" s="73"/>
      <c r="AO14" s="73"/>
      <c r="AP14" s="77"/>
      <c r="AQ14" s="72"/>
      <c r="AR14" s="73"/>
      <c r="AS14" s="73"/>
      <c r="AT14" s="73"/>
      <c r="AU14" s="73"/>
      <c r="AV14" s="73"/>
      <c r="AW14" s="73"/>
      <c r="AX14" s="77"/>
      <c r="AY14" s="77"/>
    </row>
    <row r="15" ht="16.5" customHeight="1">
      <c r="A15" s="72">
        <f>COUNT(data_num!A37:A1000)
</f>
        <v>13</v>
      </c>
      <c r="B15" s="73">
        <f>AVERAGE(data_num!B37:B1000)
</f>
        <v>4.076923077</v>
      </c>
      <c r="C15" s="74">
        <f>AVERAGE(data_num!C37:C1000)
</f>
        <v>6.384615385</v>
      </c>
      <c r="D15" s="73">
        <f>COUNTIFS(data_num!B37:B1000,"&gt;5", data_num!C37:C1000,"&gt;5")/COUNT(data_num!A37:A1000)
</f>
        <v>0.3846153846</v>
      </c>
      <c r="E15" s="74">
        <f>IFERROR(__xludf.DUMMYFUNCTION("IFERROR(
  IF(
    OR(
      ROWS(FILTER(data_num!B37:B1000, ISNUMBER(data_num!B37:B1000), ISNUMBER(data_num!C37:C1000)))&lt;2,
      STDEV.S(FILTER(data_num!B37:B1000, ISNUMBER(data_num!B37:B1000), ISNUMBER(data_num!C37:C1000)))=0,
      STDEV.S(FILTER(data"&amp;"_num!C37:C1000, ISNUMBER(data_num!B37:B1000), ISNUMBER(data_num!C37:C1000)))=0
    ),
    """",
    CORREL(
      FILTER(data_num!B37:B1000, ISNUMBER(data_num!B37:B1000), ISNUMBER(data_num!C37:C1000)),
      FILTER(data_num!C37:C1000, ISNUMBER(data_num!B3"&amp;"7:B1000), ISNUMBER(data_num!C37:C1000))
    )
  ),
"""")
"),0.07276115155033595)</f>
        <v>0.07276115155</v>
      </c>
      <c r="F15" s="73">
        <f>MEDIAN(data_num!B37:B1000)
</f>
        <v>5</v>
      </c>
      <c r="G15" s="73">
        <f>MEDIAN(data_num!C37:C1000)
</f>
        <v>7</v>
      </c>
      <c r="H15" s="73"/>
      <c r="I15" s="72"/>
      <c r="J15" s="73"/>
      <c r="K15" s="73"/>
      <c r="L15" s="73"/>
      <c r="M15" s="73"/>
      <c r="N15" s="73"/>
      <c r="O15" s="73"/>
      <c r="P15" s="73"/>
      <c r="Q15" s="73"/>
      <c r="R15" s="73"/>
      <c r="S15" s="73"/>
      <c r="T15" s="72">
        <f>IFERROR(__xludf.DUMMYFUNCTION("""COMPUTED_VALUE"""),13.0)</f>
        <v>13</v>
      </c>
      <c r="U15" s="77">
        <f>IFERROR(__xludf.DUMMYFUNCTION("IFERROR(
  ROWS(FILTER(data_num!A15:A1000, (data_num!E15:E1000&amp;"""")=(T15&amp;""""), ISNUMBER(data_num!B15:B1000), ISNUMBER(data_num!C15:C1000))),
  0
)
"),1.0)</f>
        <v>1</v>
      </c>
      <c r="V15" s="72">
        <f>IFERROR(__xludf.DUMMYFUNCTION("IF(U15=0, """",
  IFERROR(AVERAGE(FILTER(data_num!B15:B1000, (data_num!E15:E1000&amp;"""")=(T15&amp;""""), ISNUMBER(data_num!B15:B1000), ISNUMBER(data_num!C15:C1000))), """")
)
"),0.0)</f>
        <v>0</v>
      </c>
      <c r="W15" s="73">
        <f>IFERROR(__xludf.DUMMYFUNCTION("IF(U15=0, """",
  IFERROR(AVERAGE(FILTER(data_num!C15:C1000, (data_num!E15:E1000&amp;"""")=(T15&amp;""""), ISNUMBER(data_num!B15:B1000), ISNUMBER(data_num!C15:C1000))), """")
)
"),5.0)</f>
        <v>5</v>
      </c>
      <c r="X15" s="74"/>
      <c r="Y15" s="74"/>
      <c r="Z15" s="73"/>
      <c r="AA15" s="73" t="str">
        <f>IF(Z15=0,"",AVERAGEIFS(data_num!B:B, data_num!D:D, Y15, data_num!K:K, 1))
</f>
        <v/>
      </c>
      <c r="AB15" s="77" t="str">
        <f>IF(Z15=0,"",AVERAGEIFS(data_num!C:C, data_num!D:D, Y15, data_num!K:K, 1))
</f>
        <v/>
      </c>
      <c r="AC15" s="72" t="str">
        <f>IF(Z14=0,"",SUMIFS(data_num!L:L, data_num!D:D, Y14, data_num!K:K, 1)/Z14)
</f>
        <v/>
      </c>
      <c r="AD15" s="73" t="str">
        <f>IF(Z14=0,"",SUMIFS(data_num!L:L, data_num!D:D, Y14, data_num!K:K, 1)/Z14)
</f>
        <v/>
      </c>
      <c r="AE15" s="73"/>
      <c r="AF15" s="72">
        <f>IFERROR(__xludf.DUMMYFUNCTION("""COMPUTED_VALUE"""),7.0)</f>
        <v>7</v>
      </c>
      <c r="AG15" s="75" t="str">
        <f>IFERROR(__xludf.DUMMYFUNCTION("""COMPUTED_VALUE"""),"environnement")</f>
        <v>environnement</v>
      </c>
      <c r="AH15" s="73">
        <f>IFERROR(__xludf.DUMMYFUNCTION("""COMPUTED_VALUE"""),3.0)</f>
        <v>3</v>
      </c>
      <c r="AI15" s="77">
        <f>IFERROR(__xludf.DUMMYFUNCTION("""COMPUTED_VALUE"""),10.0)</f>
        <v>10</v>
      </c>
      <c r="AJ15" s="73">
        <f>IFERROR(__xludf.DUMMYFUNCTION("""COMPUTED_VALUE"""),7.0)</f>
        <v>7</v>
      </c>
      <c r="AK15" s="73"/>
      <c r="AL15" s="73"/>
      <c r="AM15" s="73"/>
      <c r="AN15" s="73"/>
      <c r="AO15" s="73"/>
      <c r="AP15" s="77"/>
      <c r="AQ15" s="72"/>
      <c r="AR15" s="73"/>
      <c r="AS15" s="73"/>
      <c r="AT15" s="73"/>
      <c r="AU15" s="73"/>
      <c r="AV15" s="73"/>
      <c r="AW15" s="73"/>
      <c r="AX15" s="77"/>
      <c r="AY15" s="77"/>
    </row>
    <row r="16" ht="16.5" customHeight="1">
      <c r="A16" s="72">
        <f>COUNT(data_num!A36:A1000)
</f>
        <v>14</v>
      </c>
      <c r="B16" s="73">
        <f>AVERAGE(data_num!B36:B1000)
</f>
        <v>3.785714286</v>
      </c>
      <c r="C16" s="74">
        <f>AVERAGE(data_num!C36:C1000)
</f>
        <v>6.285714286</v>
      </c>
      <c r="D16" s="73">
        <f>COUNTIFS(data_num!B36:B1000,"&gt;5", data_num!C36:C1000,"&gt;5")/COUNT(data_num!A36:A1000)
</f>
        <v>0.3571428571</v>
      </c>
      <c r="E16" s="74">
        <f>IFERROR(__xludf.DUMMYFUNCTION("IFERROR(
  IF(
    OR(
      ROWS(FILTER(data_num!B36:B1000, ISNUMBER(data_num!B36:B1000), ISNUMBER(data_num!C36:C1000)))&lt;2,
      STDEV.S(FILTER(data_num!B36:B1000, ISNUMBER(data_num!B36:B1000), ISNUMBER(data_num!C36:C1000)))=0,
      STDEV.S(FILTER(data"&amp;"_num!C36:C1000, ISNUMBER(data_num!B36:B1000), ISNUMBER(data_num!C36:C1000)))=0
    ),
    """",
    CORREL(
      FILTER(data_num!B36:B1000, ISNUMBER(data_num!B36:B1000), ISNUMBER(data_num!C36:C1000)),
      FILTER(data_num!C36:C1000, ISNUMBER(data_num!B3"&amp;"6:B1000), ISNUMBER(data_num!C36:C1000))
    )
  ),
"""")
"),0.11092199458925305)</f>
        <v>0.1109219946</v>
      </c>
      <c r="F16" s="73">
        <f>MEDIAN(data_num!B36:B1000)
</f>
        <v>4</v>
      </c>
      <c r="G16" s="73">
        <f>MEDIAN(data_num!C36:C1000)
</f>
        <v>7</v>
      </c>
      <c r="H16" s="73"/>
      <c r="I16" s="72"/>
      <c r="J16" s="73"/>
      <c r="K16" s="73"/>
      <c r="L16" s="73"/>
      <c r="M16" s="73"/>
      <c r="N16" s="73"/>
      <c r="O16" s="73"/>
      <c r="P16" s="73"/>
      <c r="Q16" s="73"/>
      <c r="R16" s="73"/>
      <c r="S16" s="73"/>
      <c r="T16" s="72">
        <f>IFERROR(__xludf.DUMMYFUNCTION("""COMPUTED_VALUE"""),14.0)</f>
        <v>14</v>
      </c>
      <c r="U16" s="77">
        <f>IFERROR(__xludf.DUMMYFUNCTION("IFERROR(
  ROWS(FILTER(data_num!A16:A1000, (data_num!E16:E1000&amp;"""")=(T16&amp;""""), ISNUMBER(data_num!B16:B1000), ISNUMBER(data_num!C16:C1000))),
  0
)
"),1.0)</f>
        <v>1</v>
      </c>
      <c r="V16" s="72">
        <f>IFERROR(__xludf.DUMMYFUNCTION("IF(U16=0, """",
  IFERROR(AVERAGE(FILTER(data_num!B16:B1000, (data_num!E16:E1000&amp;"""")=(T16&amp;""""), ISNUMBER(data_num!B16:B1000), ISNUMBER(data_num!C16:C1000))), """")
)
"),0.0)</f>
        <v>0</v>
      </c>
      <c r="W16" s="73">
        <f>IFERROR(__xludf.DUMMYFUNCTION("IF(U16=0, """",
  IFERROR(AVERAGE(FILTER(data_num!C16:C1000, (data_num!E16:E1000&amp;"""")=(T16&amp;""""), ISNUMBER(data_num!B16:B1000), ISNUMBER(data_num!C16:C1000))), """")
)
"),0.0)</f>
        <v>0</v>
      </c>
      <c r="X16" s="74"/>
      <c r="Y16" s="74"/>
      <c r="Z16" s="73"/>
      <c r="AA16" s="73" t="str">
        <f>IF(Z16=0,"",AVERAGEIFS(data_num!B:B, data_num!D:D, Y16, data_num!K:K, 1))
</f>
        <v/>
      </c>
      <c r="AB16" s="77" t="str">
        <f>IF(Z16=0,"",AVERAGEIFS(data_num!C:C, data_num!D:D, Y16, data_num!K:K, 1))
</f>
        <v/>
      </c>
      <c r="AC16" s="72" t="str">
        <f>IF(Z15=0,"",SUMIFS(data_num!L:L, data_num!D:D, Y15, data_num!K:K, 1)/Z15)
</f>
        <v/>
      </c>
      <c r="AD16" s="73" t="str">
        <f>IF(Z15=0,"",SUMIFS(data_num!L:L, data_num!D:D, Y15, data_num!K:K, 1)/Z15)
</f>
        <v/>
      </c>
      <c r="AE16" s="73"/>
      <c r="AF16" s="72">
        <f>IFERROR(__xludf.DUMMYFUNCTION("""COMPUTED_VALUE"""),42.0)</f>
        <v>42</v>
      </c>
      <c r="AG16" s="75" t="str">
        <f>IFERROR(__xludf.DUMMYFUNCTION("""COMPUTED_VALUE"""),"pour tous et pour toutes")</f>
        <v>pour tous et pour toutes</v>
      </c>
      <c r="AH16" s="73">
        <f>IFERROR(__xludf.DUMMYFUNCTION("""COMPUTED_VALUE"""),5.0)</f>
        <v>5</v>
      </c>
      <c r="AI16" s="77">
        <f>IFERROR(__xludf.DUMMYFUNCTION("""COMPUTED_VALUE"""),5.0)</f>
        <v>5</v>
      </c>
      <c r="AJ16" s="74">
        <f>IFERROR(__xludf.DUMMYFUNCTION("""COMPUTED_VALUE"""),7.0710678118654755)</f>
        <v>7.071067812</v>
      </c>
      <c r="AK16" s="74"/>
      <c r="AL16" s="74"/>
      <c r="AM16" s="74"/>
      <c r="AN16" s="74"/>
      <c r="AO16" s="74"/>
      <c r="AP16" s="77"/>
      <c r="AQ16" s="72"/>
      <c r="AR16" s="73"/>
      <c r="AS16" s="73"/>
      <c r="AT16" s="73"/>
      <c r="AU16" s="73"/>
      <c r="AV16" s="73"/>
      <c r="AW16" s="73"/>
      <c r="AX16" s="77"/>
      <c r="AY16" s="77"/>
    </row>
    <row r="17" ht="16.5" customHeight="1">
      <c r="A17" s="72">
        <f>COUNT(data_num!A35:A1000)
</f>
        <v>15</v>
      </c>
      <c r="B17" s="73">
        <f>AVERAGE(data_num!B35:B1000)
</f>
        <v>3.533333333</v>
      </c>
      <c r="C17" s="74">
        <f>AVERAGE(data_num!C35:C1000)
</f>
        <v>5.866666667</v>
      </c>
      <c r="D17" s="73">
        <f>COUNTIFS(data_num!B35:B1000,"&gt;5", data_num!C35:C1000,"&gt;5")/COUNT(data_num!A35:A1000)
</f>
        <v>0.3333333333</v>
      </c>
      <c r="E17" s="74">
        <f>IFERROR(__xludf.DUMMYFUNCTION("IFERROR(
  IF(
    OR(
      ROWS(FILTER(data_num!B35:B1000, ISNUMBER(data_num!B35:B1000), ISNUMBER(data_num!C35:C1000)))&lt;2,
      STDEV.S(FILTER(data_num!B35:B1000, ISNUMBER(data_num!B35:B1000), ISNUMBER(data_num!C35:C1000)))=0,
      STDEV.S(FILTER(data"&amp;"_num!C35:C1000, ISNUMBER(data_num!B35:B1000), ISNUMBER(data_num!C35:C1000)))=0
    ),
    """",
    CORREL(
      FILTER(data_num!B35:B1000, ISNUMBER(data_num!B35:B1000), ISNUMBER(data_num!C35:C1000)),
      FILTER(data_num!C35:C1000, ISNUMBER(data_num!B3"&amp;"5:B1000), ISNUMBER(data_num!C35:C1000))
    )
  ),
"""")
"),0.23206499567993685)</f>
        <v>0.2320649957</v>
      </c>
      <c r="F17" s="73">
        <f>MEDIAN(data_num!B35:B1000)
</f>
        <v>3</v>
      </c>
      <c r="G17" s="73">
        <f>MEDIAN(data_num!C35:C1000)
</f>
        <v>7</v>
      </c>
      <c r="H17" s="73"/>
      <c r="I17" s="72"/>
      <c r="J17" s="73"/>
      <c r="K17" s="73"/>
      <c r="L17" s="73"/>
      <c r="M17" s="73"/>
      <c r="N17" s="73"/>
      <c r="O17" s="73"/>
      <c r="P17" s="73"/>
      <c r="Q17" s="73"/>
      <c r="R17" s="73"/>
      <c r="S17" s="73"/>
      <c r="T17" s="72">
        <f>IFERROR(__xludf.DUMMYFUNCTION("""COMPUTED_VALUE"""),15.0)</f>
        <v>15</v>
      </c>
      <c r="U17" s="77">
        <f>IFERROR(__xludf.DUMMYFUNCTION("IFERROR(
  ROWS(FILTER(data_num!A17:A1000, (data_num!E17:E1000&amp;"""")=(T17&amp;""""), ISNUMBER(data_num!B17:B1000), ISNUMBER(data_num!C17:C1000))),
  0
)
"),1.0)</f>
        <v>1</v>
      </c>
      <c r="V17" s="72">
        <f>IFERROR(__xludf.DUMMYFUNCTION("IF(U17=0, """",
  IFERROR(AVERAGE(FILTER(data_num!B17:B1000, (data_num!E17:E1000&amp;"""")=(T17&amp;""""), ISNUMBER(data_num!B17:B1000), ISNUMBER(data_num!C17:C1000))), """")
)
"),0.0)</f>
        <v>0</v>
      </c>
      <c r="W17" s="73">
        <f>IFERROR(__xludf.DUMMYFUNCTION("IF(U17=0, """",
  IFERROR(AVERAGE(FILTER(data_num!C17:C1000, (data_num!E17:E1000&amp;"""")=(T17&amp;""""), ISNUMBER(data_num!B17:B1000), ISNUMBER(data_num!C17:C1000))), """")
)
"),5.0)</f>
        <v>5</v>
      </c>
      <c r="X17" s="74"/>
      <c r="Y17" s="74"/>
      <c r="Z17" s="73"/>
      <c r="AA17" s="73" t="str">
        <f>IF(Z17=0,"",AVERAGEIFS(data_num!B:B, data_num!D:D, Y17, data_num!K:K, 1))
</f>
        <v/>
      </c>
      <c r="AB17" s="77" t="str">
        <f>IF(Z17=0,"",AVERAGEIFS(data_num!C:C, data_num!D:D, Y17, data_num!K:K, 1))
</f>
        <v/>
      </c>
      <c r="AC17" s="72" t="str">
        <f>IF(Z16=0,"",SUMIFS(data_num!L:L, data_num!D:D, Y16, data_num!K:K, 1)/Z16)
</f>
        <v/>
      </c>
      <c r="AD17" s="73" t="str">
        <f>IF(Z16=0,"",SUMIFS(data_num!L:L, data_num!D:D, Y16, data_num!K:K, 1)/Z16)
</f>
        <v/>
      </c>
      <c r="AE17" s="73"/>
      <c r="AF17" s="72">
        <f>IFERROR(__xludf.DUMMYFUNCTION("""COMPUTED_VALUE"""),29.0)</f>
        <v>29</v>
      </c>
      <c r="AG17" s="75" t="str">
        <f>IFERROR(__xludf.DUMMYFUNCTION("""COMPUTED_VALUE"""),"tout au long de la vie")</f>
        <v>tout au long de la vie</v>
      </c>
      <c r="AH17" s="73">
        <f>IFERROR(__xludf.DUMMYFUNCTION("""COMPUTED_VALUE"""),5.0)</f>
        <v>5</v>
      </c>
      <c r="AI17" s="77">
        <f>IFERROR(__xludf.DUMMYFUNCTION("""COMPUTED_VALUE"""),4.0)</f>
        <v>4</v>
      </c>
      <c r="AJ17" s="74">
        <f>IFERROR(__xludf.DUMMYFUNCTION("""COMPUTED_VALUE"""),7.810249675906654)</f>
        <v>7.810249676</v>
      </c>
      <c r="AK17" s="74"/>
      <c r="AL17" s="74"/>
      <c r="AM17" s="74"/>
      <c r="AN17" s="74"/>
      <c r="AO17" s="74"/>
      <c r="AP17" s="77"/>
      <c r="AQ17" s="72"/>
      <c r="AR17" s="73"/>
      <c r="AS17" s="73"/>
      <c r="AT17" s="73"/>
      <c r="AU17" s="73"/>
      <c r="AV17" s="73"/>
      <c r="AW17" s="73"/>
      <c r="AX17" s="77"/>
      <c r="AY17" s="77"/>
    </row>
    <row r="18" ht="16.5" customHeight="1">
      <c r="A18" s="72">
        <f>COUNT(data_num!A34:A1000)
</f>
        <v>16</v>
      </c>
      <c r="B18" s="73">
        <f>AVERAGE(data_num!B34:B1000)
</f>
        <v>3.3125</v>
      </c>
      <c r="C18" s="74">
        <f>AVERAGE(data_num!C34:C1000)
</f>
        <v>5.8125</v>
      </c>
      <c r="D18" s="73">
        <f>COUNTIFS(data_num!B34:B1000,"&gt;5", data_num!C34:C1000,"&gt;5")/COUNT(data_num!A34:A1000)
</f>
        <v>0.3125</v>
      </c>
      <c r="E18" s="74">
        <f>IFERROR(__xludf.DUMMYFUNCTION("IFERROR(
  IF(
    OR(
      ROWS(FILTER(data_num!B34:B1000, ISNUMBER(data_num!B34:B1000), ISNUMBER(data_num!C34:C1000)))&lt;2,
      STDEV.S(FILTER(data_num!B34:B1000, ISNUMBER(data_num!B34:B1000), ISNUMBER(data_num!C34:C1000)))=0,
      STDEV.S(FILTER(data"&amp;"_num!C34:C1000, ISNUMBER(data_num!B34:B1000), ISNUMBER(data_num!C34:C1000)))=0
    ),
    """",
    CORREL(
      FILTER(data_num!B34:B1000, ISNUMBER(data_num!B34:B1000), ISNUMBER(data_num!C34:C1000)),
      FILTER(data_num!C34:C1000, ISNUMBER(data_num!B3"&amp;"4:B1000), ISNUMBER(data_num!C34:C1000))
    )
  ),
"""")
"),0.242857676310678)</f>
        <v>0.2428576763</v>
      </c>
      <c r="F18" s="73">
        <f>MEDIAN(data_num!B34:B1000)
</f>
        <v>1.5</v>
      </c>
      <c r="G18" s="73">
        <f>MEDIAN(data_num!C34:C1000)
</f>
        <v>6.5</v>
      </c>
      <c r="H18" s="73"/>
      <c r="I18" s="72"/>
      <c r="J18" s="73"/>
      <c r="K18" s="73"/>
      <c r="L18" s="73"/>
      <c r="M18" s="73"/>
      <c r="N18" s="73"/>
      <c r="O18" s="73"/>
      <c r="P18" s="73"/>
      <c r="Q18" s="73"/>
      <c r="R18" s="73"/>
      <c r="S18" s="73"/>
      <c r="T18" s="72">
        <f>IFERROR(__xludf.DUMMYFUNCTION("""COMPUTED_VALUE"""),16.0)</f>
        <v>16</v>
      </c>
      <c r="U18" s="77">
        <f>IFERROR(__xludf.DUMMYFUNCTION("IFERROR(
  ROWS(FILTER(data_num!A18:A1000, (data_num!E18:E1000&amp;"""")=(T18&amp;""""), ISNUMBER(data_num!B18:B1000), ISNUMBER(data_num!C18:C1000))),
  0
)
"),0.0)</f>
        <v>0</v>
      </c>
      <c r="V18" s="72" t="str">
        <f>IFERROR(__xludf.DUMMYFUNCTION("IF(U18=0, """",
  IFERROR(AVERAGE(FILTER(data_num!B18:B1000, (data_num!E18:E1000&amp;"""")=(T18&amp;""""), ISNUMBER(data_num!B18:B1000), ISNUMBER(data_num!C18:C1000))), """")
)
"),"")</f>
        <v/>
      </c>
      <c r="W18" s="73" t="str">
        <f>IFERROR(__xludf.DUMMYFUNCTION("IF(U18=0, """",
  IFERROR(AVERAGE(FILTER(data_num!C18:C1000, (data_num!E18:E1000&amp;"""")=(T18&amp;""""), ISNUMBER(data_num!B18:B1000), ISNUMBER(data_num!C18:C1000))), """")
)
"),"")</f>
        <v/>
      </c>
      <c r="X18" s="74"/>
      <c r="Y18" s="74"/>
      <c r="Z18" s="73"/>
      <c r="AA18" s="73" t="str">
        <f>IF(Z18=0,"",AVERAGEIFS(data_num!B:B, data_num!D:D, Y18, data_num!K:K, 1))
</f>
        <v/>
      </c>
      <c r="AB18" s="77" t="str">
        <f>IF(Z18=0,"",AVERAGEIFS(data_num!C:C, data_num!D:D, Y18, data_num!K:K, 1))
</f>
        <v/>
      </c>
      <c r="AC18" s="72" t="str">
        <f>IF(Z17=0,"",SUMIFS(data_num!L:L, data_num!D:D, Y17, data_num!K:K, 1)/Z17)
</f>
        <v/>
      </c>
      <c r="AD18" s="73" t="str">
        <f>IF(Z17=0,"",SUMIFS(data_num!L:L, data_num!D:D, Y17, data_num!K:K, 1)/Z17)
</f>
        <v/>
      </c>
      <c r="AE18" s="73"/>
      <c r="AF18" s="72">
        <f>IFERROR(__xludf.DUMMYFUNCTION("""COMPUTED_VALUE"""),48.0)</f>
        <v>48</v>
      </c>
      <c r="AG18" s="75" t="str">
        <f>IFERROR(__xludf.DUMMYFUNCTION("""COMPUTED_VALUE"""),"pratiques de l'éducation")</f>
        <v>pratiques de l'éducation</v>
      </c>
      <c r="AH18" s="73">
        <f>IFERROR(__xludf.DUMMYFUNCTION("""COMPUTED_VALUE"""),3.0)</f>
        <v>3</v>
      </c>
      <c r="AI18" s="77">
        <f>IFERROR(__xludf.DUMMYFUNCTION("""COMPUTED_VALUE"""),6.0)</f>
        <v>6</v>
      </c>
      <c r="AJ18" s="74">
        <f>IFERROR(__xludf.DUMMYFUNCTION("""COMPUTED_VALUE"""),8.06225774829855)</f>
        <v>8.062257748</v>
      </c>
      <c r="AK18" s="74"/>
      <c r="AL18" s="74"/>
      <c r="AM18" s="74"/>
      <c r="AN18" s="74"/>
      <c r="AO18" s="74"/>
      <c r="AP18" s="77"/>
      <c r="AQ18" s="72"/>
      <c r="AR18" s="73"/>
      <c r="AS18" s="73"/>
      <c r="AT18" s="73"/>
      <c r="AU18" s="73"/>
      <c r="AV18" s="73"/>
      <c r="AW18" s="73"/>
      <c r="AX18" s="77"/>
      <c r="AY18" s="77"/>
    </row>
    <row r="19" ht="16.5" customHeight="1">
      <c r="A19" s="72">
        <f>COUNT(data_num!A33:A1000)
</f>
        <v>17</v>
      </c>
      <c r="B19" s="73">
        <f>AVERAGE(data_num!B33:B1000)
</f>
        <v>3.352941176</v>
      </c>
      <c r="C19" s="74">
        <f>AVERAGE(data_num!C33:C1000)
</f>
        <v>6</v>
      </c>
      <c r="D19" s="73">
        <f>COUNTIFS(data_num!B33:B1000,"&gt;5", data_num!C33:C1000,"&gt;5")/COUNT(data_num!A33:A1000)
</f>
        <v>0.2941176471</v>
      </c>
      <c r="E19" s="74">
        <f>IFERROR(__xludf.DUMMYFUNCTION("IFERROR(
  IF(
    OR(
      ROWS(FILTER(data_num!B33:B1000, ISNUMBER(data_num!B33:B1000), ISNUMBER(data_num!C33:C1000)))&lt;2,
      STDEV.S(FILTER(data_num!B33:B1000, ISNUMBER(data_num!B33:B1000), ISNUMBER(data_num!C33:C1000)))=0,
      STDEV.S(FILTER(data"&amp;"_num!C33:C1000, ISNUMBER(data_num!B33:B1000), ISNUMBER(data_num!C33:C1000)))=0
    ),
    """",
    CORREL(
      FILTER(data_num!B33:B1000, ISNUMBER(data_num!B33:B1000), ISNUMBER(data_num!C33:C1000)),
      FILTER(data_num!C33:C1000, ISNUMBER(data_num!B3"&amp;"3:B1000), ISNUMBER(data_num!C33:C1000))
    )
  ),
"""")
"),0.2458808489757497)</f>
        <v>0.245880849</v>
      </c>
      <c r="F19" s="73">
        <f>MEDIAN(data_num!B33:B1000)
</f>
        <v>3</v>
      </c>
      <c r="G19" s="73">
        <f>MEDIAN(data_num!C33:C1000)
</f>
        <v>7</v>
      </c>
      <c r="H19" s="73"/>
      <c r="I19" s="72"/>
      <c r="J19" s="73"/>
      <c r="K19" s="73"/>
      <c r="L19" s="73"/>
      <c r="M19" s="73"/>
      <c r="N19" s="73"/>
      <c r="O19" s="73"/>
      <c r="P19" s="73"/>
      <c r="Q19" s="73"/>
      <c r="R19" s="73"/>
      <c r="S19" s="73"/>
      <c r="T19" s="72">
        <f>IFERROR(__xludf.DUMMYFUNCTION("""COMPUTED_VALUE"""),17.0)</f>
        <v>17</v>
      </c>
      <c r="U19" s="77">
        <f>IFERROR(__xludf.DUMMYFUNCTION("IFERROR(
  ROWS(FILTER(data_num!A19:A1000, (data_num!E19:E1000&amp;"""")=(T19&amp;""""), ISNUMBER(data_num!B19:B1000), ISNUMBER(data_num!C19:C1000))),
  0
)
"),0.0)</f>
        <v>0</v>
      </c>
      <c r="V19" s="72" t="str">
        <f>IFERROR(__xludf.DUMMYFUNCTION("IF(U19=0, """",
  IFERROR(AVERAGE(FILTER(data_num!B19:B1000, (data_num!E19:E1000&amp;"""")=(T19&amp;""""), ISNUMBER(data_num!B19:B1000), ISNUMBER(data_num!C19:C1000))), """")
)
"),"")</f>
        <v/>
      </c>
      <c r="W19" s="73" t="str">
        <f>IFERROR(__xludf.DUMMYFUNCTION("IF(U19=0, """",
  IFERROR(AVERAGE(FILTER(data_num!C19:C1000, (data_num!E19:E1000&amp;"""")=(T19&amp;""""), ISNUMBER(data_num!B19:B1000), ISNUMBER(data_num!C19:C1000))), """")
)
"),"")</f>
        <v/>
      </c>
      <c r="X19" s="74"/>
      <c r="Y19" s="74"/>
      <c r="Z19" s="73"/>
      <c r="AA19" s="73" t="str">
        <f>IF(Z19=0,"",AVERAGEIFS(data_num!B:B, data_num!D:D, Y19, data_num!K:K, 1))
</f>
        <v/>
      </c>
      <c r="AB19" s="77" t="str">
        <f>IF(Z19=0,"",AVERAGEIFS(data_num!C:C, data_num!D:D, Y19, data_num!K:K, 1))
</f>
        <v/>
      </c>
      <c r="AC19" s="72" t="str">
        <f>IF(Z18=0,"",SUMIFS(data_num!L:L, data_num!D:D, Y18, data_num!K:K, 1)/Z18)
</f>
        <v/>
      </c>
      <c r="AD19" s="73" t="str">
        <f>IF(Z18=0,"",SUMIFS(data_num!L:L, data_num!D:D, Y18, data_num!K:K, 1)/Z18)
</f>
        <v/>
      </c>
      <c r="AE19" s="73"/>
      <c r="AF19" s="72">
        <f>IFERROR(__xludf.DUMMYFUNCTION("""COMPUTED_VALUE"""),26.0)</f>
        <v>26</v>
      </c>
      <c r="AG19" s="75" t="str">
        <f>IFERROR(__xludf.DUMMYFUNCTION("""COMPUTED_VALUE"""),"tout au long de la vie")</f>
        <v>tout au long de la vie</v>
      </c>
      <c r="AH19" s="73">
        <f>IFERROR(__xludf.DUMMYFUNCTION("""COMPUTED_VALUE"""),4.0)</f>
        <v>4</v>
      </c>
      <c r="AI19" s="77">
        <f>IFERROR(__xludf.DUMMYFUNCTION("""COMPUTED_VALUE"""),3.0)</f>
        <v>3</v>
      </c>
      <c r="AJ19" s="74">
        <f>IFERROR(__xludf.DUMMYFUNCTION("""COMPUTED_VALUE"""),9.219544457292887)</f>
        <v>9.219544457</v>
      </c>
      <c r="AK19" s="74"/>
      <c r="AL19" s="74"/>
      <c r="AM19" s="74"/>
      <c r="AN19" s="74"/>
      <c r="AO19" s="74"/>
      <c r="AP19" s="77"/>
      <c r="AQ19" s="72"/>
      <c r="AR19" s="73"/>
      <c r="AS19" s="73"/>
      <c r="AT19" s="73"/>
      <c r="AU19" s="73"/>
      <c r="AV19" s="73"/>
      <c r="AW19" s="73"/>
      <c r="AX19" s="77"/>
      <c r="AY19" s="77"/>
    </row>
    <row r="20" ht="16.5" customHeight="1">
      <c r="A20" s="72">
        <f>COUNT(data_num!A32:A1000)
</f>
        <v>18</v>
      </c>
      <c r="B20" s="73">
        <f>AVERAGE(data_num!B32:B1000)
</f>
        <v>3.277777778</v>
      </c>
      <c r="C20" s="74">
        <f>AVERAGE(data_num!C32:C1000)
</f>
        <v>5.888888889</v>
      </c>
      <c r="D20" s="73">
        <f>COUNTIFS(data_num!B32:B1000,"&gt;5", data_num!C32:C1000,"&gt;5")/COUNT(data_num!A32:A1000)
</f>
        <v>0.2777777778</v>
      </c>
      <c r="E20" s="74">
        <f>IFERROR(__xludf.DUMMYFUNCTION("IFERROR(
  IF(
    OR(
      ROWS(FILTER(data_num!B32:B1000, ISNUMBER(data_num!B32:B1000), ISNUMBER(data_num!C32:C1000)))&lt;2,
      STDEV.S(FILTER(data_num!B32:B1000, ISNUMBER(data_num!B32:B1000), ISNUMBER(data_num!C32:C1000)))=0,
      STDEV.S(FILTER(data"&amp;"_num!C32:C1000, ISNUMBER(data_num!B32:B1000), ISNUMBER(data_num!C32:C1000)))=0
    ),
    """",
    CORREL(
      FILTER(data_num!B32:B1000, ISNUMBER(data_num!B32:B1000), ISNUMBER(data_num!C32:C1000)),
      FILTER(data_num!C32:C1000, ISNUMBER(data_num!B3"&amp;"2:B1000), ISNUMBER(data_num!C32:C1000))
    )
  ),
"""")
"),0.25645785174687097)</f>
        <v>0.2564578517</v>
      </c>
      <c r="F20" s="73">
        <f>MEDIAN(data_num!B32:B1000)
</f>
        <v>2.5</v>
      </c>
      <c r="G20" s="73">
        <f>MEDIAN(data_num!C32:C1000)
</f>
        <v>6.5</v>
      </c>
      <c r="H20" s="73"/>
      <c r="I20" s="72"/>
      <c r="J20" s="73"/>
      <c r="K20" s="73"/>
      <c r="L20" s="73"/>
      <c r="M20" s="73"/>
      <c r="N20" s="73"/>
      <c r="O20" s="73"/>
      <c r="P20" s="73"/>
      <c r="Q20" s="73"/>
      <c r="R20" s="73"/>
      <c r="S20" s="73"/>
      <c r="T20" s="72">
        <f>IFERROR(__xludf.DUMMYFUNCTION("""COMPUTED_VALUE"""),18.0)</f>
        <v>18</v>
      </c>
      <c r="U20" s="77">
        <f>IFERROR(__xludf.DUMMYFUNCTION("IFERROR(
  ROWS(FILTER(data_num!A20:A1000, (data_num!E20:E1000&amp;"""")=(T20&amp;""""), ISNUMBER(data_num!B20:B1000), ISNUMBER(data_num!C20:C1000))),
  0
)
"),0.0)</f>
        <v>0</v>
      </c>
      <c r="V20" s="72" t="str">
        <f>IFERROR(__xludf.DUMMYFUNCTION("IF(U20=0, """",
  IFERROR(AVERAGE(FILTER(data_num!B20:B1000, (data_num!E20:E1000&amp;"""")=(T20&amp;""""), ISNUMBER(data_num!B20:B1000), ISNUMBER(data_num!C20:C1000))), """")
)
"),"")</f>
        <v/>
      </c>
      <c r="W20" s="73" t="str">
        <f>IFERROR(__xludf.DUMMYFUNCTION("IF(U20=0, """",
  IFERROR(AVERAGE(FILTER(data_num!C20:C1000, (data_num!E20:E1000&amp;"""")=(T20&amp;""""), ISNUMBER(data_num!B20:B1000), ISNUMBER(data_num!C20:C1000))), """")
)
"),"")</f>
        <v/>
      </c>
      <c r="X20" s="74"/>
      <c r="Y20" s="74"/>
      <c r="Z20" s="73"/>
      <c r="AA20" s="73" t="str">
        <f>IF(Z20=0,"",AVERAGEIFS(data_num!B:B, data_num!D:D, Y20, data_num!K:K, 1))
</f>
        <v/>
      </c>
      <c r="AB20" s="77" t="str">
        <f>IF(Z20=0,"",AVERAGEIFS(data_num!C:C, data_num!D:D, Y20, data_num!K:K, 1))
</f>
        <v/>
      </c>
      <c r="AC20" s="72" t="str">
        <f>IF(Z19=0,"",SUMIFS(data_num!L:L, data_num!D:D, Y19, data_num!K:K, 1)/Z19)
</f>
        <v/>
      </c>
      <c r="AD20" s="73" t="str">
        <f>IF(Z19=0,"",SUMIFS(data_num!L:L, data_num!D:D, Y19, data_num!K:K, 1)/Z19)
</f>
        <v/>
      </c>
      <c r="AE20" s="74"/>
      <c r="AF20" s="77">
        <f>IFERROR(__xludf.DUMMYFUNCTION("""COMPUTED_VALUE"""),24.0)</f>
        <v>24</v>
      </c>
      <c r="AG20" s="75" t="str">
        <f>IFERROR(__xludf.DUMMYFUNCTION("""COMPUTED_VALUE"""),"tout au long de la vie")</f>
        <v>tout au long de la vie</v>
      </c>
      <c r="AH20" s="74">
        <f>IFERROR(__xludf.DUMMYFUNCTION("""COMPUTED_VALUE"""),3.0)</f>
        <v>3</v>
      </c>
      <c r="AI20" s="77">
        <f>IFERROR(__xludf.DUMMYFUNCTION("""COMPUTED_VALUE"""),3.0)</f>
        <v>3</v>
      </c>
      <c r="AJ20" s="74">
        <f>IFERROR(__xludf.DUMMYFUNCTION("""COMPUTED_VALUE"""),9.899494936611665)</f>
        <v>9.899494937</v>
      </c>
      <c r="AK20" s="74"/>
      <c r="AL20" s="74"/>
      <c r="AM20" s="74"/>
      <c r="AN20" s="74"/>
      <c r="AO20" s="74"/>
      <c r="AP20" s="77"/>
      <c r="AQ20" s="72"/>
      <c r="AR20" s="73"/>
      <c r="AS20" s="73"/>
      <c r="AT20" s="73"/>
      <c r="AU20" s="73"/>
      <c r="AV20" s="73"/>
      <c r="AW20" s="73"/>
      <c r="AX20" s="77"/>
      <c r="AY20" s="77"/>
    </row>
    <row r="21" ht="16.5" customHeight="1">
      <c r="A21" s="72">
        <f>COUNT(data_num!A31:A1000)
</f>
        <v>19</v>
      </c>
      <c r="B21" s="73">
        <f>AVERAGE(data_num!B31:B1000)
</f>
        <v>3.157894737</v>
      </c>
      <c r="C21" s="74">
        <f>AVERAGE(data_num!C31:C1000)
</f>
        <v>5.736842105</v>
      </c>
      <c r="D21" s="73">
        <f>COUNTIFS(data_num!B31:B1000,"&gt;5", data_num!C31:C1000,"&gt;5")/COUNT(data_num!A31:A1000)
</f>
        <v>0.2631578947</v>
      </c>
      <c r="E21" s="74">
        <f>IFERROR(__xludf.DUMMYFUNCTION("IFERROR(
  IF(
    OR(
      ROWS(FILTER(data_num!B31:B1000, ISNUMBER(data_num!B31:B1000), ISNUMBER(data_num!C31:C1000)))&lt;2,
      STDEV.S(FILTER(data_num!B31:B1000, ISNUMBER(data_num!B31:B1000), ISNUMBER(data_num!C31:C1000)))=0,
      STDEV.S(FILTER(data"&amp;"_num!C31:C1000, ISNUMBER(data_num!B31:B1000), ISNUMBER(data_num!C31:C1000)))=0
    ),
    """",
    CORREL(
      FILTER(data_num!B31:B1000, ISNUMBER(data_num!B31:B1000), ISNUMBER(data_num!C31:C1000)),
      FILTER(data_num!C31:C1000, ISNUMBER(data_num!B3"&amp;"1:B1000), ISNUMBER(data_num!C31:C1000))
    )
  ),
"""")
"),0.28167389362316075)</f>
        <v>0.2816738936</v>
      </c>
      <c r="F21" s="73">
        <f>MEDIAN(data_num!B31:B1000)
</f>
        <v>2</v>
      </c>
      <c r="G21" s="73">
        <f>MEDIAN(data_num!C31:C1000)
</f>
        <v>6</v>
      </c>
      <c r="H21" s="74"/>
      <c r="I21" s="72"/>
      <c r="J21" s="74"/>
      <c r="K21" s="74"/>
      <c r="L21" s="73"/>
      <c r="M21" s="74"/>
      <c r="N21" s="73"/>
      <c r="O21" s="74"/>
      <c r="P21" s="73"/>
      <c r="Q21" s="74"/>
      <c r="R21" s="73"/>
      <c r="S21" s="74"/>
      <c r="T21" s="72">
        <f>IFERROR(__xludf.DUMMYFUNCTION("""COMPUTED_VALUE"""),19.0)</f>
        <v>19</v>
      </c>
      <c r="U21" s="77">
        <f>IFERROR(__xludf.DUMMYFUNCTION("IFERROR(
  ROWS(FILTER(data_num!A21:A1000, (data_num!E21:E1000&amp;"""")=(T21&amp;""""), ISNUMBER(data_num!B21:B1000), ISNUMBER(data_num!C21:C1000))),
  0
)
"),0.0)</f>
        <v>0</v>
      </c>
      <c r="V21" s="72" t="str">
        <f>IFERROR(__xludf.DUMMYFUNCTION("IF(U21=0, """",
  IFERROR(AVERAGE(FILTER(data_num!B21:B1000, (data_num!E21:E1000&amp;"""")=(T21&amp;""""), ISNUMBER(data_num!B21:B1000), ISNUMBER(data_num!C21:C1000))), """")
)
"),"")</f>
        <v/>
      </c>
      <c r="W21" s="73" t="str">
        <f>IFERROR(__xludf.DUMMYFUNCTION("IF(U21=0, """",
  IFERROR(AVERAGE(FILTER(data_num!C21:C1000, (data_num!E21:E1000&amp;"""")=(T21&amp;""""), ISNUMBER(data_num!B21:B1000), ISNUMBER(data_num!C21:C1000))), """")
)
"),"")</f>
        <v/>
      </c>
      <c r="X21" s="74"/>
      <c r="Y21" s="74"/>
      <c r="Z21" s="73"/>
      <c r="AA21" s="73" t="str">
        <f>IF(Z21=0,"",AVERAGEIFS(data_num!B:B, data_num!D:D, Y21, data_num!K:K, 1))
</f>
        <v/>
      </c>
      <c r="AB21" s="77" t="str">
        <f>IF(Z21=0,"",AVERAGEIFS(data_num!C:C, data_num!D:D, Y21, data_num!K:K, 1))
</f>
        <v/>
      </c>
      <c r="AC21" s="72" t="str">
        <f>IF(Z20=0,"",SUMIFS(data_num!L:L, data_num!D:D, Y20, data_num!K:K, 1)/Z20)
</f>
        <v/>
      </c>
      <c r="AD21" s="73" t="str">
        <f>IF(Z20=0,"",SUMIFS(data_num!L:L, data_num!D:D, Y20, data_num!K:K, 1)/Z20)
</f>
        <v/>
      </c>
      <c r="AE21" s="74"/>
      <c r="AF21" s="77">
        <f>IFERROR(__xludf.DUMMYFUNCTION("""COMPUTED_VALUE"""),28.0)</f>
        <v>28</v>
      </c>
      <c r="AG21" s="75" t="str">
        <f>IFERROR(__xludf.DUMMYFUNCTION("""COMPUTED_VALUE"""),"tout au long de la vie")</f>
        <v>tout au long de la vie</v>
      </c>
      <c r="AH21" s="74">
        <f>IFERROR(__xludf.DUMMYFUNCTION("""COMPUTED_VALUE"""),3.0)</f>
        <v>3</v>
      </c>
      <c r="AI21" s="77">
        <f>IFERROR(__xludf.DUMMYFUNCTION("""COMPUTED_VALUE"""),3.0)</f>
        <v>3</v>
      </c>
      <c r="AJ21" s="74">
        <f>IFERROR(__xludf.DUMMYFUNCTION("""COMPUTED_VALUE"""),9.899494936611665)</f>
        <v>9.899494937</v>
      </c>
      <c r="AK21" s="74"/>
      <c r="AL21" s="74"/>
      <c r="AM21" s="74"/>
      <c r="AN21" s="74"/>
      <c r="AO21" s="74"/>
      <c r="AP21" s="77"/>
      <c r="AQ21" s="72"/>
      <c r="AR21" s="73"/>
      <c r="AS21" s="73"/>
      <c r="AT21" s="73"/>
      <c r="AU21" s="73"/>
      <c r="AV21" s="73"/>
      <c r="AW21" s="73"/>
      <c r="AX21" s="77"/>
      <c r="AY21" s="77"/>
    </row>
    <row r="22" ht="16.5" customHeight="1">
      <c r="A22" s="72">
        <f>COUNT(data_num!A30:A1000)
</f>
        <v>20</v>
      </c>
      <c r="B22" s="73">
        <f>AVERAGE(data_num!B30:B1000)
</f>
        <v>3.25</v>
      </c>
      <c r="C22" s="74">
        <f>AVERAGE(data_num!C30:C1000)
</f>
        <v>5.65</v>
      </c>
      <c r="D22" s="73">
        <f>COUNTIFS(data_num!B30:B1000,"&gt;5", data_num!C30:C1000,"&gt;5")/COUNT(data_num!A30:A1000)
</f>
        <v>0.25</v>
      </c>
      <c r="E22" s="74">
        <f>IFERROR(__xludf.DUMMYFUNCTION("IFERROR(
  IF(
    OR(
      ROWS(FILTER(data_num!B30:B1000, ISNUMBER(data_num!B30:B1000), ISNUMBER(data_num!C30:C1000)))&lt;2,
      STDEV.S(FILTER(data_num!B30:B1000, ISNUMBER(data_num!B30:B1000), ISNUMBER(data_num!C30:C1000)))=0,
      STDEV.S(FILTER(data"&amp;"_num!C30:C1000, ISNUMBER(data_num!B30:B1000), ISNUMBER(data_num!C30:C1000)))=0
    ),
    """",
    CORREL(
      FILTER(data_num!B30:B1000, ISNUMBER(data_num!B30:B1000), ISNUMBER(data_num!C30:C1000)),
      FILTER(data_num!C30:C1000, ISNUMBER(data_num!B3"&amp;"0:B1000), ISNUMBER(data_num!C30:C1000))
    )
  ),
"""")
"),0.2599507323005741)</f>
        <v>0.2599507323</v>
      </c>
      <c r="F22" s="73">
        <f>MEDIAN(data_num!B30:B1000)
</f>
        <v>2.5</v>
      </c>
      <c r="G22" s="73">
        <f>MEDIAN(data_num!C30:C1000)
</f>
        <v>5.5</v>
      </c>
      <c r="H22" s="74"/>
      <c r="I22" s="72"/>
      <c r="J22" s="74"/>
      <c r="K22" s="74"/>
      <c r="L22" s="73"/>
      <c r="M22" s="74"/>
      <c r="N22" s="73"/>
      <c r="O22" s="74"/>
      <c r="P22" s="73"/>
      <c r="Q22" s="74"/>
      <c r="R22" s="73"/>
      <c r="S22" s="74"/>
      <c r="T22" s="72">
        <f>IFERROR(__xludf.DUMMYFUNCTION("""COMPUTED_VALUE"""),20.0)</f>
        <v>20</v>
      </c>
      <c r="U22" s="77">
        <f>IFERROR(__xludf.DUMMYFUNCTION("IFERROR(
  ROWS(FILTER(data_num!A22:A1000, (data_num!E22:E1000&amp;"""")=(T22&amp;""""), ISNUMBER(data_num!B22:B1000), ISNUMBER(data_num!C22:C1000))),
  0
)
"),0.0)</f>
        <v>0</v>
      </c>
      <c r="V22" s="72" t="str">
        <f>IFERROR(__xludf.DUMMYFUNCTION("IF(U22=0, """",
  IFERROR(AVERAGE(FILTER(data_num!B22:B1000, (data_num!E22:E1000&amp;"""")=(T22&amp;""""), ISNUMBER(data_num!B22:B1000), ISNUMBER(data_num!C22:C1000))), """")
)
"),"")</f>
        <v/>
      </c>
      <c r="W22" s="73" t="str">
        <f>IFERROR(__xludf.DUMMYFUNCTION("IF(U22=0, """",
  IFERROR(AVERAGE(FILTER(data_num!C22:C1000, (data_num!E22:E1000&amp;"""")=(T22&amp;""""), ISNUMBER(data_num!B22:B1000), ISNUMBER(data_num!C22:C1000))), """")
)
"),"")</f>
        <v/>
      </c>
      <c r="X22" s="74"/>
      <c r="Y22" s="74"/>
      <c r="Z22" s="73"/>
      <c r="AA22" s="73" t="str">
        <f>IF(Z22=0,"",AVERAGEIFS(data_num!B:B, data_num!D:D, Y22, data_num!K:K, 1))
</f>
        <v/>
      </c>
      <c r="AB22" s="77" t="str">
        <f>IF(Z22=0,"",AVERAGEIFS(data_num!C:C, data_num!D:D, Y22, data_num!K:K, 1))
</f>
        <v/>
      </c>
      <c r="AC22" s="72" t="str">
        <f>IF(Z21=0,"",SUMIFS(data_num!L:L, data_num!D:D, Y21, data_num!K:K, 1)/Z21)
</f>
        <v/>
      </c>
      <c r="AD22" s="73" t="str">
        <f>IF(Z21=0,"",SUMIFS(data_num!L:L, data_num!D:D, Y21, data_num!K:K, 1)/Z21)
</f>
        <v/>
      </c>
      <c r="AE22" s="74"/>
      <c r="AF22" s="77">
        <f>IFERROR(__xludf.DUMMYFUNCTION("""COMPUTED_VALUE"""),22.0)</f>
        <v>22</v>
      </c>
      <c r="AG22" s="75" t="str">
        <f>IFERROR(__xludf.DUMMYFUNCTION("""COMPUTED_VALUE"""),"tout au long de la vie")</f>
        <v>tout au long de la vie</v>
      </c>
      <c r="AH22" s="74">
        <f>IFERROR(__xludf.DUMMYFUNCTION("""COMPUTED_VALUE"""),2.0)</f>
        <v>2</v>
      </c>
      <c r="AI22" s="77">
        <f>IFERROR(__xludf.DUMMYFUNCTION("""COMPUTED_VALUE"""),4.0)</f>
        <v>4</v>
      </c>
      <c r="AJ22" s="74">
        <f>IFERROR(__xludf.DUMMYFUNCTION("""COMPUTED_VALUE"""),10.0)</f>
        <v>10</v>
      </c>
      <c r="AK22" s="74"/>
      <c r="AL22" s="74"/>
      <c r="AM22" s="74"/>
      <c r="AN22" s="74"/>
      <c r="AO22" s="74"/>
      <c r="AP22" s="77"/>
      <c r="AQ22" s="72"/>
      <c r="AR22" s="73"/>
      <c r="AS22" s="73"/>
      <c r="AT22" s="73"/>
      <c r="AU22" s="73"/>
      <c r="AV22" s="73"/>
      <c r="AW22" s="73"/>
      <c r="AX22" s="77"/>
      <c r="AY22" s="77"/>
    </row>
    <row r="23" ht="16.5" customHeight="1">
      <c r="A23" s="72">
        <f>COUNT(data_num!A29:A1000)
</f>
        <v>21</v>
      </c>
      <c r="B23" s="73">
        <f>AVERAGE(data_num!B29:B1000)
</f>
        <v>3.238095238</v>
      </c>
      <c r="C23" s="74">
        <f>AVERAGE(data_num!C29:C1000)
</f>
        <v>5.523809524</v>
      </c>
      <c r="D23" s="73">
        <f>COUNTIFS(data_num!B29:B1000,"&gt;5", data_num!C29:C1000,"&gt;5")/COUNT(data_num!A29:A1000)
</f>
        <v>0.2380952381</v>
      </c>
      <c r="E23" s="74">
        <f>IFERROR(__xludf.DUMMYFUNCTION("IFERROR(
  IF(
    OR(
      ROWS(FILTER(data_num!B29:B1000, ISNUMBER(data_num!B29:B1000), ISNUMBER(data_num!C29:C1000)))&lt;2,
      STDEV.S(FILTER(data_num!B29:B1000, ISNUMBER(data_num!B29:B1000), ISNUMBER(data_num!C29:C1000)))=0,
      STDEV.S(FILTER(data"&amp;"_num!C29:C1000, ISNUMBER(data_num!B29:B1000), ISNUMBER(data_num!C29:C1000)))=0
    ),
    """",
    CORREL(
      FILTER(data_num!B29:B1000, ISNUMBER(data_num!B29:B1000), ISNUMBER(data_num!C29:C1000)),
      FILTER(data_num!C29:C1000, ISNUMBER(data_num!B2"&amp;"9:B1000), ISNUMBER(data_num!C29:C1000))
    )
  ),
"""")
"),0.2575336036260582)</f>
        <v>0.2575336036</v>
      </c>
      <c r="F23" s="73">
        <f>MEDIAN(data_num!B29:B1000)
</f>
        <v>3</v>
      </c>
      <c r="G23" s="73">
        <f>MEDIAN(data_num!C29:C1000)
</f>
        <v>5</v>
      </c>
      <c r="H23" s="73"/>
      <c r="I23" s="72"/>
      <c r="J23" s="73"/>
      <c r="K23" s="73"/>
      <c r="L23" s="73"/>
      <c r="M23" s="73"/>
      <c r="N23" s="73"/>
      <c r="O23" s="73"/>
      <c r="P23" s="73"/>
      <c r="Q23" s="73"/>
      <c r="R23" s="73"/>
      <c r="S23" s="73"/>
      <c r="T23" s="72"/>
      <c r="U23" s="77"/>
      <c r="V23" s="74"/>
      <c r="W23" s="74"/>
      <c r="X23" s="74"/>
      <c r="Y23" s="74"/>
      <c r="Z23" s="73"/>
      <c r="AA23" s="73" t="str">
        <f>IF(Z23=0,"",AVERAGEIFS(data_num!B:B, data_num!D:D, Y23, data_num!K:K, 1))
</f>
        <v/>
      </c>
      <c r="AB23" s="77" t="str">
        <f>IF(Z23=0,"",AVERAGEIFS(data_num!C:C, data_num!D:D, Y23, data_num!K:K, 1))
</f>
        <v/>
      </c>
      <c r="AC23" s="72" t="str">
        <f>IF(Z22=0,"",SUMIFS(data_num!L:L, data_num!D:D, Y22, data_num!K:K, 1)/Z22)
</f>
        <v/>
      </c>
      <c r="AD23" s="73" t="str">
        <f>IF(Z22=0,"",SUMIFS(data_num!L:L, data_num!D:D, Y22, data_num!K:K, 1)/Z22)
</f>
        <v/>
      </c>
      <c r="AE23" s="74"/>
      <c r="AF23" s="77">
        <f>IFERROR(__xludf.DUMMYFUNCTION("""COMPUTED_VALUE"""),31.0)</f>
        <v>31</v>
      </c>
      <c r="AG23" s="75" t="str">
        <f>IFERROR(__xludf.DUMMYFUNCTION("""COMPUTED_VALUE"""),"tout au long de la vie")</f>
        <v>tout au long de la vie</v>
      </c>
      <c r="AH23" s="74">
        <f>IFERROR(__xludf.DUMMYFUNCTION("""COMPUTED_VALUE"""),2.0)</f>
        <v>2</v>
      </c>
      <c r="AI23" s="77">
        <f>IFERROR(__xludf.DUMMYFUNCTION("""COMPUTED_VALUE"""),4.0)</f>
        <v>4</v>
      </c>
      <c r="AJ23" s="74">
        <f>IFERROR(__xludf.DUMMYFUNCTION("""COMPUTED_VALUE"""),10.0)</f>
        <v>10</v>
      </c>
      <c r="AK23" s="74"/>
      <c r="AL23" s="74"/>
      <c r="AM23" s="74"/>
      <c r="AN23" s="74"/>
      <c r="AO23" s="74"/>
      <c r="AP23" s="77"/>
      <c r="AQ23" s="72"/>
      <c r="AR23" s="73"/>
      <c r="AS23" s="73"/>
      <c r="AT23" s="73"/>
      <c r="AU23" s="73"/>
      <c r="AV23" s="73"/>
      <c r="AW23" s="73"/>
      <c r="AX23" s="77"/>
      <c r="AY23" s="77"/>
    </row>
    <row r="24" ht="16.5" customHeight="1">
      <c r="A24" s="72">
        <f>COUNT(data_num!A28:A1000)
</f>
        <v>22</v>
      </c>
      <c r="B24" s="73">
        <f>AVERAGE(data_num!B28:B1000)
</f>
        <v>3.181818182</v>
      </c>
      <c r="C24" s="74">
        <f>AVERAGE(data_num!C28:C1000)
</f>
        <v>5.318181818</v>
      </c>
      <c r="D24" s="73">
        <f>COUNTIFS(data_num!B28:B1000,"&gt;5", data_num!C28:C1000,"&gt;5")/COUNT(data_num!A28:A1000)
</f>
        <v>0.2272727273</v>
      </c>
      <c r="E24" s="74">
        <f>IFERROR(__xludf.DUMMYFUNCTION("IFERROR(
  IF(
    OR(
      ROWS(FILTER(data_num!B28:B1000, ISNUMBER(data_num!B28:B1000), ISNUMBER(data_num!C28:C1000)))&lt;2,
      STDEV.S(FILTER(data_num!B28:B1000, ISNUMBER(data_num!B28:B1000), ISNUMBER(data_num!C28:C1000)))=0,
      STDEV.S(FILTER(data"&amp;"_num!C28:C1000, ISNUMBER(data_num!B28:B1000), ISNUMBER(data_num!C28:C1000)))=0
    ),
    """",
    CORREL(
      FILTER(data_num!B28:B1000, ISNUMBER(data_num!B28:B1000), ISNUMBER(data_num!C28:C1000)),
      FILTER(data_num!C28:C1000, ISNUMBER(data_num!B2"&amp;"8:B1000), ISNUMBER(data_num!C28:C1000))
    )
  ),
"""")
"),0.26882629268695407)</f>
        <v>0.2688262927</v>
      </c>
      <c r="F24" s="73">
        <f>MEDIAN(data_num!B28:B1000)
</f>
        <v>2.5</v>
      </c>
      <c r="G24" s="73">
        <f>MEDIAN(data_num!C28:C1000)
</f>
        <v>5</v>
      </c>
      <c r="H24" s="73"/>
      <c r="I24" s="72"/>
      <c r="J24" s="73"/>
      <c r="K24" s="73"/>
      <c r="L24" s="73"/>
      <c r="M24" s="73"/>
      <c r="N24" s="73"/>
      <c r="O24" s="73"/>
      <c r="P24" s="73"/>
      <c r="Q24" s="73"/>
      <c r="R24" s="73"/>
      <c r="S24" s="73"/>
      <c r="T24" s="72"/>
      <c r="U24" s="77"/>
      <c r="V24" s="74"/>
      <c r="W24" s="74"/>
      <c r="X24" s="74"/>
      <c r="Y24" s="74"/>
      <c r="Z24" s="73"/>
      <c r="AA24" s="73" t="str">
        <f>IF(Z24=0,"",AVERAGEIFS(data_num!B:B, data_num!D:D, Y24, data_num!K:K, 1))
</f>
        <v/>
      </c>
      <c r="AB24" s="77" t="str">
        <f>IF(Z24=0,"",AVERAGEIFS(data_num!C:C, data_num!D:D, Y24, data_num!K:K, 1))
</f>
        <v/>
      </c>
      <c r="AC24" s="72" t="str">
        <f>IF(Z23=0,"",SUMIFS(data_num!L:L, data_num!D:D, Y23, data_num!K:K, 1)/Z23)
</f>
        <v/>
      </c>
      <c r="AD24" s="73" t="str">
        <f>IF(Z23=0,"",SUMIFS(data_num!L:L, data_num!D:D, Y23, data_num!K:K, 1)/Z23)
</f>
        <v/>
      </c>
      <c r="AE24" s="74"/>
      <c r="AF24" s="77">
        <f>IFERROR(__xludf.DUMMYFUNCTION("""COMPUTED_VALUE"""),39.0)</f>
        <v>39</v>
      </c>
      <c r="AG24" s="75" t="str">
        <f>IFERROR(__xludf.DUMMYFUNCTION("""COMPUTED_VALUE"""),"pour tous et pour toutes")</f>
        <v>pour tous et pour toutes</v>
      </c>
      <c r="AH24" s="74">
        <f>IFERROR(__xludf.DUMMYFUNCTION("""COMPUTED_VALUE"""),0.0)</f>
        <v>0</v>
      </c>
      <c r="AI24" s="77">
        <f>IFERROR(__xludf.DUMMYFUNCTION("""COMPUTED_VALUE"""),9.0)</f>
        <v>9</v>
      </c>
      <c r="AJ24" s="74">
        <f>IFERROR(__xludf.DUMMYFUNCTION("""COMPUTED_VALUE"""),10.04987562112089)</f>
        <v>10.04987562</v>
      </c>
      <c r="AK24" s="74"/>
      <c r="AL24" s="74"/>
      <c r="AM24" s="74"/>
      <c r="AN24" s="74"/>
      <c r="AO24" s="74"/>
      <c r="AP24" s="77"/>
      <c r="AQ24" s="72"/>
      <c r="AR24" s="73"/>
      <c r="AS24" s="73"/>
      <c r="AT24" s="73"/>
      <c r="AU24" s="73"/>
      <c r="AV24" s="73"/>
      <c r="AW24" s="73"/>
      <c r="AX24" s="77"/>
      <c r="AY24" s="77"/>
    </row>
    <row r="25" ht="16.5" customHeight="1">
      <c r="A25" s="72">
        <f>COUNT(data_num!A27:A1000)
</f>
        <v>23</v>
      </c>
      <c r="B25" s="73">
        <f>AVERAGE(data_num!B27:B1000)
</f>
        <v>3.217391304</v>
      </c>
      <c r="C25" s="74">
        <f>AVERAGE(data_num!C27:C1000)
</f>
        <v>5.217391304</v>
      </c>
      <c r="D25" s="73">
        <f>COUNTIFS(data_num!B27:B1000,"&gt;5", data_num!C27:C1000,"&gt;5")/COUNT(data_num!A27:A1000)
</f>
        <v>0.2173913043</v>
      </c>
      <c r="E25" s="74">
        <f>IFERROR(__xludf.DUMMYFUNCTION("IFERROR(
  IF(
    OR(
      ROWS(FILTER(data_num!B27:B1000, ISNUMBER(data_num!B27:B1000), ISNUMBER(data_num!C27:C1000)))&lt;2,
      STDEV.S(FILTER(data_num!B27:B1000, ISNUMBER(data_num!B27:B1000), ISNUMBER(data_num!C27:C1000)))=0,
      STDEV.S(FILTER(data"&amp;"_num!C27:C1000, ISNUMBER(data_num!B27:B1000), ISNUMBER(data_num!C27:C1000)))=0
    ),
    """",
    CORREL(
      FILTER(data_num!B27:B1000, ISNUMBER(data_num!B27:B1000), ISNUMBER(data_num!C27:C1000)),
      FILTER(data_num!C27:C1000, ISNUMBER(data_num!B2"&amp;"7:B1000), ISNUMBER(data_num!C27:C1000))
    )
  ),
"""")
"),0.2553932323018501)</f>
        <v>0.2553932323</v>
      </c>
      <c r="F25" s="73">
        <f>MEDIAN(data_num!B27:B1000)
</f>
        <v>3</v>
      </c>
      <c r="G25" s="73">
        <f>MEDIAN(data_num!C27:C1000)
</f>
        <v>5</v>
      </c>
      <c r="H25" s="73"/>
      <c r="I25" s="72"/>
      <c r="J25" s="73"/>
      <c r="K25" s="73"/>
      <c r="L25" s="73"/>
      <c r="M25" s="73"/>
      <c r="N25" s="73"/>
      <c r="O25" s="73"/>
      <c r="P25" s="73"/>
      <c r="Q25" s="73"/>
      <c r="R25" s="73"/>
      <c r="S25" s="73"/>
      <c r="T25" s="72"/>
      <c r="U25" s="77"/>
      <c r="V25" s="74"/>
      <c r="W25" s="74"/>
      <c r="X25" s="74"/>
      <c r="Y25" s="74"/>
      <c r="Z25" s="73"/>
      <c r="AA25" s="73" t="str">
        <f>IF(Z25=0,"",AVERAGEIFS(data_num!B:B, data_num!D:D, Y25, data_num!K:K, 1))
</f>
        <v/>
      </c>
      <c r="AB25" s="77" t="str">
        <f>IF(Z25=0,"",AVERAGEIFS(data_num!C:C, data_num!D:D, Y25, data_num!K:K, 1))
</f>
        <v/>
      </c>
      <c r="AC25" s="72" t="str">
        <f>IF(Z24=0,"",SUMIFS(data_num!L:L, data_num!D:D, Y24, data_num!K:K, 1)/Z24)
</f>
        <v/>
      </c>
      <c r="AD25" s="73" t="str">
        <f>IF(Z24=0,"",SUMIFS(data_num!L:L, data_num!D:D, Y24, data_num!K:K, 1)/Z24)
</f>
        <v/>
      </c>
      <c r="AE25" s="74"/>
      <c r="AF25" s="77">
        <f>IFERROR(__xludf.DUMMYFUNCTION("""COMPUTED_VALUE"""),41.0)</f>
        <v>41</v>
      </c>
      <c r="AG25" s="75" t="str">
        <f>IFERROR(__xludf.DUMMYFUNCTION("""COMPUTED_VALUE"""),"pour tous et pour toutes")</f>
        <v>pour tous et pour toutes</v>
      </c>
      <c r="AH25" s="74">
        <f>IFERROR(__xludf.DUMMYFUNCTION("""COMPUTED_VALUE"""),0.0)</f>
        <v>0</v>
      </c>
      <c r="AI25" s="77">
        <f>IFERROR(__xludf.DUMMYFUNCTION("""COMPUTED_VALUE"""),9.0)</f>
        <v>9</v>
      </c>
      <c r="AJ25" s="74">
        <f>IFERROR(__xludf.DUMMYFUNCTION("""COMPUTED_VALUE"""),10.04987562112089)</f>
        <v>10.04987562</v>
      </c>
      <c r="AK25" s="74"/>
      <c r="AL25" s="74"/>
      <c r="AM25" s="74"/>
      <c r="AN25" s="74"/>
      <c r="AO25" s="74"/>
      <c r="AP25" s="77"/>
      <c r="AQ25" s="72"/>
      <c r="AR25" s="73"/>
      <c r="AS25" s="73"/>
      <c r="AT25" s="73"/>
      <c r="AU25" s="73"/>
      <c r="AV25" s="73"/>
      <c r="AW25" s="73"/>
      <c r="AX25" s="77"/>
      <c r="AY25" s="77"/>
    </row>
    <row r="26" ht="16.5" customHeight="1">
      <c r="A26" s="72">
        <f>COUNT(data_num!A26:A1000)
</f>
        <v>24</v>
      </c>
      <c r="B26" s="73">
        <f>AVERAGE(data_num!B26:B1000)
</f>
        <v>3.166666667</v>
      </c>
      <c r="C26" s="74">
        <f>AVERAGE(data_num!C26:C1000)
</f>
        <v>5.083333333</v>
      </c>
      <c r="D26" s="73">
        <f>COUNTIFS(data_num!B26:B1000,"&gt;5", data_num!C26:C1000,"&gt;5")/COUNT(data_num!A26:A1000)
</f>
        <v>0.2083333333</v>
      </c>
      <c r="E26" s="74">
        <f>IFERROR(__xludf.DUMMYFUNCTION("IFERROR(
  IF(
    OR(
      ROWS(FILTER(data_num!B26:B1000, ISNUMBER(data_num!B26:B1000), ISNUMBER(data_num!C26:C1000)))&lt;2,
      STDEV.S(FILTER(data_num!B26:B1000, ISNUMBER(data_num!B26:B1000), ISNUMBER(data_num!C26:C1000)))=0,
      STDEV.S(FILTER(data"&amp;"_num!C26:C1000, ISNUMBER(data_num!B26:B1000), ISNUMBER(data_num!C26:C1000)))=0
    ),
    """",
    CORREL(
      FILTER(data_num!B26:B1000, ISNUMBER(data_num!B26:B1000), ISNUMBER(data_num!C26:C1000)),
      FILTER(data_num!C26:C1000, ISNUMBER(data_num!B2"&amp;"6:B1000), ISNUMBER(data_num!C26:C1000))
    )
  ),
"""")
"),0.2659679003748859)</f>
        <v>0.2659679004</v>
      </c>
      <c r="F26" s="73">
        <f>MEDIAN(data_num!B26:B1000)
</f>
        <v>2.5</v>
      </c>
      <c r="G26" s="73">
        <f>MEDIAN(data_num!C26:C1000)
</f>
        <v>5</v>
      </c>
      <c r="H26" s="73"/>
      <c r="I26" s="72"/>
      <c r="J26" s="73"/>
      <c r="K26" s="73"/>
      <c r="L26" s="73"/>
      <c r="M26" s="73"/>
      <c r="N26" s="73"/>
      <c r="O26" s="73"/>
      <c r="P26" s="73"/>
      <c r="Q26" s="73"/>
      <c r="R26" s="73"/>
      <c r="S26" s="73"/>
      <c r="T26" s="72"/>
      <c r="U26" s="77"/>
      <c r="V26" s="74"/>
      <c r="W26" s="74"/>
      <c r="X26" s="74"/>
      <c r="Y26" s="74"/>
      <c r="Z26" s="73"/>
      <c r="AA26" s="73" t="str">
        <f>IF(Z26=0,"",AVERAGEIFS(data_num!B:B, data_num!D:D, Y26, data_num!K:K, 1))
</f>
        <v/>
      </c>
      <c r="AB26" s="77" t="str">
        <f>IF(Z26=0,"",AVERAGEIFS(data_num!C:C, data_num!D:D, Y26, data_num!K:K, 1))
</f>
        <v/>
      </c>
      <c r="AC26" s="72" t="str">
        <f>IF(Z25=0,"",SUMIFS(data_num!L:L, data_num!D:D, Y25, data_num!K:K, 1)/Z25)
</f>
        <v/>
      </c>
      <c r="AD26" s="73" t="str">
        <f>IF(Z25=0,"",SUMIFS(data_num!L:L, data_num!D:D, Y25, data_num!K:K, 1)/Z25)
</f>
        <v/>
      </c>
      <c r="AE26" s="74"/>
      <c r="AF26" s="77">
        <f>IFERROR(__xludf.DUMMYFUNCTION("""COMPUTED_VALUE"""),36.0)</f>
        <v>36</v>
      </c>
      <c r="AG26" s="75" t="str">
        <f>IFERROR(__xludf.DUMMYFUNCTION("""COMPUTED_VALUE"""),"pour tous et pour toutes")</f>
        <v>pour tous et pour toutes</v>
      </c>
      <c r="AH26" s="74">
        <f>IFERROR(__xludf.DUMMYFUNCTION("""COMPUTED_VALUE"""),0.0)</f>
        <v>0</v>
      </c>
      <c r="AI26" s="77">
        <f>IFERROR(__xludf.DUMMYFUNCTION("""COMPUTED_VALUE"""),8.0)</f>
        <v>8</v>
      </c>
      <c r="AJ26" s="74">
        <f>IFERROR(__xludf.DUMMYFUNCTION("""COMPUTED_VALUE"""),10.198039027185569)</f>
        <v>10.19803903</v>
      </c>
      <c r="AK26" s="74"/>
      <c r="AL26" s="74"/>
      <c r="AM26" s="74"/>
      <c r="AN26" s="74"/>
      <c r="AO26" s="74"/>
      <c r="AP26" s="77"/>
      <c r="AQ26" s="72"/>
      <c r="AR26" s="73"/>
      <c r="AS26" s="73"/>
      <c r="AT26" s="73"/>
      <c r="AU26" s="73"/>
      <c r="AV26" s="73"/>
      <c r="AW26" s="73"/>
      <c r="AX26" s="77"/>
      <c r="AY26" s="77"/>
    </row>
    <row r="27" ht="16.5" customHeight="1">
      <c r="A27" s="72">
        <f>COUNT(data_num!A25:A1000)
</f>
        <v>25</v>
      </c>
      <c r="B27" s="73">
        <f>AVERAGE(data_num!B25:B1000)
</f>
        <v>3.16</v>
      </c>
      <c r="C27" s="74">
        <f>AVERAGE(data_num!C25:C1000)
</f>
        <v>5</v>
      </c>
      <c r="D27" s="73">
        <f>COUNTIFS(data_num!B25:B1000,"&gt;5", data_num!C25:C1000,"&gt;5")/COUNT(data_num!A25:A1000)
</f>
        <v>0.2</v>
      </c>
      <c r="E27" s="74">
        <f>IFERROR(__xludf.DUMMYFUNCTION("IFERROR(
  IF(
    OR(
      ROWS(FILTER(data_num!B25:B1000, ISNUMBER(data_num!B25:B1000), ISNUMBER(data_num!C25:C1000)))&lt;2,
      STDEV.S(FILTER(data_num!B25:B1000, ISNUMBER(data_num!B25:B1000), ISNUMBER(data_num!C25:C1000)))=0,
      STDEV.S(FILTER(data"&amp;"_num!C25:C1000, ISNUMBER(data_num!B25:B1000), ISNUMBER(data_num!C25:C1000)))=0
    ),
    """",
    CORREL(
      FILTER(data_num!B25:B1000, ISNUMBER(data_num!B25:B1000), ISNUMBER(data_num!C25:C1000)),
      FILTER(data_num!C25:C1000, ISNUMBER(data_num!B2"&amp;"5:B1000), ISNUMBER(data_num!C25:C1000))
    )
  ),
"""")
"),0.26462377386421043)</f>
        <v>0.2646237739</v>
      </c>
      <c r="F27" s="73">
        <f>MEDIAN(data_num!B25:B1000)
</f>
        <v>3</v>
      </c>
      <c r="G27" s="73">
        <f>MEDIAN(data_num!C25:C1000)
</f>
        <v>5</v>
      </c>
      <c r="H27" s="73"/>
      <c r="I27" s="72"/>
      <c r="J27" s="73"/>
      <c r="K27" s="73"/>
      <c r="L27" s="73"/>
      <c r="M27" s="73"/>
      <c r="N27" s="73"/>
      <c r="O27" s="73"/>
      <c r="P27" s="73"/>
      <c r="Q27" s="73"/>
      <c r="R27" s="73"/>
      <c r="S27" s="73"/>
      <c r="T27" s="72"/>
      <c r="U27" s="77"/>
      <c r="V27" s="74"/>
      <c r="W27" s="74"/>
      <c r="X27" s="74"/>
      <c r="Y27" s="74"/>
      <c r="Z27" s="73"/>
      <c r="AA27" s="73" t="str">
        <f>IF(Z27=0,"",AVERAGEIFS(data_num!B:B, data_num!D:D, Y27, data_num!K:K, 1))
</f>
        <v/>
      </c>
      <c r="AB27" s="77" t="str">
        <f>IF(Z27=0,"",AVERAGEIFS(data_num!C:C, data_num!D:D, Y27, data_num!K:K, 1))
</f>
        <v/>
      </c>
      <c r="AC27" s="72" t="str">
        <f>IF(Z26=0,"",SUMIFS(data_num!L:L, data_num!D:D, Y26, data_num!K:K, 1)/Z26)
</f>
        <v/>
      </c>
      <c r="AD27" s="73" t="str">
        <f>IF(Z26=0,"",SUMIFS(data_num!L:L, data_num!D:D, Y26, data_num!K:K, 1)/Z26)
</f>
        <v/>
      </c>
      <c r="AE27" s="74"/>
      <c r="AF27" s="77">
        <f>IFERROR(__xludf.DUMMYFUNCTION("""COMPUTED_VALUE"""),16.0)</f>
        <v>16</v>
      </c>
      <c r="AG27" s="75" t="str">
        <f>IFERROR(__xludf.DUMMYFUNCTION("""COMPUTED_VALUE"""),"environnement")</f>
        <v>environnement</v>
      </c>
      <c r="AH27" s="74">
        <f>IFERROR(__xludf.DUMMYFUNCTION("""COMPUTED_VALUE"""),7.0)</f>
        <v>7</v>
      </c>
      <c r="AI27" s="77"/>
      <c r="AJ27" s="74">
        <f>IFERROR(__xludf.DUMMYFUNCTION("""COMPUTED_VALUE"""),10.44030650891055)</f>
        <v>10.44030651</v>
      </c>
      <c r="AK27" s="74"/>
      <c r="AL27" s="74"/>
      <c r="AM27" s="74"/>
      <c r="AN27" s="74"/>
      <c r="AO27" s="74"/>
      <c r="AP27" s="77"/>
      <c r="AQ27" s="72"/>
      <c r="AR27" s="73"/>
      <c r="AS27" s="73"/>
      <c r="AT27" s="73"/>
      <c r="AU27" s="73"/>
      <c r="AV27" s="73"/>
      <c r="AW27" s="73"/>
      <c r="AX27" s="77"/>
      <c r="AY27" s="77"/>
    </row>
    <row r="28" ht="16.5" customHeight="1">
      <c r="A28" s="72">
        <f>COUNT(data_num!A24:A1000)
</f>
        <v>26</v>
      </c>
      <c r="B28" s="73">
        <f>AVERAGE(data_num!B24:B1000)
</f>
        <v>3.192307692</v>
      </c>
      <c r="C28" s="74">
        <f>AVERAGE(data_num!C24:C1000)
</f>
        <v>4.807692308</v>
      </c>
      <c r="D28" s="73">
        <f>COUNTIFS(data_num!B24:B1000,"&gt;5", data_num!C24:C1000,"&gt;5")/COUNT(data_num!A24:A1000)
</f>
        <v>0.1923076923</v>
      </c>
      <c r="E28" s="74">
        <f>IFERROR(__xludf.DUMMYFUNCTION("IFERROR(
  IF(
    OR(
      ROWS(FILTER(data_num!B24:B1000, ISNUMBER(data_num!B24:B1000), ISNUMBER(data_num!C24:C1000)))&lt;2,
      STDEV.S(FILTER(data_num!B24:B1000, ISNUMBER(data_num!B24:B1000), ISNUMBER(data_num!C24:C1000)))=0,
      STDEV.S(FILTER(data"&amp;"_num!C24:C1000, ISNUMBER(data_num!B24:B1000), ISNUMBER(data_num!C24:C1000)))=0
    ),
    """",
    CORREL(
      FILTER(data_num!B24:B1000, ISNUMBER(data_num!B24:B1000), ISNUMBER(data_num!C24:C1000)),
      FILTER(data_num!C24:C1000, ISNUMBER(data_num!B2"&amp;"4:B1000), ISNUMBER(data_num!C24:C1000))
    )
  ),
"""")
"),0.23067077181890241)</f>
        <v>0.2306707718</v>
      </c>
      <c r="F28" s="73">
        <f>MEDIAN(data_num!B24:B1000)
</f>
        <v>3</v>
      </c>
      <c r="G28" s="73">
        <f>MEDIAN(data_num!C24:C1000)
</f>
        <v>5</v>
      </c>
      <c r="H28" s="73"/>
      <c r="I28" s="72"/>
      <c r="J28" s="73"/>
      <c r="K28" s="73"/>
      <c r="L28" s="73"/>
      <c r="M28" s="73"/>
      <c r="N28" s="73"/>
      <c r="O28" s="73"/>
      <c r="P28" s="73"/>
      <c r="Q28" s="73"/>
      <c r="R28" s="73"/>
      <c r="S28" s="73"/>
      <c r="T28" s="72"/>
      <c r="U28" s="77"/>
      <c r="V28" s="74"/>
      <c r="W28" s="74"/>
      <c r="X28" s="74"/>
      <c r="Y28" s="74"/>
      <c r="Z28" s="73"/>
      <c r="AA28" s="73" t="str">
        <f>IF(Z28=0,"",AVERAGEIFS(data_num!B:B, data_num!D:D, Y28, data_num!K:K, 1))
</f>
        <v/>
      </c>
      <c r="AB28" s="77" t="str">
        <f>IF(Z28=0,"",AVERAGEIFS(data_num!C:C, data_num!D:D, Y28, data_num!K:K, 1))
</f>
        <v/>
      </c>
      <c r="AC28" s="72" t="str">
        <f>IF(Z27=0,"",SUMIFS(data_num!L:L, data_num!D:D, Y27, data_num!K:K, 1)/Z27)
</f>
        <v/>
      </c>
      <c r="AD28" s="73" t="str">
        <f>IF(Z27=0,"",SUMIFS(data_num!L:L, data_num!D:D, Y27, data_num!K:K, 1)/Z27)
</f>
        <v/>
      </c>
      <c r="AE28" s="74"/>
      <c r="AF28" s="77">
        <f>IFERROR(__xludf.DUMMYFUNCTION("""COMPUTED_VALUE"""),15.0)</f>
        <v>15</v>
      </c>
      <c r="AG28" s="75" t="str">
        <f>IFERROR(__xludf.DUMMYFUNCTION("""COMPUTED_VALUE"""),"environnement")</f>
        <v>environnement</v>
      </c>
      <c r="AH28" s="74">
        <f>IFERROR(__xludf.DUMMYFUNCTION("""COMPUTED_VALUE"""),5.0)</f>
        <v>5</v>
      </c>
      <c r="AI28" s="77"/>
      <c r="AJ28" s="74">
        <f>IFERROR(__xludf.DUMMYFUNCTION("""COMPUTED_VALUE"""),11.180339887498949)</f>
        <v>11.18033989</v>
      </c>
      <c r="AK28" s="74"/>
      <c r="AL28" s="74"/>
      <c r="AM28" s="74"/>
      <c r="AN28" s="74"/>
      <c r="AO28" s="74"/>
      <c r="AP28" s="77"/>
      <c r="AQ28" s="72"/>
      <c r="AR28" s="73"/>
      <c r="AS28" s="73"/>
      <c r="AT28" s="73"/>
      <c r="AU28" s="73"/>
      <c r="AV28" s="73"/>
      <c r="AW28" s="73"/>
      <c r="AX28" s="77"/>
      <c r="AY28" s="77"/>
    </row>
    <row r="29" ht="16.5" customHeight="1">
      <c r="A29" s="72">
        <f>COUNT(data_num!A23:A1000)
</f>
        <v>27</v>
      </c>
      <c r="B29" s="73">
        <f>AVERAGE(data_num!B23:B1000)
</f>
        <v>3.148148148</v>
      </c>
      <c r="C29" s="74">
        <f>AVERAGE(data_num!C23:C1000)
</f>
        <v>4.777777778</v>
      </c>
      <c r="D29" s="73">
        <f>COUNTIFS(data_num!B23:B1000,"&gt;5", data_num!C23:C1000,"&gt;5")/COUNT(data_num!A23:A1000)
</f>
        <v>0.1851851852</v>
      </c>
      <c r="E29" s="74">
        <f>IFERROR(__xludf.DUMMYFUNCTION("IFERROR(
  IF(
    OR(
      ROWS(FILTER(data_num!B23:B1000, ISNUMBER(data_num!B23:B1000), ISNUMBER(data_num!C23:C1000)))&lt;2,
      STDEV.S(FILTER(data_num!B23:B1000, ISNUMBER(data_num!B23:B1000), ISNUMBER(data_num!C23:C1000)))=0,
      STDEV.S(FILTER(data"&amp;"_num!C23:C1000, ISNUMBER(data_num!B23:B1000), ISNUMBER(data_num!C23:C1000)))=0
    ),
    """",
    CORREL(
      FILTER(data_num!B23:B1000, ISNUMBER(data_num!B23:B1000), ISNUMBER(data_num!C23:C1000)),
      FILTER(data_num!C23:C1000, ISNUMBER(data_num!B2"&amp;"3:B1000), ISNUMBER(data_num!C23:C1000))
    )
  ),
"""")
"),0.23382360196723284)</f>
        <v>0.233823602</v>
      </c>
      <c r="F29" s="73">
        <f>MEDIAN(data_num!B23:B1000)
</f>
        <v>3</v>
      </c>
      <c r="G29" s="73">
        <f>MEDIAN(data_num!C23:C1000)
</f>
        <v>5</v>
      </c>
      <c r="H29" s="73"/>
      <c r="I29" s="72"/>
      <c r="J29" s="73"/>
      <c r="K29" s="73"/>
      <c r="L29" s="73"/>
      <c r="M29" s="73"/>
      <c r="N29" s="73"/>
      <c r="O29" s="73"/>
      <c r="P29" s="73"/>
      <c r="Q29" s="73"/>
      <c r="R29" s="73"/>
      <c r="S29" s="73"/>
      <c r="T29" s="72"/>
      <c r="U29" s="77"/>
      <c r="V29" s="74"/>
      <c r="W29" s="74"/>
      <c r="X29" s="74"/>
      <c r="Y29" s="74"/>
      <c r="Z29" s="73"/>
      <c r="AA29" s="73" t="str">
        <f>IF(Z29=0,"",AVERAGEIFS(data_num!B:B, data_num!D:D, Y29, data_num!K:K, 1))
</f>
        <v/>
      </c>
      <c r="AB29" s="77" t="str">
        <f>IF(Z29=0,"",AVERAGEIFS(data_num!C:C, data_num!D:D, Y29, data_num!K:K, 1))
</f>
        <v/>
      </c>
      <c r="AC29" s="72" t="str">
        <f>IF(Z28=0,"",SUMIFS(data_num!L:L, data_num!D:D, Y28, data_num!K:K, 1)/Z28)
</f>
        <v/>
      </c>
      <c r="AD29" s="73" t="str">
        <f>IF(Z28=0,"",SUMIFS(data_num!L:L, data_num!D:D, Y28, data_num!K:K, 1)/Z28)
</f>
        <v/>
      </c>
      <c r="AE29" s="74"/>
      <c r="AF29" s="77">
        <f>IFERROR(__xludf.DUMMYFUNCTION("""COMPUTED_VALUE"""),33.0)</f>
        <v>33</v>
      </c>
      <c r="AG29" s="75" t="str">
        <f>IFERROR(__xludf.DUMMYFUNCTION("""COMPUTED_VALUE"""),"tout au long de la vie")</f>
        <v>tout au long de la vie</v>
      </c>
      <c r="AH29" s="74">
        <f>IFERROR(__xludf.DUMMYFUNCTION("""COMPUTED_VALUE"""),0.0)</f>
        <v>0</v>
      </c>
      <c r="AI29" s="77">
        <f>IFERROR(__xludf.DUMMYFUNCTION("""COMPUTED_VALUE"""),5.0)</f>
        <v>5</v>
      </c>
      <c r="AJ29" s="74">
        <f>IFERROR(__xludf.DUMMYFUNCTION("""COMPUTED_VALUE"""),11.180339887498949)</f>
        <v>11.18033989</v>
      </c>
      <c r="AK29" s="74"/>
      <c r="AL29" s="74"/>
      <c r="AM29" s="74"/>
      <c r="AN29" s="74"/>
      <c r="AO29" s="74"/>
      <c r="AP29" s="77"/>
      <c r="AQ29" s="72"/>
      <c r="AR29" s="73"/>
      <c r="AS29" s="73"/>
      <c r="AT29" s="73"/>
      <c r="AU29" s="73"/>
      <c r="AV29" s="73"/>
      <c r="AW29" s="73"/>
      <c r="AX29" s="77"/>
      <c r="AY29" s="77"/>
    </row>
    <row r="30" ht="16.5" customHeight="1">
      <c r="A30" s="72">
        <f>COUNT(data_num!A22:A1000)
</f>
        <v>28</v>
      </c>
      <c r="B30" s="73">
        <f>AVERAGE(data_num!B22:B1000)
</f>
        <v>3.071428571</v>
      </c>
      <c r="C30" s="74">
        <f>AVERAGE(data_num!C22:C1000)
</f>
        <v>4.607142857</v>
      </c>
      <c r="D30" s="73">
        <f>COUNTIFS(data_num!B22:B1000,"&gt;5", data_num!C22:C1000,"&gt;5")/COUNT(data_num!A22:A1000)
</f>
        <v>0.1785714286</v>
      </c>
      <c r="E30" s="74">
        <f>IFERROR(__xludf.DUMMYFUNCTION("IFERROR(
  IF(
    OR(
      ROWS(FILTER(data_num!B22:B1000, ISNUMBER(data_num!B22:B1000), ISNUMBER(data_num!C22:C1000)))&lt;2,
      STDEV.S(FILTER(data_num!B22:B1000, ISNUMBER(data_num!B22:B1000), ISNUMBER(data_num!C22:C1000)))=0,
      STDEV.S(FILTER(data"&amp;"_num!C22:C1000, ISNUMBER(data_num!B22:B1000), ISNUMBER(data_num!C22:C1000)))=0
    ),
    """",
    CORREL(
      FILTER(data_num!B22:B1000, ISNUMBER(data_num!B22:B1000), ISNUMBER(data_num!C22:C1000)),
      FILTER(data_num!C22:C1000, ISNUMBER(data_num!B2"&amp;"2:B1000), ISNUMBER(data_num!C22:C1000))
    )
  ),
"""")
"),0.26262331710942677)</f>
        <v>0.2626233171</v>
      </c>
      <c r="F30" s="73">
        <f>MEDIAN(data_num!B22:B1000)
</f>
        <v>2.5</v>
      </c>
      <c r="G30" s="73">
        <f>MEDIAN(data_num!C22:C1000)
</f>
        <v>4.5</v>
      </c>
      <c r="H30" s="73"/>
      <c r="I30" s="72"/>
      <c r="J30" s="73"/>
      <c r="K30" s="73"/>
      <c r="L30" s="73"/>
      <c r="M30" s="73"/>
      <c r="N30" s="73"/>
      <c r="O30" s="73"/>
      <c r="P30" s="73"/>
      <c r="Q30" s="73"/>
      <c r="R30" s="73"/>
      <c r="S30" s="73"/>
      <c r="T30" s="72"/>
      <c r="U30" s="77"/>
      <c r="V30" s="74"/>
      <c r="W30" s="74"/>
      <c r="X30" s="74"/>
      <c r="Y30" s="74"/>
      <c r="Z30" s="73"/>
      <c r="AA30" s="73" t="str">
        <f>IF(Z30=0,"",AVERAGEIFS(data_num!B:B, data_num!D:D, Y30, data_num!K:K, 1))
</f>
        <v/>
      </c>
      <c r="AB30" s="77" t="str">
        <f>IF(Z30=0,"",AVERAGEIFS(data_num!C:C, data_num!D:D, Y30, data_num!K:K, 1))
</f>
        <v/>
      </c>
      <c r="AC30" s="72" t="str">
        <f>IF(Z29=0,"",SUMIFS(data_num!L:L, data_num!D:D, Y29, data_num!K:K, 1)/Z29)
</f>
        <v/>
      </c>
      <c r="AD30" s="73" t="str">
        <f>IF(Z29=0,"",SUMIFS(data_num!L:L, data_num!D:D, Y29, data_num!K:K, 1)/Z29)
</f>
        <v/>
      </c>
      <c r="AE30" s="74"/>
      <c r="AF30" s="77">
        <f>IFERROR(__xludf.DUMMYFUNCTION("""COMPUTED_VALUE"""),35.0)</f>
        <v>35</v>
      </c>
      <c r="AG30" s="75" t="str">
        <f>IFERROR(__xludf.DUMMYFUNCTION("""COMPUTED_VALUE"""),"tout au long de la vie")</f>
        <v>tout au long de la vie</v>
      </c>
      <c r="AH30" s="74">
        <f>IFERROR(__xludf.DUMMYFUNCTION("""COMPUTED_VALUE"""),0.0)</f>
        <v>0</v>
      </c>
      <c r="AI30" s="77">
        <f>IFERROR(__xludf.DUMMYFUNCTION("""COMPUTED_VALUE"""),5.0)</f>
        <v>5</v>
      </c>
      <c r="AJ30" s="74">
        <f>IFERROR(__xludf.DUMMYFUNCTION("""COMPUTED_VALUE"""),11.180339887498949)</f>
        <v>11.18033989</v>
      </c>
      <c r="AK30" s="74"/>
      <c r="AL30" s="74"/>
      <c r="AM30" s="74"/>
      <c r="AN30" s="74"/>
      <c r="AO30" s="74"/>
      <c r="AP30" s="77"/>
      <c r="AQ30" s="72"/>
      <c r="AR30" s="73"/>
      <c r="AS30" s="73"/>
      <c r="AT30" s="73"/>
      <c r="AU30" s="73"/>
      <c r="AV30" s="73"/>
      <c r="AW30" s="73"/>
      <c r="AX30" s="77"/>
      <c r="AY30" s="77"/>
    </row>
    <row r="31" ht="16.5" customHeight="1">
      <c r="A31" s="72">
        <f>COUNT(data_num!A21:A1000)
</f>
        <v>29</v>
      </c>
      <c r="B31" s="73">
        <f>AVERAGE(data_num!B21:B1000)
</f>
        <v>3.071428571</v>
      </c>
      <c r="C31" s="74">
        <f>AVERAGE(data_num!C21:C1000)
</f>
        <v>4.607142857</v>
      </c>
      <c r="D31" s="73">
        <f>COUNTIFS(data_num!B21:B1000,"&gt;5", data_num!C21:C1000,"&gt;5")/COUNT(data_num!A21:A1000)
</f>
        <v>0.1724137931</v>
      </c>
      <c r="E31" s="74">
        <f>IFERROR(__xludf.DUMMYFUNCTION("IFERROR(
  IF(
    OR(
      ROWS(FILTER(data_num!B21:B1000, ISNUMBER(data_num!B21:B1000), ISNUMBER(data_num!C21:C1000)))&lt;2,
      STDEV.S(FILTER(data_num!B21:B1000, ISNUMBER(data_num!B21:B1000), ISNUMBER(data_num!C21:C1000)))=0,
      STDEV.S(FILTER(data"&amp;"_num!C21:C1000, ISNUMBER(data_num!B21:B1000), ISNUMBER(data_num!C21:C1000)))=0
    ),
    """",
    CORREL(
      FILTER(data_num!B21:B1000, ISNUMBER(data_num!B21:B1000), ISNUMBER(data_num!C21:C1000)),
      FILTER(data_num!C21:C1000, ISNUMBER(data_num!B2"&amp;"1:B1000), ISNUMBER(data_num!C21:C1000))
    )
  ),
"""")
"),0.26262331710942677)</f>
        <v>0.2626233171</v>
      </c>
      <c r="F31" s="73">
        <f>MEDIAN(data_num!B21:B1000)
</f>
        <v>2.5</v>
      </c>
      <c r="G31" s="73">
        <f>MEDIAN(data_num!C21:C1000)
</f>
        <v>4.5</v>
      </c>
      <c r="H31" s="73"/>
      <c r="I31" s="72"/>
      <c r="J31" s="73"/>
      <c r="K31" s="73"/>
      <c r="L31" s="73"/>
      <c r="M31" s="73"/>
      <c r="N31" s="73"/>
      <c r="O31" s="73"/>
      <c r="P31" s="73"/>
      <c r="Q31" s="73"/>
      <c r="R31" s="73"/>
      <c r="S31" s="73"/>
      <c r="T31" s="72"/>
      <c r="U31" s="77"/>
      <c r="V31" s="74"/>
      <c r="W31" s="74"/>
      <c r="X31" s="74"/>
      <c r="Y31" s="74"/>
      <c r="Z31" s="73"/>
      <c r="AA31" s="73" t="str">
        <f>IF(Z31=0,"",AVERAGEIFS(data_num!B:B, data_num!D:D, Y31, data_num!K:K, 1))
</f>
        <v/>
      </c>
      <c r="AB31" s="77" t="str">
        <f>IF(Z31=0,"",AVERAGEIFS(data_num!C:C, data_num!D:D, Y31, data_num!K:K, 1))
</f>
        <v/>
      </c>
      <c r="AC31" s="72" t="str">
        <f>IF(Z30=0,"",SUMIFS(data_num!L:L, data_num!D:D, Y30, data_num!K:K, 1)/Z30)
</f>
        <v/>
      </c>
      <c r="AD31" s="73" t="str">
        <f>IF(Z30=0,"",SUMIFS(data_num!L:L, data_num!D:D, Y30, data_num!K:K, 1)/Z30)
</f>
        <v/>
      </c>
      <c r="AE31" s="74"/>
      <c r="AF31" s="77">
        <f>IFERROR(__xludf.DUMMYFUNCTION("""COMPUTED_VALUE"""),40.0)</f>
        <v>40</v>
      </c>
      <c r="AG31" s="75" t="str">
        <f>IFERROR(__xludf.DUMMYFUNCTION("""COMPUTED_VALUE"""),"pour tous et pour toutes")</f>
        <v>pour tous et pour toutes</v>
      </c>
      <c r="AH31" s="74">
        <f>IFERROR(__xludf.DUMMYFUNCTION("""COMPUTED_VALUE"""),5.0)</f>
        <v>5</v>
      </c>
      <c r="AI31" s="77">
        <f>IFERROR(__xludf.DUMMYFUNCTION("""COMPUTED_VALUE"""),0.0)</f>
        <v>0</v>
      </c>
      <c r="AJ31" s="74">
        <f>IFERROR(__xludf.DUMMYFUNCTION("""COMPUTED_VALUE"""),11.180339887498949)</f>
        <v>11.18033989</v>
      </c>
      <c r="AK31" s="74"/>
      <c r="AL31" s="74"/>
      <c r="AM31" s="74"/>
      <c r="AN31" s="74"/>
      <c r="AO31" s="74"/>
      <c r="AP31" s="77"/>
      <c r="AQ31" s="72"/>
      <c r="AR31" s="73"/>
      <c r="AS31" s="73"/>
      <c r="AT31" s="73"/>
      <c r="AU31" s="73"/>
      <c r="AV31" s="73"/>
      <c r="AW31" s="73"/>
      <c r="AX31" s="77"/>
      <c r="AY31" s="77"/>
    </row>
    <row r="32" ht="16.5" customHeight="1">
      <c r="A32" s="72">
        <f>COUNT(data_num!A20:A1000)
</f>
        <v>30</v>
      </c>
      <c r="B32" s="73">
        <f>AVERAGE(data_num!B20:B1000)
</f>
        <v>3.071428571</v>
      </c>
      <c r="C32" s="74">
        <f>AVERAGE(data_num!C20:C1000)
</f>
        <v>4.607142857</v>
      </c>
      <c r="D32" s="73">
        <f>COUNTIFS(data_num!B20:B1000,"&gt;5", data_num!C20:C1000,"&gt;5")/COUNT(data_num!A20:A1000)
</f>
        <v>0.1666666667</v>
      </c>
      <c r="E32" s="74">
        <f>IFERROR(__xludf.DUMMYFUNCTION("IFERROR(
  IF(
    OR(
      ROWS(FILTER(data_num!B20:B1000, ISNUMBER(data_num!B20:B1000), ISNUMBER(data_num!C20:C1000)))&lt;2,
      STDEV.S(FILTER(data_num!B20:B1000, ISNUMBER(data_num!B20:B1000), ISNUMBER(data_num!C20:C1000)))=0,
      STDEV.S(FILTER(data"&amp;"_num!C20:C1000, ISNUMBER(data_num!B20:B1000), ISNUMBER(data_num!C20:C1000)))=0
    ),
    """",
    CORREL(
      FILTER(data_num!B20:B1000, ISNUMBER(data_num!B20:B1000), ISNUMBER(data_num!C20:C1000)),
      FILTER(data_num!C20:C1000, ISNUMBER(data_num!B2"&amp;"0:B1000), ISNUMBER(data_num!C20:C1000))
    )
  ),
"""")
"),0.26262331710942677)</f>
        <v>0.2626233171</v>
      </c>
      <c r="F32" s="73">
        <f>MEDIAN(data_num!B20:B1000)
</f>
        <v>2.5</v>
      </c>
      <c r="G32" s="73">
        <f>MEDIAN(data_num!C20:C1000)
</f>
        <v>4.5</v>
      </c>
      <c r="H32" s="73"/>
      <c r="I32" s="72"/>
      <c r="J32" s="73"/>
      <c r="K32" s="73"/>
      <c r="L32" s="73"/>
      <c r="M32" s="73"/>
      <c r="N32" s="73"/>
      <c r="O32" s="73"/>
      <c r="P32" s="73"/>
      <c r="Q32" s="73"/>
      <c r="R32" s="73"/>
      <c r="S32" s="73"/>
      <c r="T32" s="72"/>
      <c r="U32" s="77"/>
      <c r="V32" s="74"/>
      <c r="W32" s="74"/>
      <c r="X32" s="74"/>
      <c r="Y32" s="74"/>
      <c r="Z32" s="73"/>
      <c r="AA32" s="73" t="str">
        <f>IF(Z32=0,"",AVERAGEIFS(data_num!B:B, data_num!D:D, Y32, data_num!K:K, 1))
</f>
        <v/>
      </c>
      <c r="AB32" s="77" t="str">
        <f>IF(Z32=0,"",AVERAGEIFS(data_num!C:C, data_num!D:D, Y32, data_num!K:K, 1))
</f>
        <v/>
      </c>
      <c r="AC32" s="72" t="str">
        <f>IF(Z31=0,"",SUMIFS(data_num!L:L, data_num!D:D, Y31, data_num!K:K, 1)/Z31)
</f>
        <v/>
      </c>
      <c r="AD32" s="73" t="str">
        <f>IF(Z31=0,"",SUMIFS(data_num!L:L, data_num!D:D, Y31, data_num!K:K, 1)/Z31)
</f>
        <v/>
      </c>
      <c r="AE32" s="74"/>
      <c r="AF32" s="77">
        <f>IFERROR(__xludf.DUMMYFUNCTION("""COMPUTED_VALUE"""),46.0)</f>
        <v>46</v>
      </c>
      <c r="AG32" s="75" t="str">
        <f>IFERROR(__xludf.DUMMYFUNCTION("""COMPUTED_VALUE"""),"pratiques de l'éducation")</f>
        <v>pratiques de l'éducation</v>
      </c>
      <c r="AH32" s="74">
        <f>IFERROR(__xludf.DUMMYFUNCTION("""COMPUTED_VALUE"""),0.0)</f>
        <v>0</v>
      </c>
      <c r="AI32" s="77">
        <f>IFERROR(__xludf.DUMMYFUNCTION("""COMPUTED_VALUE"""),5.0)</f>
        <v>5</v>
      </c>
      <c r="AJ32" s="74">
        <f>IFERROR(__xludf.DUMMYFUNCTION("""COMPUTED_VALUE"""),11.180339887498949)</f>
        <v>11.18033989</v>
      </c>
      <c r="AK32" s="74"/>
      <c r="AL32" s="74"/>
      <c r="AM32" s="74"/>
      <c r="AN32" s="74"/>
      <c r="AO32" s="74"/>
      <c r="AP32" s="77"/>
      <c r="AQ32" s="72"/>
      <c r="AR32" s="73"/>
      <c r="AS32" s="73"/>
      <c r="AT32" s="73"/>
      <c r="AU32" s="73"/>
      <c r="AV32" s="73"/>
      <c r="AW32" s="73"/>
      <c r="AX32" s="77"/>
      <c r="AY32" s="77"/>
    </row>
    <row r="33" ht="16.5" customHeight="1">
      <c r="A33" s="72">
        <f>COUNT(data_num!A19:A1000)
</f>
        <v>31</v>
      </c>
      <c r="B33" s="73">
        <f>AVERAGE(data_num!B19:B1000)
</f>
        <v>3.071428571</v>
      </c>
      <c r="C33" s="74">
        <f>AVERAGE(data_num!C19:C1000)
</f>
        <v>4.607142857</v>
      </c>
      <c r="D33" s="73">
        <f>COUNTIFS(data_num!B19:B1000,"&gt;5", data_num!C19:C1000,"&gt;5")/COUNT(data_num!A19:A1000)
</f>
        <v>0.1612903226</v>
      </c>
      <c r="E33" s="74">
        <f>IFERROR(__xludf.DUMMYFUNCTION("IFERROR(
  IF(
    OR(
      ROWS(FILTER(data_num!B19:B1000, ISNUMBER(data_num!B19:B1000), ISNUMBER(data_num!C19:C1000)))&lt;2,
      STDEV.S(FILTER(data_num!B19:B1000, ISNUMBER(data_num!B19:B1000), ISNUMBER(data_num!C19:C1000)))=0,
      STDEV.S(FILTER(data"&amp;"_num!C19:C1000, ISNUMBER(data_num!B19:B1000), ISNUMBER(data_num!C19:C1000)))=0
    ),
    """",
    CORREL(
      FILTER(data_num!B19:B1000, ISNUMBER(data_num!B19:B1000), ISNUMBER(data_num!C19:C1000)),
      FILTER(data_num!C19:C1000, ISNUMBER(data_num!B1"&amp;"9:B1000), ISNUMBER(data_num!C19:C1000))
    )
  ),
"""")
"),0.26262331710942677)</f>
        <v>0.2626233171</v>
      </c>
      <c r="F33" s="73">
        <f>MEDIAN(data_num!B19:B1000)
</f>
        <v>2.5</v>
      </c>
      <c r="G33" s="73">
        <f>MEDIAN(data_num!C19:C1000)
</f>
        <v>4.5</v>
      </c>
      <c r="H33" s="73"/>
      <c r="I33" s="72"/>
      <c r="J33" s="73"/>
      <c r="K33" s="73"/>
      <c r="L33" s="73"/>
      <c r="M33" s="73"/>
      <c r="N33" s="73"/>
      <c r="O33" s="73"/>
      <c r="P33" s="73"/>
      <c r="Q33" s="73"/>
      <c r="R33" s="73"/>
      <c r="S33" s="73"/>
      <c r="T33" s="72"/>
      <c r="U33" s="77"/>
      <c r="V33" s="74"/>
      <c r="W33" s="74"/>
      <c r="X33" s="74"/>
      <c r="Y33" s="74"/>
      <c r="Z33" s="73"/>
      <c r="AA33" s="73" t="str">
        <f>IF(Z33=0,"",AVERAGEIFS(data_num!B:B, data_num!D:D, Y33, data_num!K:K, 1))
</f>
        <v/>
      </c>
      <c r="AB33" s="77" t="str">
        <f>IF(Z33=0,"",AVERAGEIFS(data_num!C:C, data_num!D:D, Y33, data_num!K:K, 1))
</f>
        <v/>
      </c>
      <c r="AC33" s="72" t="str">
        <f>IF(Z32=0,"",SUMIFS(data_num!L:L, data_num!D:D, Y32, data_num!K:K, 1)/Z32)
</f>
        <v/>
      </c>
      <c r="AD33" s="73" t="str">
        <f>IF(Z32=0,"",SUMIFS(data_num!L:L, data_num!D:D, Y32, data_num!K:K, 1)/Z32)
</f>
        <v/>
      </c>
      <c r="AE33" s="74"/>
      <c r="AF33" s="77">
        <f>IFERROR(__xludf.DUMMYFUNCTION("""COMPUTED_VALUE"""),25.0)</f>
        <v>25</v>
      </c>
      <c r="AG33" s="75" t="str">
        <f>IFERROR(__xludf.DUMMYFUNCTION("""COMPUTED_VALUE"""),"tout au long de la vie")</f>
        <v>tout au long de la vie</v>
      </c>
      <c r="AH33" s="74">
        <f>IFERROR(__xludf.DUMMYFUNCTION("""COMPUTED_VALUE"""),2.0)</f>
        <v>2</v>
      </c>
      <c r="AI33" s="77">
        <f>IFERROR(__xludf.DUMMYFUNCTION("""COMPUTED_VALUE"""),2.0)</f>
        <v>2</v>
      </c>
      <c r="AJ33" s="74">
        <f>IFERROR(__xludf.DUMMYFUNCTION("""COMPUTED_VALUE"""),11.313708498984761)</f>
        <v>11.3137085</v>
      </c>
      <c r="AK33" s="74"/>
      <c r="AL33" s="74"/>
      <c r="AM33" s="74"/>
      <c r="AN33" s="74"/>
      <c r="AO33" s="74"/>
      <c r="AP33" s="77"/>
      <c r="AQ33" s="72"/>
      <c r="AR33" s="73"/>
      <c r="AS33" s="73"/>
      <c r="AT33" s="73"/>
      <c r="AU33" s="73"/>
      <c r="AV33" s="73"/>
      <c r="AW33" s="73"/>
      <c r="AX33" s="77"/>
      <c r="AY33" s="77"/>
    </row>
    <row r="34" ht="16.5" customHeight="1">
      <c r="A34" s="72">
        <f>COUNT(data_num!A18:A1000)
</f>
        <v>32</v>
      </c>
      <c r="B34" s="73">
        <f>AVERAGE(data_num!B18:B1000)
</f>
        <v>3.24137931</v>
      </c>
      <c r="C34" s="74">
        <f>AVERAGE(data_num!C18:C1000)
</f>
        <v>4.689655172</v>
      </c>
      <c r="D34" s="73">
        <f>COUNTIFS(data_num!B18:B1000,"&gt;5", data_num!C18:C1000,"&gt;5")/COUNT(data_num!A18:A1000)
</f>
        <v>0.1875</v>
      </c>
      <c r="E34" s="74">
        <f>IFERROR(__xludf.DUMMYFUNCTION("IFERROR(
  IF(
    OR(
      ROWS(FILTER(data_num!B18:B1000, ISNUMBER(data_num!B18:B1000), ISNUMBER(data_num!C18:C1000)))&lt;2,
      STDEV.S(FILTER(data_num!B18:B1000, ISNUMBER(data_num!B18:B1000), ISNUMBER(data_num!C18:C1000)))=0,
      STDEV.S(FILTER(data"&amp;"_num!C18:C1000, ISNUMBER(data_num!B18:B1000), ISNUMBER(data_num!C18:C1000)))=0
    ),
    """",
    CORREL(
      FILTER(data_num!B18:B1000, ISNUMBER(data_num!B18:B1000), ISNUMBER(data_num!C18:C1000)),
      FILTER(data_num!C18:C1000, ISNUMBER(data_num!B1"&amp;"8:B1000), ISNUMBER(data_num!C18:C1000))
    )
  ),
"""")
"),0.29310653792962493)</f>
        <v>0.2931065379</v>
      </c>
      <c r="F34" s="73">
        <f>MEDIAN(data_num!B18:B1000)
</f>
        <v>3</v>
      </c>
      <c r="G34" s="73">
        <f>MEDIAN(data_num!C18:C1000)
</f>
        <v>5</v>
      </c>
      <c r="H34" s="73"/>
      <c r="I34" s="72"/>
      <c r="J34" s="73"/>
      <c r="K34" s="73"/>
      <c r="L34" s="73"/>
      <c r="M34" s="73"/>
      <c r="N34" s="73"/>
      <c r="O34" s="73"/>
      <c r="P34" s="73"/>
      <c r="Q34" s="73"/>
      <c r="R34" s="73"/>
      <c r="S34" s="73"/>
      <c r="T34" s="72"/>
      <c r="U34" s="77"/>
      <c r="V34" s="74"/>
      <c r="W34" s="74"/>
      <c r="X34" s="74"/>
      <c r="Y34" s="74"/>
      <c r="Z34" s="73"/>
      <c r="AA34" s="73" t="str">
        <f>IF(Z34=0,"",AVERAGEIFS(data_num!B:B, data_num!D:D, Y34, data_num!K:K, 1))
</f>
        <v/>
      </c>
      <c r="AB34" s="77" t="str">
        <f>IF(Z34=0,"",AVERAGEIFS(data_num!C:C, data_num!D:D, Y34, data_num!K:K, 1))
</f>
        <v/>
      </c>
      <c r="AC34" s="72" t="str">
        <f>IF(Z33=0,"",SUMIFS(data_num!L:L, data_num!D:D, Y33, data_num!K:K, 1)/Z33)
</f>
        <v/>
      </c>
      <c r="AD34" s="73" t="str">
        <f>IF(Z33=0,"",SUMIFS(data_num!L:L, data_num!D:D, Y33, data_num!K:K, 1)/Z33)
</f>
        <v/>
      </c>
      <c r="AE34" s="74"/>
      <c r="AF34" s="77">
        <f>IFERROR(__xludf.DUMMYFUNCTION("""COMPUTED_VALUE"""),30.0)</f>
        <v>30</v>
      </c>
      <c r="AG34" s="75" t="str">
        <f>IFERROR(__xludf.DUMMYFUNCTION("""COMPUTED_VALUE"""),"tout au long de la vie")</f>
        <v>tout au long de la vie</v>
      </c>
      <c r="AH34" s="74">
        <f>IFERROR(__xludf.DUMMYFUNCTION("""COMPUTED_VALUE"""),1.0)</f>
        <v>1</v>
      </c>
      <c r="AI34" s="77">
        <f>IFERROR(__xludf.DUMMYFUNCTION("""COMPUTED_VALUE"""),3.0)</f>
        <v>3</v>
      </c>
      <c r="AJ34" s="74">
        <f>IFERROR(__xludf.DUMMYFUNCTION("""COMPUTED_VALUE"""),11.40175425099138)</f>
        <v>11.40175425</v>
      </c>
      <c r="AK34" s="74"/>
      <c r="AL34" s="74"/>
      <c r="AM34" s="74"/>
      <c r="AN34" s="74"/>
      <c r="AO34" s="74"/>
      <c r="AP34" s="77"/>
      <c r="AQ34" s="72"/>
      <c r="AR34" s="73"/>
      <c r="AS34" s="73"/>
      <c r="AT34" s="73"/>
      <c r="AU34" s="73"/>
      <c r="AV34" s="73"/>
      <c r="AW34" s="73"/>
      <c r="AX34" s="77"/>
      <c r="AY34" s="77"/>
    </row>
    <row r="35" ht="16.5" customHeight="1">
      <c r="A35" s="72">
        <f>COUNT(data_num!A17:A1000)
</f>
        <v>33</v>
      </c>
      <c r="B35" s="73">
        <f>AVERAGE(data_num!B17:B1000)
</f>
        <v>3.366666667</v>
      </c>
      <c r="C35" s="74">
        <f>AVERAGE(data_num!C17:C1000)
</f>
        <v>4.689655172</v>
      </c>
      <c r="D35" s="73">
        <f>COUNTIFS(data_num!B17:B1000,"&gt;5", data_num!C17:C1000,"&gt;5")/COUNT(data_num!A17:A1000)
</f>
        <v>0.1818181818</v>
      </c>
      <c r="E35" s="74">
        <f>IFERROR(__xludf.DUMMYFUNCTION("IFERROR(
  IF(
    OR(
      ROWS(FILTER(data_num!B17:B1000, ISNUMBER(data_num!B17:B1000), ISNUMBER(data_num!C17:C1000)))&lt;2,
      STDEV.S(FILTER(data_num!B17:B1000, ISNUMBER(data_num!B17:B1000), ISNUMBER(data_num!C17:C1000)))=0,
      STDEV.S(FILTER(data"&amp;"_num!C17:C1000, ISNUMBER(data_num!B17:B1000), ISNUMBER(data_num!C17:C1000)))=0
    ),
    """",
    CORREL(
      FILTER(data_num!B17:B1000, ISNUMBER(data_num!B17:B1000), ISNUMBER(data_num!C17:C1000)),
      FILTER(data_num!C17:C1000, ISNUMBER(data_num!B1"&amp;"7:B1000), ISNUMBER(data_num!C17:C1000))
    )
  ),
"""")
"),0.29310653792962493)</f>
        <v>0.2931065379</v>
      </c>
      <c r="F35" s="73">
        <f>MEDIAN(data_num!B17:B1000)
</f>
        <v>3</v>
      </c>
      <c r="G35" s="73">
        <f>MEDIAN(data_num!C17:C1000)
</f>
        <v>5</v>
      </c>
      <c r="H35" s="73"/>
      <c r="I35" s="72"/>
      <c r="J35" s="73"/>
      <c r="K35" s="73"/>
      <c r="L35" s="73"/>
      <c r="M35" s="73"/>
      <c r="N35" s="73"/>
      <c r="O35" s="73"/>
      <c r="P35" s="73"/>
      <c r="Q35" s="73"/>
      <c r="R35" s="73"/>
      <c r="S35" s="73"/>
      <c r="T35" s="72"/>
      <c r="U35" s="77"/>
      <c r="V35" s="74"/>
      <c r="W35" s="74"/>
      <c r="X35" s="74"/>
      <c r="Y35" s="74"/>
      <c r="Z35" s="73"/>
      <c r="AA35" s="73" t="str">
        <f>IF(Z35=0,"",AVERAGEIFS(data_num!B:B, data_num!D:D, Y35, data_num!K:K, 1))
</f>
        <v/>
      </c>
      <c r="AB35" s="77" t="str">
        <f>IF(Z35=0,"",AVERAGEIFS(data_num!C:C, data_num!D:D, Y35, data_num!K:K, 1))
</f>
        <v/>
      </c>
      <c r="AC35" s="72" t="str">
        <f>IF(Z34=0,"",SUMIFS(data_num!L:L, data_num!D:D, Y34, data_num!K:K, 1)/Z34)
</f>
        <v/>
      </c>
      <c r="AD35" s="73" t="str">
        <f>IF(Z34=0,"",SUMIFS(data_num!L:L, data_num!D:D, Y34, data_num!K:K, 1)/Z34)
</f>
        <v/>
      </c>
      <c r="AE35" s="74"/>
      <c r="AF35" s="77">
        <f>IFERROR(__xludf.DUMMYFUNCTION("""COMPUTED_VALUE"""),23.0)</f>
        <v>23</v>
      </c>
      <c r="AG35" s="75" t="str">
        <f>IFERROR(__xludf.DUMMYFUNCTION("""COMPUTED_VALUE"""),"tout au long de la vie")</f>
        <v>tout au long de la vie</v>
      </c>
      <c r="AH35" s="74">
        <f>IFERROR(__xludf.DUMMYFUNCTION("""COMPUTED_VALUE"""),4.0)</f>
        <v>4</v>
      </c>
      <c r="AI35" s="77">
        <f>IFERROR(__xludf.DUMMYFUNCTION("""COMPUTED_VALUE"""),0.0)</f>
        <v>0</v>
      </c>
      <c r="AJ35" s="74">
        <f>IFERROR(__xludf.DUMMYFUNCTION("""COMPUTED_VALUE"""),11.661903789690601)</f>
        <v>11.66190379</v>
      </c>
      <c r="AK35" s="74"/>
      <c r="AL35" s="74"/>
      <c r="AM35" s="74"/>
      <c r="AN35" s="74"/>
      <c r="AO35" s="74"/>
      <c r="AP35" s="77"/>
      <c r="AQ35" s="72"/>
      <c r="AR35" s="73"/>
      <c r="AS35" s="73"/>
      <c r="AT35" s="73"/>
      <c r="AU35" s="73"/>
      <c r="AV35" s="73"/>
      <c r="AW35" s="73"/>
      <c r="AX35" s="77"/>
      <c r="AY35" s="77"/>
    </row>
    <row r="36" ht="16.5" customHeight="1">
      <c r="A36" s="72">
        <f>COUNT(data_num!A16:A1000)
</f>
        <v>34</v>
      </c>
      <c r="B36" s="73">
        <f>AVERAGE(data_num!B16:B1000)
</f>
        <v>3.419354839</v>
      </c>
      <c r="C36" s="74">
        <f>AVERAGE(data_num!C16:C1000)
</f>
        <v>4.689655172</v>
      </c>
      <c r="D36" s="73">
        <f>COUNTIFS(data_num!B16:B1000,"&gt;5", data_num!C16:C1000,"&gt;5")/COUNT(data_num!A16:A1000)
</f>
        <v>0.1764705882</v>
      </c>
      <c r="E36" s="74">
        <f>IFERROR(__xludf.DUMMYFUNCTION("IFERROR(
  IF(
    OR(
      ROWS(FILTER(data_num!B16:B1000, ISNUMBER(data_num!B16:B1000), ISNUMBER(data_num!C16:C1000)))&lt;2,
      STDEV.S(FILTER(data_num!B16:B1000, ISNUMBER(data_num!B16:B1000), ISNUMBER(data_num!C16:C1000)))=0,
      STDEV.S(FILTER(data"&amp;"_num!C16:C1000, ISNUMBER(data_num!B16:B1000), ISNUMBER(data_num!C16:C1000)))=0
    ),
    """",
    CORREL(
      FILTER(data_num!B16:B1000, ISNUMBER(data_num!B16:B1000), ISNUMBER(data_num!C16:C1000)),
      FILTER(data_num!C16:C1000, ISNUMBER(data_num!B1"&amp;"6:B1000), ISNUMBER(data_num!C16:C1000))
    )
  ),
"""")
"),0.29310653792962493)</f>
        <v>0.2931065379</v>
      </c>
      <c r="F36" s="73">
        <f>MEDIAN(data_num!B16:B1000)
</f>
        <v>3</v>
      </c>
      <c r="G36" s="73">
        <f>MEDIAN(data_num!C16:C1000)
</f>
        <v>5</v>
      </c>
      <c r="H36" s="73"/>
      <c r="I36" s="72"/>
      <c r="J36" s="73"/>
      <c r="K36" s="73"/>
      <c r="L36" s="73"/>
      <c r="M36" s="73"/>
      <c r="N36" s="73"/>
      <c r="O36" s="73"/>
      <c r="P36" s="73"/>
      <c r="Q36" s="73"/>
      <c r="R36" s="73"/>
      <c r="S36" s="73"/>
      <c r="T36" s="72"/>
      <c r="U36" s="77"/>
      <c r="V36" s="74"/>
      <c r="W36" s="74"/>
      <c r="X36" s="74"/>
      <c r="Y36" s="74"/>
      <c r="Z36" s="73"/>
      <c r="AA36" s="73" t="str">
        <f>IF(Z36=0,"",AVERAGEIFS(data_num!B:B, data_num!D:D, Y36, data_num!K:K, 1))
</f>
        <v/>
      </c>
      <c r="AB36" s="77" t="str">
        <f>IF(Z36=0,"",AVERAGEIFS(data_num!C:C, data_num!D:D, Y36, data_num!K:K, 1))
</f>
        <v/>
      </c>
      <c r="AC36" s="72" t="str">
        <f>IF(Z35=0,"",SUMIFS(data_num!L:L, data_num!D:D, Y35, data_num!K:K, 1)/Z35)
</f>
        <v/>
      </c>
      <c r="AD36" s="73" t="str">
        <f>IF(Z35=0,"",SUMIFS(data_num!L:L, data_num!D:D, Y35, data_num!K:K, 1)/Z35)
</f>
        <v/>
      </c>
      <c r="AE36" s="74"/>
      <c r="AF36" s="77">
        <f>IFERROR(__xludf.DUMMYFUNCTION("""COMPUTED_VALUE"""),27.0)</f>
        <v>27</v>
      </c>
      <c r="AG36" s="75" t="str">
        <f>IFERROR(__xludf.DUMMYFUNCTION("""COMPUTED_VALUE"""),"tout au long de la vie")</f>
        <v>tout au long de la vie</v>
      </c>
      <c r="AH36" s="74">
        <f>IFERROR(__xludf.DUMMYFUNCTION("""COMPUTED_VALUE"""),2.0)</f>
        <v>2</v>
      </c>
      <c r="AI36" s="77">
        <f>IFERROR(__xludf.DUMMYFUNCTION("""COMPUTED_VALUE"""),1.0)</f>
        <v>1</v>
      </c>
      <c r="AJ36" s="74">
        <f>IFERROR(__xludf.DUMMYFUNCTION("""COMPUTED_VALUE"""),12.041594578792296)</f>
        <v>12.04159458</v>
      </c>
      <c r="AK36" s="74"/>
      <c r="AL36" s="74"/>
      <c r="AM36" s="74"/>
      <c r="AN36" s="74"/>
      <c r="AO36" s="74"/>
      <c r="AP36" s="77"/>
      <c r="AQ36" s="72"/>
      <c r="AR36" s="73"/>
      <c r="AS36" s="73"/>
      <c r="AT36" s="73"/>
      <c r="AU36" s="73"/>
      <c r="AV36" s="73"/>
      <c r="AW36" s="73"/>
      <c r="AX36" s="77"/>
      <c r="AY36" s="77"/>
    </row>
    <row r="37" ht="16.5" customHeight="1">
      <c r="A37" s="72">
        <f>COUNT(data_num!A15:A1000)
</f>
        <v>35</v>
      </c>
      <c r="B37" s="73">
        <f>AVERAGE(data_num!B15:B1000)
</f>
        <v>3.419354839</v>
      </c>
      <c r="C37" s="74">
        <f>AVERAGE(data_num!C15:C1000)
</f>
        <v>4.689655172</v>
      </c>
      <c r="D37" s="73">
        <f>COUNTIFS(data_num!B15:B1000,"&gt;5", data_num!C15:C1000,"&gt;5")/COUNT(data_num!A15:A1000)
</f>
        <v>0.1714285714</v>
      </c>
      <c r="E37" s="74">
        <f>IFERROR(__xludf.DUMMYFUNCTION("IFERROR(
  IF(
    OR(
      ROWS(FILTER(data_num!B15:B1000, ISNUMBER(data_num!B15:B1000), ISNUMBER(data_num!C15:C1000)))&lt;2,
      STDEV.S(FILTER(data_num!B15:B1000, ISNUMBER(data_num!B15:B1000), ISNUMBER(data_num!C15:C1000)))=0,
      STDEV.S(FILTER(data"&amp;"_num!C15:C1000, ISNUMBER(data_num!B15:B1000), ISNUMBER(data_num!C15:C1000)))=0
    ),
    """",
    CORREL(
      FILTER(data_num!B15:B1000, ISNUMBER(data_num!B15:B1000), ISNUMBER(data_num!C15:C1000)),
      FILTER(data_num!C15:C1000, ISNUMBER(data_num!B1"&amp;"5:B1000), ISNUMBER(data_num!C15:C1000))
    )
  ),
"""")
"),0.29310653792962493)</f>
        <v>0.2931065379</v>
      </c>
      <c r="F37" s="73">
        <f>MEDIAN(data_num!B15:B1000)
</f>
        <v>3</v>
      </c>
      <c r="G37" s="73">
        <f>MEDIAN(data_num!C15:C1000)
</f>
        <v>5</v>
      </c>
      <c r="H37" s="73"/>
      <c r="I37" s="72"/>
      <c r="J37" s="73"/>
      <c r="K37" s="73"/>
      <c r="L37" s="73"/>
      <c r="M37" s="73"/>
      <c r="N37" s="73"/>
      <c r="O37" s="73"/>
      <c r="P37" s="73"/>
      <c r="Q37" s="73"/>
      <c r="R37" s="73"/>
      <c r="S37" s="73"/>
      <c r="T37" s="72"/>
      <c r="U37" s="77"/>
      <c r="V37" s="74"/>
      <c r="W37" s="74"/>
      <c r="X37" s="74"/>
      <c r="Y37" s="74"/>
      <c r="Z37" s="73"/>
      <c r="AA37" s="73" t="str">
        <f>IF(Z37=0,"",AVERAGEIFS(data_num!B:B, data_num!D:D, Y37, data_num!K:K, 1))
</f>
        <v/>
      </c>
      <c r="AB37" s="77" t="str">
        <f>IF(Z37=0,"",AVERAGEIFS(data_num!C:C, data_num!D:D, Y37, data_num!K:K, 1))
</f>
        <v/>
      </c>
      <c r="AC37" s="72" t="str">
        <f>IF(Z36=0,"",SUMIFS(data_num!L:L, data_num!D:D, Y36, data_num!K:K, 1)/Z36)
</f>
        <v/>
      </c>
      <c r="AD37" s="73" t="str">
        <f>IF(Z36=0,"",SUMIFS(data_num!L:L, data_num!D:D, Y36, data_num!K:K, 1)/Z36)
</f>
        <v/>
      </c>
      <c r="AE37" s="74"/>
      <c r="AF37" s="77">
        <f>IFERROR(__xludf.DUMMYFUNCTION("""COMPUTED_VALUE"""),47.0)</f>
        <v>47</v>
      </c>
      <c r="AG37" s="75" t="str">
        <f>IFERROR(__xludf.DUMMYFUNCTION("""COMPUTED_VALUE"""),"pratiques de l'éducation")</f>
        <v>pratiques de l'éducation</v>
      </c>
      <c r="AH37" s="74">
        <f>IFERROR(__xludf.DUMMYFUNCTION("""COMPUTED_VALUE"""),0.0)</f>
        <v>0</v>
      </c>
      <c r="AI37" s="77">
        <f>IFERROR(__xludf.DUMMYFUNCTION("""COMPUTED_VALUE"""),3.0)</f>
        <v>3</v>
      </c>
      <c r="AJ37" s="74">
        <f>IFERROR(__xludf.DUMMYFUNCTION("""COMPUTED_VALUE"""),12.206555615733702)</f>
        <v>12.20655562</v>
      </c>
      <c r="AK37" s="74"/>
      <c r="AL37" s="74"/>
      <c r="AM37" s="74"/>
      <c r="AN37" s="74"/>
      <c r="AO37" s="74"/>
      <c r="AP37" s="77"/>
      <c r="AQ37" s="72"/>
      <c r="AR37" s="73"/>
      <c r="AS37" s="73"/>
      <c r="AT37" s="73"/>
      <c r="AU37" s="73"/>
      <c r="AV37" s="73"/>
      <c r="AW37" s="73"/>
      <c r="AX37" s="77"/>
      <c r="AY37" s="77"/>
    </row>
    <row r="38" ht="16.5" customHeight="1">
      <c r="A38" s="72">
        <f>COUNT(data_num!A14:A1000)
</f>
        <v>36</v>
      </c>
      <c r="B38" s="73">
        <f>AVERAGE(data_num!B14:B1000)
</f>
        <v>3.419354839</v>
      </c>
      <c r="C38" s="74">
        <f>AVERAGE(data_num!C14:C1000)
</f>
        <v>4.689655172</v>
      </c>
      <c r="D38" s="73">
        <f>COUNTIFS(data_num!B14:B1000,"&gt;5", data_num!C14:C1000,"&gt;5")/COUNT(data_num!A14:A1000)
</f>
        <v>0.1666666667</v>
      </c>
      <c r="E38" s="74">
        <f>IFERROR(__xludf.DUMMYFUNCTION("IFERROR(
  IF(
    OR(
      ROWS(FILTER(data_num!B14:B1000, ISNUMBER(data_num!B14:B1000), ISNUMBER(data_num!C14:C1000)))&lt;2,
      STDEV.S(FILTER(data_num!B14:B1000, ISNUMBER(data_num!B14:B1000), ISNUMBER(data_num!C14:C1000)))=0,
      STDEV.S(FILTER(data"&amp;"_num!C14:C1000, ISNUMBER(data_num!B14:B1000), ISNUMBER(data_num!C14:C1000)))=0
    ),
    """",
    CORREL(
      FILTER(data_num!B14:B1000, ISNUMBER(data_num!B14:B1000), ISNUMBER(data_num!C14:C1000)),
      FILTER(data_num!C14:C1000, ISNUMBER(data_num!B1"&amp;"4:B1000), ISNUMBER(data_num!C14:C1000))
    )
  ),
"""")
"),0.29310653792962493)</f>
        <v>0.2931065379</v>
      </c>
      <c r="F38" s="73">
        <f>MEDIAN(data_num!B14:B1000)
</f>
        <v>3</v>
      </c>
      <c r="G38" s="73">
        <f>MEDIAN(data_num!C14:C1000)
</f>
        <v>5</v>
      </c>
      <c r="H38" s="74"/>
      <c r="I38" s="72"/>
      <c r="J38" s="74"/>
      <c r="K38" s="74"/>
      <c r="L38" s="73"/>
      <c r="M38" s="74"/>
      <c r="N38" s="73"/>
      <c r="O38" s="74"/>
      <c r="P38" s="73"/>
      <c r="Q38" s="74"/>
      <c r="R38" s="73"/>
      <c r="S38" s="74"/>
      <c r="T38" s="72"/>
      <c r="U38" s="77"/>
      <c r="V38" s="74"/>
      <c r="W38" s="74"/>
      <c r="X38" s="74"/>
      <c r="Y38" s="74"/>
      <c r="Z38" s="73"/>
      <c r="AA38" s="73" t="str">
        <f>IF(Z38=0,"",AVERAGEIFS(data_num!B:B, data_num!D:D, Y38, data_num!K:K, 1))
</f>
        <v/>
      </c>
      <c r="AB38" s="77" t="str">
        <f>IF(Z38=0,"",AVERAGEIFS(data_num!C:C, data_num!D:D, Y38, data_num!K:K, 1))
</f>
        <v/>
      </c>
      <c r="AC38" s="72" t="str">
        <f>IF(Z37=0,"",SUMIFS(data_num!L:L, data_num!D:D, Y37, data_num!K:K, 1)/Z37)
</f>
        <v/>
      </c>
      <c r="AD38" s="73" t="str">
        <f>IF(Z37=0,"",SUMIFS(data_num!L:L, data_num!D:D, Y37, data_num!K:K, 1)/Z37)
</f>
        <v/>
      </c>
      <c r="AE38" s="74"/>
      <c r="AF38" s="77">
        <f>IFERROR(__xludf.DUMMYFUNCTION("""COMPUTED_VALUE"""),21.0)</f>
        <v>21</v>
      </c>
      <c r="AG38" s="75" t="str">
        <f>IFERROR(__xludf.DUMMYFUNCTION("""COMPUTED_VALUE"""),"tout au long de la vie")</f>
        <v>tout au long de la vie</v>
      </c>
      <c r="AH38" s="74">
        <f>IFERROR(__xludf.DUMMYFUNCTION("""COMPUTED_VALUE"""),1.0)</f>
        <v>1</v>
      </c>
      <c r="AI38" s="77">
        <f>IFERROR(__xludf.DUMMYFUNCTION("""COMPUTED_VALUE"""),0.0)</f>
        <v>0</v>
      </c>
      <c r="AJ38" s="74">
        <f>IFERROR(__xludf.DUMMYFUNCTION("""COMPUTED_VALUE"""),13.45362404707371)</f>
        <v>13.45362405</v>
      </c>
      <c r="AK38" s="74"/>
      <c r="AL38" s="74"/>
      <c r="AM38" s="74"/>
      <c r="AN38" s="74"/>
      <c r="AO38" s="74"/>
      <c r="AP38" s="77"/>
      <c r="AQ38" s="72"/>
      <c r="AR38" s="73"/>
      <c r="AS38" s="73"/>
      <c r="AT38" s="73"/>
      <c r="AU38" s="73"/>
      <c r="AV38" s="73"/>
      <c r="AW38" s="73"/>
      <c r="AX38" s="77"/>
      <c r="AY38" s="77"/>
    </row>
    <row r="39" ht="16.5" customHeight="1">
      <c r="A39" s="72">
        <f>COUNT(data_num!A13:A1000)
</f>
        <v>37</v>
      </c>
      <c r="B39" s="73">
        <f>AVERAGE(data_num!B13:B1000)
</f>
        <v>3.419354839</v>
      </c>
      <c r="C39" s="74">
        <f>AVERAGE(data_num!C13:C1000)
</f>
        <v>4.689655172</v>
      </c>
      <c r="D39" s="73">
        <f>COUNTIFS(data_num!B13:B1000,"&gt;5", data_num!C13:C1000,"&gt;5")/COUNT(data_num!A13:A1000)
</f>
        <v>0.1621621622</v>
      </c>
      <c r="E39" s="74">
        <f>IFERROR(__xludf.DUMMYFUNCTION("IFERROR(
  IF(
    OR(
      ROWS(FILTER(data_num!B13:B1000, ISNUMBER(data_num!B13:B1000), ISNUMBER(data_num!C13:C1000)))&lt;2,
      STDEV.S(FILTER(data_num!B13:B1000, ISNUMBER(data_num!B13:B1000), ISNUMBER(data_num!C13:C1000)))=0,
      STDEV.S(FILTER(data"&amp;"_num!C13:C1000, ISNUMBER(data_num!B13:B1000), ISNUMBER(data_num!C13:C1000)))=0
    ),
    """",
    CORREL(
      FILTER(data_num!B13:B1000, ISNUMBER(data_num!B13:B1000), ISNUMBER(data_num!C13:C1000)),
      FILTER(data_num!C13:C1000, ISNUMBER(data_num!B1"&amp;"3:B1000), ISNUMBER(data_num!C13:C1000))
    )
  ),
"""")
"),0.29310653792962493)</f>
        <v>0.2931065379</v>
      </c>
      <c r="F39" s="73">
        <f>MEDIAN(data_num!B13:B1000)
</f>
        <v>3</v>
      </c>
      <c r="G39" s="73">
        <f>MEDIAN(data_num!C13:C1000)
</f>
        <v>5</v>
      </c>
      <c r="H39" s="74"/>
      <c r="I39" s="72"/>
      <c r="J39" s="74"/>
      <c r="K39" s="74"/>
      <c r="L39" s="73"/>
      <c r="M39" s="74"/>
      <c r="N39" s="73"/>
      <c r="O39" s="74"/>
      <c r="P39" s="73"/>
      <c r="Q39" s="74"/>
      <c r="R39" s="73"/>
      <c r="S39" s="74"/>
      <c r="T39" s="77"/>
      <c r="U39" s="77"/>
      <c r="V39" s="74"/>
      <c r="W39" s="74"/>
      <c r="X39" s="74"/>
      <c r="Y39" s="74"/>
      <c r="Z39" s="73"/>
      <c r="AA39" s="73" t="str">
        <f>IF(Z39=0,"",AVERAGEIFS(data_num!B:B, data_num!D:D, Y39, data_num!K:K, 1))
</f>
        <v/>
      </c>
      <c r="AB39" s="77" t="str">
        <f>IF(Z39=0,"",AVERAGEIFS(data_num!C:C, data_num!D:D, Y39, data_num!K:K, 1))
</f>
        <v/>
      </c>
      <c r="AC39" s="72" t="str">
        <f>IF(Z38=0,"",SUMIFS(data_num!L:L, data_num!D:D, Y38, data_num!K:K, 1)/Z38)
</f>
        <v/>
      </c>
      <c r="AD39" s="73" t="str">
        <f>IF(Z38=0,"",SUMIFS(data_num!L:L, data_num!D:D, Y38, data_num!K:K, 1)/Z38)
</f>
        <v/>
      </c>
      <c r="AE39" s="74"/>
      <c r="AF39" s="77">
        <f>IFERROR(__xludf.DUMMYFUNCTION("""COMPUTED_VALUE"""),2.0)</f>
        <v>2</v>
      </c>
      <c r="AG39" s="75" t="str">
        <f>IFERROR(__xludf.DUMMYFUNCTION("""COMPUTED_VALUE"""),"environnement")</f>
        <v>environnement</v>
      </c>
      <c r="AH39" s="74"/>
      <c r="AI39" s="77"/>
      <c r="AJ39" s="74">
        <f>IFERROR(__xludf.DUMMYFUNCTION("""COMPUTED_VALUE"""),14.142135623730951)</f>
        <v>14.14213562</v>
      </c>
      <c r="AK39" s="74"/>
      <c r="AL39" s="74"/>
      <c r="AM39" s="74"/>
      <c r="AN39" s="74"/>
      <c r="AO39" s="74"/>
      <c r="AP39" s="77"/>
      <c r="AQ39" s="77"/>
      <c r="AR39" s="74"/>
      <c r="AS39" s="77"/>
      <c r="AT39" s="74"/>
      <c r="AU39" s="74"/>
      <c r="AV39" s="74"/>
      <c r="AW39" s="74"/>
      <c r="AX39" s="77"/>
      <c r="AY39" s="77"/>
    </row>
    <row r="40" ht="16.5" customHeight="1">
      <c r="A40" s="72">
        <f>COUNT(data_num!A12:A1000)
</f>
        <v>38</v>
      </c>
      <c r="B40" s="73">
        <f>AVERAGE(data_num!B12:B1000)
</f>
        <v>3.419354839</v>
      </c>
      <c r="C40" s="74">
        <f>AVERAGE(data_num!C12:C1000)
</f>
        <v>4.689655172</v>
      </c>
      <c r="D40" s="73">
        <f>COUNTIFS(data_num!B12:B1000,"&gt;5", data_num!C12:C1000,"&gt;5")/COUNT(data_num!A12:A1000)
</f>
        <v>0.1578947368</v>
      </c>
      <c r="E40" s="74">
        <f>IFERROR(__xludf.DUMMYFUNCTION("IFERROR(
  IF(
    OR(
      ROWS(FILTER(data_num!B12:B1000, ISNUMBER(data_num!B12:B1000), ISNUMBER(data_num!C12:C1000)))&lt;2,
      STDEV.S(FILTER(data_num!B12:B1000, ISNUMBER(data_num!B12:B1000), ISNUMBER(data_num!C12:C1000)))=0,
      STDEV.S(FILTER(data"&amp;"_num!C12:C1000, ISNUMBER(data_num!B12:B1000), ISNUMBER(data_num!C12:C1000)))=0
    ),
    """",
    CORREL(
      FILTER(data_num!B12:B1000, ISNUMBER(data_num!B12:B1000), ISNUMBER(data_num!C12:C1000)),
      FILTER(data_num!C12:C1000, ISNUMBER(data_num!B1"&amp;"2:B1000), ISNUMBER(data_num!C12:C1000))
    )
  ),
"""")
"),0.29310653792962493)</f>
        <v>0.2931065379</v>
      </c>
      <c r="F40" s="73">
        <f>MEDIAN(data_num!B12:B1000)
</f>
        <v>3</v>
      </c>
      <c r="G40" s="73">
        <f>MEDIAN(data_num!C12:C1000)
</f>
        <v>5</v>
      </c>
      <c r="H40" s="74"/>
      <c r="I40" s="72"/>
      <c r="J40" s="74"/>
      <c r="K40" s="74"/>
      <c r="L40" s="73"/>
      <c r="M40" s="74"/>
      <c r="N40" s="73"/>
      <c r="O40" s="74"/>
      <c r="P40" s="73"/>
      <c r="Q40" s="74"/>
      <c r="R40" s="73"/>
      <c r="S40" s="74"/>
      <c r="T40" s="77"/>
      <c r="U40" s="77"/>
      <c r="V40" s="74"/>
      <c r="W40" s="74"/>
      <c r="X40" s="74"/>
      <c r="Y40" s="74"/>
      <c r="Z40" s="73"/>
      <c r="AA40" s="73" t="str">
        <f>IF(Z40=0,"",AVERAGEIFS(data_num!B:B, data_num!D:D, Y40, data_num!K:K, 1))
</f>
        <v/>
      </c>
      <c r="AB40" s="77" t="str">
        <f>IF(Z40=0,"",AVERAGEIFS(data_num!C:C, data_num!D:D, Y40, data_num!K:K, 1))
</f>
        <v/>
      </c>
      <c r="AC40" s="72" t="str">
        <f>IF(Z39=0,"",SUMIFS(data_num!L:L, data_num!D:D, Y39, data_num!K:K, 1)/Z39)
</f>
        <v/>
      </c>
      <c r="AD40" s="73" t="str">
        <f>IF(Z39=0,"",SUMIFS(data_num!L:L, data_num!D:D, Y39, data_num!K:K, 1)/Z39)
</f>
        <v/>
      </c>
      <c r="AE40" s="74"/>
      <c r="AF40" s="77">
        <f>IFERROR(__xludf.DUMMYFUNCTION("""COMPUTED_VALUE"""),3.0)</f>
        <v>3</v>
      </c>
      <c r="AG40" s="75" t="str">
        <f>IFERROR(__xludf.DUMMYFUNCTION("""COMPUTED_VALUE"""),"environnement")</f>
        <v>environnement</v>
      </c>
      <c r="AH40" s="74"/>
      <c r="AI40" s="77"/>
      <c r="AJ40" s="74">
        <f>IFERROR(__xludf.DUMMYFUNCTION("""COMPUTED_VALUE"""),14.142135623730951)</f>
        <v>14.14213562</v>
      </c>
      <c r="AK40" s="74"/>
      <c r="AL40" s="74"/>
      <c r="AM40" s="74"/>
      <c r="AN40" s="74"/>
      <c r="AO40" s="74"/>
      <c r="AP40" s="77"/>
      <c r="AQ40" s="77"/>
      <c r="AR40" s="74"/>
      <c r="AS40" s="77"/>
      <c r="AT40" s="74"/>
      <c r="AU40" s="74"/>
      <c r="AV40" s="74"/>
      <c r="AW40" s="74"/>
      <c r="AX40" s="77"/>
      <c r="AY40" s="77"/>
    </row>
    <row r="41" ht="16.5" customHeight="1">
      <c r="A41" s="72">
        <f>COUNT(data_num!A11:A1000)
</f>
        <v>39</v>
      </c>
      <c r="B41" s="73">
        <f>AVERAGE(data_num!B11:B1000)
</f>
        <v>3.419354839</v>
      </c>
      <c r="C41" s="74">
        <f>AVERAGE(data_num!C11:C1000)
</f>
        <v>4.689655172</v>
      </c>
      <c r="D41" s="73">
        <f>COUNTIFS(data_num!B11:B1000,"&gt;5", data_num!C11:C1000,"&gt;5")/COUNT(data_num!A11:A1000)
</f>
        <v>0.1538461538</v>
      </c>
      <c r="E41" s="74">
        <f>IFERROR(__xludf.DUMMYFUNCTION("IFERROR(
  IF(
    OR(
      ROWS(FILTER(data_num!B11:B1000, ISNUMBER(data_num!B11:B1000), ISNUMBER(data_num!C11:C1000)))&lt;2,
      STDEV.S(FILTER(data_num!B11:B1000, ISNUMBER(data_num!B11:B1000), ISNUMBER(data_num!C11:C1000)))=0,
      STDEV.S(FILTER(data"&amp;"_num!C11:C1000, ISNUMBER(data_num!B11:B1000), ISNUMBER(data_num!C11:C1000)))=0
    ),
    """",
    CORREL(
      FILTER(data_num!B11:B1000, ISNUMBER(data_num!B11:B1000), ISNUMBER(data_num!C11:C1000)),
      FILTER(data_num!C11:C1000, ISNUMBER(data_num!B1"&amp;"1:B1000), ISNUMBER(data_num!C11:C1000))
    )
  ),
"""")
"),0.29310653792962493)</f>
        <v>0.2931065379</v>
      </c>
      <c r="F41" s="73">
        <f>MEDIAN(data_num!B11:B1000)
</f>
        <v>3</v>
      </c>
      <c r="G41" s="73">
        <f>MEDIAN(data_num!C11:C1000)
</f>
        <v>5</v>
      </c>
      <c r="H41" s="74"/>
      <c r="I41" s="72"/>
      <c r="J41" s="74"/>
      <c r="K41" s="74"/>
      <c r="L41" s="73"/>
      <c r="M41" s="74"/>
      <c r="N41" s="73"/>
      <c r="O41" s="74"/>
      <c r="P41" s="73"/>
      <c r="Q41" s="74"/>
      <c r="R41" s="73"/>
      <c r="S41" s="74"/>
      <c r="T41" s="77"/>
      <c r="U41" s="77"/>
      <c r="V41" s="74"/>
      <c r="W41" s="74"/>
      <c r="X41" s="74"/>
      <c r="Y41" s="74"/>
      <c r="Z41" s="73"/>
      <c r="AA41" s="73" t="str">
        <f>IF(Z41=0,"",AVERAGEIFS(data_num!B:B, data_num!D:D, Y41, data_num!K:K, 1))
</f>
        <v/>
      </c>
      <c r="AB41" s="77" t="str">
        <f>IF(Z41=0,"",AVERAGEIFS(data_num!C:C, data_num!D:D, Y41, data_num!K:K, 1))
</f>
        <v/>
      </c>
      <c r="AC41" s="72" t="str">
        <f>IF(Z40=0,"",SUMIFS(data_num!L:L, data_num!D:D, Y40, data_num!K:K, 1)/Z40)
</f>
        <v/>
      </c>
      <c r="AD41" s="73" t="str">
        <f>IF(Z40=0,"",SUMIFS(data_num!L:L, data_num!D:D, Y40, data_num!K:K, 1)/Z40)
</f>
        <v/>
      </c>
      <c r="AE41" s="74"/>
      <c r="AF41" s="77">
        <f>IFERROR(__xludf.DUMMYFUNCTION("""COMPUTED_VALUE"""),10.0)</f>
        <v>10</v>
      </c>
      <c r="AG41" s="75" t="str">
        <f>IFERROR(__xludf.DUMMYFUNCTION("""COMPUTED_VALUE"""),"environnement")</f>
        <v>environnement</v>
      </c>
      <c r="AH41" s="74"/>
      <c r="AI41" s="77"/>
      <c r="AJ41" s="74">
        <f>IFERROR(__xludf.DUMMYFUNCTION("""COMPUTED_VALUE"""),14.142135623730951)</f>
        <v>14.14213562</v>
      </c>
      <c r="AK41" s="74"/>
      <c r="AL41" s="74"/>
      <c r="AM41" s="74"/>
      <c r="AN41" s="74"/>
      <c r="AO41" s="74"/>
      <c r="AP41" s="77"/>
      <c r="AQ41" s="77"/>
      <c r="AR41" s="74"/>
      <c r="AS41" s="77"/>
      <c r="AT41" s="74"/>
      <c r="AU41" s="74"/>
      <c r="AV41" s="74"/>
      <c r="AW41" s="74"/>
      <c r="AX41" s="77"/>
      <c r="AY41" s="77"/>
    </row>
    <row r="42" ht="16.5" customHeight="1">
      <c r="A42" s="72">
        <f>COUNT(data_num!A10:A1000)
</f>
        <v>40</v>
      </c>
      <c r="B42" s="73">
        <f>AVERAGE(data_num!B10:B1000)
</f>
        <v>3.53125</v>
      </c>
      <c r="C42" s="74">
        <f>AVERAGE(data_num!C10:C1000)
</f>
        <v>4.8</v>
      </c>
      <c r="D42" s="73">
        <f>COUNTIFS(data_num!B10:B1000,"&gt;5", data_num!C10:C1000,"&gt;5")/COUNT(data_num!A10:A1000)
</f>
        <v>0.175</v>
      </c>
      <c r="E42" s="74">
        <f>IFERROR(__xludf.DUMMYFUNCTION("IFERROR(
  IF(
    OR(
      ROWS(FILTER(data_num!B10:B1000, ISNUMBER(data_num!B10:B1000), ISNUMBER(data_num!C10:C1000)))&lt;2,
      STDEV.S(FILTER(data_num!B10:B1000, ISNUMBER(data_num!B10:B1000), ISNUMBER(data_num!C10:C1000)))=0,
      STDEV.S(FILTER(data"&amp;"_num!C10:C1000, ISNUMBER(data_num!B10:B1000), ISNUMBER(data_num!C10:C1000)))=0
    ),
    """",
    CORREL(
      FILTER(data_num!B10:B1000, ISNUMBER(data_num!B10:B1000), ISNUMBER(data_num!C10:C1000)),
      FILTER(data_num!C10:C1000, ISNUMBER(data_num!B1"&amp;"0:B1000), ISNUMBER(data_num!C10:C1000))
    )
  ),
"""")
"),0.32553157958562373)</f>
        <v>0.3255315796</v>
      </c>
      <c r="F42" s="73">
        <f>MEDIAN(data_num!B10:B1000)
</f>
        <v>3</v>
      </c>
      <c r="G42" s="73">
        <f>MEDIAN(data_num!C10:C1000)
</f>
        <v>5</v>
      </c>
      <c r="H42" s="74"/>
      <c r="I42" s="72"/>
      <c r="J42" s="74"/>
      <c r="K42" s="74"/>
      <c r="L42" s="73"/>
      <c r="M42" s="74"/>
      <c r="N42" s="73"/>
      <c r="O42" s="74"/>
      <c r="P42" s="73"/>
      <c r="Q42" s="74"/>
      <c r="R42" s="73"/>
      <c r="S42" s="74"/>
      <c r="T42" s="77"/>
      <c r="U42" s="77"/>
      <c r="V42" s="74"/>
      <c r="W42" s="74"/>
      <c r="X42" s="74"/>
      <c r="Y42" s="74"/>
      <c r="Z42" s="73"/>
      <c r="AA42" s="73" t="str">
        <f>IF(Z42=0,"",AVERAGEIFS(data_num!B:B, data_num!D:D, Y42, data_num!K:K, 1))
</f>
        <v/>
      </c>
      <c r="AB42" s="77" t="str">
        <f>IF(Z42=0,"",AVERAGEIFS(data_num!C:C, data_num!D:D, Y42, data_num!K:K, 1))
</f>
        <v/>
      </c>
      <c r="AC42" s="72" t="str">
        <f>IF(Z41=0,"",SUMIFS(data_num!L:L, data_num!D:D, Y41, data_num!K:K, 1)/Z41)
</f>
        <v/>
      </c>
      <c r="AD42" s="73" t="str">
        <f>IF(Z41=0,"",SUMIFS(data_num!L:L, data_num!D:D, Y41, data_num!K:K, 1)/Z41)
</f>
        <v/>
      </c>
      <c r="AE42" s="74"/>
      <c r="AF42" s="77">
        <f>IFERROR(__xludf.DUMMYFUNCTION("""COMPUTED_VALUE"""),11.0)</f>
        <v>11</v>
      </c>
      <c r="AG42" s="75" t="str">
        <f>IFERROR(__xludf.DUMMYFUNCTION("""COMPUTED_VALUE"""),"environnement")</f>
        <v>environnement</v>
      </c>
      <c r="AH42" s="74"/>
      <c r="AI42" s="77"/>
      <c r="AJ42" s="74">
        <f>IFERROR(__xludf.DUMMYFUNCTION("""COMPUTED_VALUE"""),14.142135623730951)</f>
        <v>14.14213562</v>
      </c>
      <c r="AK42" s="74"/>
      <c r="AL42" s="74"/>
      <c r="AM42" s="74"/>
      <c r="AN42" s="74"/>
      <c r="AO42" s="74"/>
      <c r="AP42" s="77"/>
      <c r="AQ42" s="77"/>
      <c r="AR42" s="74"/>
      <c r="AS42" s="77"/>
      <c r="AT42" s="74"/>
      <c r="AU42" s="74"/>
      <c r="AV42" s="74"/>
      <c r="AW42" s="74"/>
      <c r="AX42" s="77"/>
      <c r="AY42" s="77"/>
    </row>
    <row r="43" ht="16.5" customHeight="1">
      <c r="A43" s="72">
        <f>COUNT(data_num!A9:A1000)
</f>
        <v>41</v>
      </c>
      <c r="B43" s="73">
        <f>AVERAGE(data_num!B9:B1000)
</f>
        <v>3.636363636</v>
      </c>
      <c r="C43" s="74">
        <f>AVERAGE(data_num!C9:C1000)
</f>
        <v>4.870967742</v>
      </c>
      <c r="D43" s="73">
        <f>COUNTIFS(data_num!B9:B1000,"&gt;5", data_num!C9:C1000,"&gt;5")/COUNT(data_num!A9:A1000)
</f>
        <v>0.1951219512</v>
      </c>
      <c r="E43" s="74">
        <f>IFERROR(__xludf.DUMMYFUNCTION("IFERROR(
  IF(
    OR(
      ROWS(FILTER(data_num!B9:B1000, ISNUMBER(data_num!B9:B1000), ISNUMBER(data_num!C9:C1000)))&lt;2,
      STDEV.S(FILTER(data_num!B9:B1000, ISNUMBER(data_num!B9:B1000), ISNUMBER(data_num!C9:C1000)))=0,
      STDEV.S(FILTER(data_num!C"&amp;"9:C1000, ISNUMBER(data_num!B9:B1000), ISNUMBER(data_num!C9:C1000)))=0
    ),
    """",
    CORREL(
      FILTER(data_num!B9:B1000, ISNUMBER(data_num!B9:B1000), ISNUMBER(data_num!C9:C1000)),
      FILTER(data_num!C9:C1000, ISNUMBER(data_num!B9:B1000), ISNU"&amp;"MBER(data_num!C9:C1000))
    )
  ),
"""")
"),0.34383080671149363)</f>
        <v>0.3438308067</v>
      </c>
      <c r="F43" s="73">
        <f>MEDIAN(data_num!B9:B1000)
</f>
        <v>3</v>
      </c>
      <c r="G43" s="73">
        <f>MEDIAN(data_num!C9:C1000)
</f>
        <v>5</v>
      </c>
      <c r="H43" s="74"/>
      <c r="I43" s="72"/>
      <c r="J43" s="74"/>
      <c r="K43" s="74"/>
      <c r="L43" s="73"/>
      <c r="M43" s="74"/>
      <c r="N43" s="73"/>
      <c r="O43" s="74"/>
      <c r="P43" s="73"/>
      <c r="Q43" s="74"/>
      <c r="R43" s="73"/>
      <c r="S43" s="74"/>
      <c r="T43" s="77"/>
      <c r="U43" s="77"/>
      <c r="V43" s="74"/>
      <c r="W43" s="74"/>
      <c r="X43" s="74"/>
      <c r="Y43" s="74"/>
      <c r="Z43" s="73"/>
      <c r="AA43" s="73" t="str">
        <f>IF(Z43=0,"",AVERAGEIFS(data_num!B:B, data_num!D:D, Y43, data_num!K:K, 1))
</f>
        <v/>
      </c>
      <c r="AB43" s="77" t="str">
        <f>IF(Z43=0,"",AVERAGEIFS(data_num!C:C, data_num!D:D, Y43, data_num!K:K, 1))
</f>
        <v/>
      </c>
      <c r="AC43" s="72" t="str">
        <f>IF(Z42=0,"",SUMIFS(data_num!L:L, data_num!D:D, Y42, data_num!K:K, 1)/Z42)
</f>
        <v/>
      </c>
      <c r="AD43" s="73" t="str">
        <f>IF(Z42=0,"",SUMIFS(data_num!L:L, data_num!D:D, Y42, data_num!K:K, 1)/Z42)
</f>
        <v/>
      </c>
      <c r="AE43" s="74"/>
      <c r="AF43" s="77">
        <f>IFERROR(__xludf.DUMMYFUNCTION("""COMPUTED_VALUE"""),12.0)</f>
        <v>12</v>
      </c>
      <c r="AG43" s="75" t="str">
        <f>IFERROR(__xludf.DUMMYFUNCTION("""COMPUTED_VALUE"""),"environnement")</f>
        <v>environnement</v>
      </c>
      <c r="AH43" s="74"/>
      <c r="AI43" s="77"/>
      <c r="AJ43" s="74">
        <f>IFERROR(__xludf.DUMMYFUNCTION("""COMPUTED_VALUE"""),14.142135623730951)</f>
        <v>14.14213562</v>
      </c>
      <c r="AK43" s="74"/>
      <c r="AL43" s="74"/>
      <c r="AM43" s="74"/>
      <c r="AN43" s="74"/>
      <c r="AO43" s="74"/>
      <c r="AP43" s="77"/>
      <c r="AQ43" s="77"/>
      <c r="AR43" s="74"/>
      <c r="AS43" s="77"/>
      <c r="AT43" s="74"/>
      <c r="AU43" s="74"/>
      <c r="AV43" s="74"/>
      <c r="AW43" s="74"/>
      <c r="AX43" s="77"/>
      <c r="AY43" s="77"/>
    </row>
    <row r="44" ht="16.5" customHeight="1">
      <c r="A44" s="72">
        <f>COUNT(data_num!A8:A1000)
</f>
        <v>42</v>
      </c>
      <c r="B44" s="73">
        <f>AVERAGE(data_num!B8:B1000)
</f>
        <v>3.617647059</v>
      </c>
      <c r="C44" s="74">
        <f>AVERAGE(data_num!C8:C1000)
</f>
        <v>5.03125</v>
      </c>
      <c r="D44" s="73">
        <f>COUNTIFS(data_num!B8:B1000,"&gt;5", data_num!C8:C1000,"&gt;5")/COUNT(data_num!A8:A1000)
</f>
        <v>0.1904761905</v>
      </c>
      <c r="E44" s="74">
        <f>IFERROR(__xludf.DUMMYFUNCTION("IFERROR(
  IF(
    OR(
      ROWS(FILTER(data_num!B8:B1000, ISNUMBER(data_num!B8:B1000), ISNUMBER(data_num!C8:C1000)))&lt;2,
      STDEV.S(FILTER(data_num!B8:B1000, ISNUMBER(data_num!B8:B1000), ISNUMBER(data_num!C8:C1000)))=0,
      STDEV.S(FILTER(data_num!C"&amp;"8:C1000, ISNUMBER(data_num!B8:B1000), ISNUMBER(data_num!C8:C1000)))=0
    ),
    """",
    CORREL(
      FILTER(data_num!B8:B1000, ISNUMBER(data_num!B8:B1000), ISNUMBER(data_num!C8:C1000)),
      FILTER(data_num!C8:C1000, ISNUMBER(data_num!B8:B1000), ISNU"&amp;"MBER(data_num!C8:C1000))
    )
  ),
"""")
"),0.3193699158418443)</f>
        <v>0.3193699158</v>
      </c>
      <c r="F44" s="73">
        <f>MEDIAN(data_num!B8:B1000)
</f>
        <v>3</v>
      </c>
      <c r="G44" s="73">
        <f>MEDIAN(data_num!C8:C1000)
</f>
        <v>5</v>
      </c>
      <c r="H44" s="74"/>
      <c r="I44" s="72"/>
      <c r="J44" s="74"/>
      <c r="K44" s="74"/>
      <c r="L44" s="73"/>
      <c r="M44" s="74"/>
      <c r="N44" s="73"/>
      <c r="O44" s="74"/>
      <c r="P44" s="73"/>
      <c r="Q44" s="74"/>
      <c r="R44" s="73"/>
      <c r="S44" s="74"/>
      <c r="T44" s="77"/>
      <c r="U44" s="77"/>
      <c r="V44" s="74"/>
      <c r="W44" s="74"/>
      <c r="X44" s="74"/>
      <c r="Y44" s="74"/>
      <c r="Z44" s="73"/>
      <c r="AA44" s="73" t="str">
        <f>IF(Z44=0,"",AVERAGEIFS(data_num!B:B, data_num!D:D, Y44, data_num!K:K, 1))
</f>
        <v/>
      </c>
      <c r="AB44" s="77" t="str">
        <f>IF(Z44=0,"",AVERAGEIFS(data_num!C:C, data_num!D:D, Y44, data_num!K:K, 1))
</f>
        <v/>
      </c>
      <c r="AC44" s="72" t="str">
        <f>IF(Z43=0,"",SUMIFS(data_num!L:L, data_num!D:D, Y43, data_num!K:K, 1)/Z43)
</f>
        <v/>
      </c>
      <c r="AD44" s="73" t="str">
        <f>IF(Z43=0,"",SUMIFS(data_num!L:L, data_num!D:D, Y43, data_num!K:K, 1)/Z43)
</f>
        <v/>
      </c>
      <c r="AE44" s="74"/>
      <c r="AF44" s="77">
        <f>IFERROR(__xludf.DUMMYFUNCTION("""COMPUTED_VALUE"""),13.0)</f>
        <v>13</v>
      </c>
      <c r="AG44" s="75" t="str">
        <f>IFERROR(__xludf.DUMMYFUNCTION("""COMPUTED_VALUE"""),"environnement")</f>
        <v>environnement</v>
      </c>
      <c r="AH44" s="74"/>
      <c r="AI44" s="77"/>
      <c r="AJ44" s="74">
        <f>IFERROR(__xludf.DUMMYFUNCTION("""COMPUTED_VALUE"""),14.142135623730951)</f>
        <v>14.14213562</v>
      </c>
      <c r="AK44" s="74"/>
      <c r="AL44" s="74"/>
      <c r="AM44" s="74"/>
      <c r="AN44" s="74"/>
      <c r="AO44" s="74"/>
      <c r="AP44" s="77"/>
      <c r="AQ44" s="77"/>
      <c r="AR44" s="74"/>
      <c r="AS44" s="77"/>
      <c r="AT44" s="74"/>
      <c r="AU44" s="74"/>
      <c r="AV44" s="74"/>
      <c r="AW44" s="74"/>
      <c r="AX44" s="77"/>
      <c r="AY44" s="77"/>
    </row>
    <row r="45" ht="16.5" customHeight="1">
      <c r="A45" s="72">
        <f>COUNT(data_num!A7:A1000)
</f>
        <v>43</v>
      </c>
      <c r="B45" s="73">
        <f>AVERAGE(data_num!B7:B1000)
</f>
        <v>3.714285714</v>
      </c>
      <c r="C45" s="74">
        <f>AVERAGE(data_num!C7:C1000)
</f>
        <v>5.121212121</v>
      </c>
      <c r="D45" s="73">
        <f>COUNTIFS(data_num!B7:B1000,"&gt;5", data_num!C7:C1000,"&gt;5")/COUNT(data_num!A7:A1000)
</f>
        <v>0.2093023256</v>
      </c>
      <c r="E45" s="74">
        <f>IFERROR(__xludf.DUMMYFUNCTION("IFERROR(
  IF(
    OR(
      ROWS(FILTER(data_num!B7:B1000, ISNUMBER(data_num!B7:B1000), ISNUMBER(data_num!C7:C1000)))&lt;2,
      STDEV.S(FILTER(data_num!B7:B1000, ISNUMBER(data_num!B7:B1000), ISNUMBER(data_num!C7:C1000)))=0,
      STDEV.S(FILTER(data_num!C"&amp;"7:C1000, ISNUMBER(data_num!B7:B1000), ISNUMBER(data_num!C7:C1000)))=0
    ),
    """",
    CORREL(
      FILTER(data_num!B7:B1000, ISNUMBER(data_num!B7:B1000), ISNUMBER(data_num!C7:C1000)),
      FILTER(data_num!C7:C1000, ISNUMBER(data_num!B7:B1000), ISNU"&amp;"MBER(data_num!C7:C1000))
    )
  ),
"""")
"),0.34276425339950606)</f>
        <v>0.3427642534</v>
      </c>
      <c r="F45" s="73">
        <f>MEDIAN(data_num!B7:B1000)
</f>
        <v>3</v>
      </c>
      <c r="G45" s="73">
        <f>MEDIAN(data_num!C7:C1000)
</f>
        <v>5</v>
      </c>
      <c r="H45" s="74"/>
      <c r="I45" s="72"/>
      <c r="J45" s="74"/>
      <c r="K45" s="74"/>
      <c r="L45" s="73"/>
      <c r="M45" s="74"/>
      <c r="N45" s="73"/>
      <c r="O45" s="74"/>
      <c r="P45" s="73"/>
      <c r="Q45" s="74"/>
      <c r="R45" s="73"/>
      <c r="S45" s="74"/>
      <c r="T45" s="77"/>
      <c r="U45" s="77"/>
      <c r="V45" s="74"/>
      <c r="W45" s="74"/>
      <c r="X45" s="74"/>
      <c r="Y45" s="74"/>
      <c r="Z45" s="73"/>
      <c r="AA45" s="73" t="str">
        <f>IF(Z45=0,"",AVERAGEIFS(data_num!B:B, data_num!D:D, Y45, data_num!K:K, 1))
</f>
        <v/>
      </c>
      <c r="AB45" s="77" t="str">
        <f>IF(Z45=0,"",AVERAGEIFS(data_num!C:C, data_num!D:D, Y45, data_num!K:K, 1))
</f>
        <v/>
      </c>
      <c r="AC45" s="72" t="str">
        <f>IF(Z44=0,"",SUMIFS(data_num!L:L, data_num!D:D, Y44, data_num!K:K, 1)/Z44)
</f>
        <v/>
      </c>
      <c r="AD45" s="73" t="str">
        <f>IF(Z44=0,"",SUMIFS(data_num!L:L, data_num!D:D, Y44, data_num!K:K, 1)/Z44)
</f>
        <v/>
      </c>
      <c r="AE45" s="74"/>
      <c r="AF45" s="77">
        <f>IFERROR(__xludf.DUMMYFUNCTION("""COMPUTED_VALUE"""),14.0)</f>
        <v>14</v>
      </c>
      <c r="AG45" s="75" t="str">
        <f>IFERROR(__xludf.DUMMYFUNCTION("""COMPUTED_VALUE"""),"environnement")</f>
        <v>environnement</v>
      </c>
      <c r="AH45" s="74"/>
      <c r="AI45" s="77"/>
      <c r="AJ45" s="74">
        <f>IFERROR(__xludf.DUMMYFUNCTION("""COMPUTED_VALUE"""),14.142135623730951)</f>
        <v>14.14213562</v>
      </c>
      <c r="AK45" s="74"/>
      <c r="AL45" s="74"/>
      <c r="AM45" s="74"/>
      <c r="AN45" s="74"/>
      <c r="AO45" s="74"/>
      <c r="AP45" s="77"/>
      <c r="AQ45" s="77"/>
      <c r="AR45" s="74"/>
      <c r="AS45" s="77"/>
      <c r="AT45" s="74"/>
      <c r="AU45" s="74"/>
      <c r="AV45" s="74"/>
      <c r="AW45" s="74"/>
      <c r="AX45" s="77"/>
      <c r="AY45" s="77"/>
    </row>
    <row r="46" ht="16.5" customHeight="1">
      <c r="A46" s="72">
        <f>COUNT(data_num!A6:A1000)
</f>
        <v>44</v>
      </c>
      <c r="B46" s="73">
        <f>AVERAGE(data_num!B6:B1000)
</f>
        <v>3.75</v>
      </c>
      <c r="C46" s="74">
        <f>AVERAGE(data_num!C6:C1000)
</f>
        <v>5.205882353</v>
      </c>
      <c r="D46" s="73">
        <f>COUNTIFS(data_num!B6:B1000,"&gt;5", data_num!C6:C1000,"&gt;5")/COUNT(data_num!A6:A1000)
</f>
        <v>0.2045454545</v>
      </c>
      <c r="E46" s="74">
        <f>IFERROR(__xludf.DUMMYFUNCTION("IFERROR(
  IF(
    OR(
      ROWS(FILTER(data_num!B6:B1000, ISNUMBER(data_num!B6:B1000), ISNUMBER(data_num!C6:C1000)))&lt;2,
      STDEV.S(FILTER(data_num!B6:B1000, ISNUMBER(data_num!B6:B1000), ISNUMBER(data_num!C6:C1000)))=0,
      STDEV.S(FILTER(data_num!C"&amp;"6:C1000, ISNUMBER(data_num!B6:B1000), ISNUMBER(data_num!C6:C1000)))=0
    ),
    """",
    CORREL(
      FILTER(data_num!B6:B1000, ISNUMBER(data_num!B6:B1000), ISNUMBER(data_num!C6:C1000)),
      FILTER(data_num!C6:C1000, ISNUMBER(data_num!B6:B1000), ISNU"&amp;"MBER(data_num!C6:C1000))
    )
  ),
"""")
"),0.35033090421060453)</f>
        <v>0.3503309042</v>
      </c>
      <c r="F46" s="73">
        <f>MEDIAN(data_num!B6:B1000)
</f>
        <v>3.5</v>
      </c>
      <c r="G46" s="73">
        <f>MEDIAN(data_num!C6:C1000)
</f>
        <v>5</v>
      </c>
      <c r="H46" s="74"/>
      <c r="I46" s="72"/>
      <c r="J46" s="74"/>
      <c r="K46" s="74"/>
      <c r="L46" s="73"/>
      <c r="M46" s="74"/>
      <c r="N46" s="73"/>
      <c r="O46" s="74"/>
      <c r="P46" s="73"/>
      <c r="Q46" s="74"/>
      <c r="R46" s="73"/>
      <c r="S46" s="74"/>
      <c r="T46" s="77"/>
      <c r="U46" s="77"/>
      <c r="V46" s="74"/>
      <c r="W46" s="74"/>
      <c r="X46" s="74"/>
      <c r="Y46" s="74"/>
      <c r="Z46" s="73"/>
      <c r="AA46" s="73" t="str">
        <f>IF(Z46=0,"",AVERAGEIFS(data_num!B:B, data_num!D:D, Y46, data_num!K:K, 1))
</f>
        <v/>
      </c>
      <c r="AB46" s="77" t="str">
        <f>IF(Z46=0,"",AVERAGEIFS(data_num!C:C, data_num!D:D, Y46, data_num!K:K, 1))
</f>
        <v/>
      </c>
      <c r="AC46" s="72" t="str">
        <f>IF(Z45=0,"",SUMIFS(data_num!L:L, data_num!D:D, Y45, data_num!K:K, 1)/Z45)
</f>
        <v/>
      </c>
      <c r="AD46" s="73" t="str">
        <f>IF(Z45=0,"",SUMIFS(data_num!L:L, data_num!D:D, Y45, data_num!K:K, 1)/Z45)
</f>
        <v/>
      </c>
      <c r="AE46" s="74"/>
      <c r="AF46" s="77">
        <f>IFERROR(__xludf.DUMMYFUNCTION("""COMPUTED_VALUE"""),18.0)</f>
        <v>18</v>
      </c>
      <c r="AG46" s="75" t="str">
        <f>IFERROR(__xludf.DUMMYFUNCTION("""COMPUTED_VALUE"""),"environnement")</f>
        <v>environnement</v>
      </c>
      <c r="AH46" s="74"/>
      <c r="AI46" s="77"/>
      <c r="AJ46" s="74">
        <f>IFERROR(__xludf.DUMMYFUNCTION("""COMPUTED_VALUE"""),14.142135623730951)</f>
        <v>14.14213562</v>
      </c>
      <c r="AK46" s="74"/>
      <c r="AL46" s="74"/>
      <c r="AM46" s="74"/>
      <c r="AN46" s="74"/>
      <c r="AO46" s="74"/>
      <c r="AP46" s="77"/>
      <c r="AQ46" s="77"/>
      <c r="AR46" s="74"/>
      <c r="AS46" s="77"/>
      <c r="AT46" s="74"/>
      <c r="AU46" s="74"/>
      <c r="AV46" s="74"/>
      <c r="AW46" s="74"/>
      <c r="AX46" s="77"/>
      <c r="AY46" s="77"/>
    </row>
    <row r="47" ht="16.5" customHeight="1">
      <c r="A47" s="72">
        <f>COUNT(data_num!A5:A1000)
</f>
        <v>45</v>
      </c>
      <c r="B47" s="73">
        <f>AVERAGE(data_num!B5:B1000)
</f>
        <v>3.810810811</v>
      </c>
      <c r="C47" s="74">
        <f>AVERAGE(data_num!C5:C1000)
</f>
        <v>5.314285714</v>
      </c>
      <c r="D47" s="73">
        <f>COUNTIFS(data_num!B5:B1000,"&gt;5", data_num!C5:C1000,"&gt;5")/COUNT(data_num!A5:A1000)
</f>
        <v>0.2222222222</v>
      </c>
      <c r="E47" s="74">
        <f>IFERROR(__xludf.DUMMYFUNCTION("IFERROR(
  IF(
    OR(
      ROWS(FILTER(data_num!B5:B1000, ISNUMBER(data_num!B5:B1000), ISNUMBER(data_num!C5:C1000)))&lt;2,
      STDEV.S(FILTER(data_num!B5:B1000, ISNUMBER(data_num!B5:B1000), ISNUMBER(data_num!C5:C1000)))=0,
      STDEV.S(FILTER(data_num!C"&amp;"5:C1000, ISNUMBER(data_num!B5:B1000), ISNUMBER(data_num!C5:C1000)))=0
    ),
    """",
    CORREL(
      FILTER(data_num!B5:B1000, ISNUMBER(data_num!B5:B1000), ISNUMBER(data_num!C5:C1000)),
      FILTER(data_num!C5:C1000, ISNUMBER(data_num!B5:B1000), ISNU"&amp;"MBER(data_num!C5:C1000))
    )
  ),
"""")
"),0.3677675258984653)</f>
        <v>0.3677675259</v>
      </c>
      <c r="F47" s="73">
        <f>MEDIAN(data_num!B5:B1000)
</f>
        <v>4</v>
      </c>
      <c r="G47" s="73">
        <f>MEDIAN(data_num!C5:C1000)
</f>
        <v>5</v>
      </c>
      <c r="H47" s="74"/>
      <c r="I47" s="72"/>
      <c r="J47" s="74"/>
      <c r="K47" s="74"/>
      <c r="L47" s="73"/>
      <c r="M47" s="74"/>
      <c r="N47" s="73"/>
      <c r="O47" s="74"/>
      <c r="P47" s="73"/>
      <c r="Q47" s="74"/>
      <c r="R47" s="73"/>
      <c r="S47" s="74"/>
      <c r="T47" s="77"/>
      <c r="U47" s="77"/>
      <c r="V47" s="74"/>
      <c r="W47" s="74"/>
      <c r="X47" s="74"/>
      <c r="Y47" s="74"/>
      <c r="Z47" s="73"/>
      <c r="AA47" s="73" t="str">
        <f>IF(Z47=0,"",AVERAGEIFS(data_num!B:B, data_num!D:D, Y47, data_num!K:K, 1))
</f>
        <v/>
      </c>
      <c r="AB47" s="77" t="str">
        <f>IF(Z47=0,"",AVERAGEIFS(data_num!C:C, data_num!D:D, Y47, data_num!K:K, 1))
</f>
        <v/>
      </c>
      <c r="AC47" s="72" t="str">
        <f>IF(Z46=0,"",SUMIFS(data_num!L:L, data_num!D:D, Y46, data_num!K:K, 1)/Z46)
</f>
        <v/>
      </c>
      <c r="AD47" s="73" t="str">
        <f>IF(Z46=0,"",SUMIFS(data_num!L:L, data_num!D:D, Y46, data_num!K:K, 1)/Z46)
</f>
        <v/>
      </c>
      <c r="AE47" s="74"/>
      <c r="AF47" s="77">
        <f>IFERROR(__xludf.DUMMYFUNCTION("""COMPUTED_VALUE"""),19.0)</f>
        <v>19</v>
      </c>
      <c r="AG47" s="75" t="str">
        <f>IFERROR(__xludf.DUMMYFUNCTION("""COMPUTED_VALUE"""),"environnement")</f>
        <v>environnement</v>
      </c>
      <c r="AH47" s="74"/>
      <c r="AI47" s="77"/>
      <c r="AJ47" s="74">
        <f>IFERROR(__xludf.DUMMYFUNCTION("""COMPUTED_VALUE"""),14.142135623730951)</f>
        <v>14.14213562</v>
      </c>
      <c r="AK47" s="74"/>
      <c r="AL47" s="74"/>
      <c r="AM47" s="74"/>
      <c r="AN47" s="74"/>
      <c r="AO47" s="74"/>
      <c r="AP47" s="77"/>
      <c r="AQ47" s="77"/>
      <c r="AR47" s="74"/>
      <c r="AS47" s="77"/>
      <c r="AT47" s="74"/>
      <c r="AU47" s="74"/>
      <c r="AV47" s="74"/>
      <c r="AW47" s="74"/>
      <c r="AX47" s="77"/>
      <c r="AY47" s="77"/>
    </row>
    <row r="48" ht="16.5" customHeight="1">
      <c r="A48" s="72">
        <f>COUNT(data_num!A4:A1000)
</f>
        <v>46</v>
      </c>
      <c r="B48" s="73">
        <f>AVERAGE(data_num!B4:B1000)
</f>
        <v>3.810810811</v>
      </c>
      <c r="C48" s="74">
        <f>AVERAGE(data_num!C4:C1000)
</f>
        <v>5.314285714</v>
      </c>
      <c r="D48" s="73">
        <f>COUNTIFS(data_num!B4:B1000,"&gt;5", data_num!C4:C1000,"&gt;5")/COUNT(data_num!A4:A1000)
</f>
        <v>0.2173913043</v>
      </c>
      <c r="E48" s="74">
        <f>IFERROR(__xludf.DUMMYFUNCTION("IFERROR(
  IF(
    OR(
      ROWS(FILTER(data_num!B4:B1000, ISNUMBER(data_num!B4:B1000), ISNUMBER(data_num!C4:C1000)))&lt;2,
      STDEV.S(FILTER(data_num!B4:B1000, ISNUMBER(data_num!B4:B1000), ISNUMBER(data_num!C4:C1000)))=0,
      STDEV.S(FILTER(data_num!C"&amp;"4:C1000, ISNUMBER(data_num!B4:B1000), ISNUMBER(data_num!C4:C1000)))=0
    ),
    """",
    CORREL(
      FILTER(data_num!B4:B1000, ISNUMBER(data_num!B4:B1000), ISNUMBER(data_num!C4:C1000)),
      FILTER(data_num!C4:C1000, ISNUMBER(data_num!B4:B1000), ISNU"&amp;"MBER(data_num!C4:C1000))
    )
  ),
"""")
"),0.3677675258984653)</f>
        <v>0.3677675259</v>
      </c>
      <c r="F48" s="73">
        <f>MEDIAN(data_num!B4:B1000)
</f>
        <v>4</v>
      </c>
      <c r="G48" s="73">
        <f>MEDIAN(data_num!C4:C1000)
</f>
        <v>5</v>
      </c>
      <c r="H48" s="74"/>
      <c r="I48" s="72"/>
      <c r="J48" s="74"/>
      <c r="K48" s="74"/>
      <c r="L48" s="73"/>
      <c r="M48" s="74"/>
      <c r="N48" s="73"/>
      <c r="O48" s="74"/>
      <c r="P48" s="73"/>
      <c r="Q48" s="74"/>
      <c r="R48" s="73"/>
      <c r="S48" s="74"/>
      <c r="T48" s="77"/>
      <c r="U48" s="77"/>
      <c r="V48" s="74"/>
      <c r="W48" s="74"/>
      <c r="X48" s="74"/>
      <c r="Y48" s="74"/>
      <c r="Z48" s="73"/>
      <c r="AA48" s="73" t="str">
        <f>IF(Z48=0,"",AVERAGEIFS(data_num!B:B, data_num!D:D, Y48, data_num!K:K, 1))
</f>
        <v/>
      </c>
      <c r="AB48" s="77" t="str">
        <f>IF(Z48=0,"",AVERAGEIFS(data_num!C:C, data_num!D:D, Y48, data_num!K:K, 1))
</f>
        <v/>
      </c>
      <c r="AC48" s="72" t="str">
        <f>IF(Z47=0,"",SUMIFS(data_num!L:L, data_num!D:D, Y47, data_num!K:K, 1)/Z47)
</f>
        <v/>
      </c>
      <c r="AD48" s="73" t="str">
        <f>IF(Z47=0,"",SUMIFS(data_num!L:L, data_num!D:D, Y47, data_num!K:K, 1)/Z47)
</f>
        <v/>
      </c>
      <c r="AE48" s="74"/>
      <c r="AF48" s="77">
        <f>IFERROR(__xludf.DUMMYFUNCTION("""COMPUTED_VALUE"""),20.0)</f>
        <v>20</v>
      </c>
      <c r="AG48" s="75" t="str">
        <f>IFERROR(__xludf.DUMMYFUNCTION("""COMPUTED_VALUE"""),"environnement")</f>
        <v>environnement</v>
      </c>
      <c r="AH48" s="74"/>
      <c r="AI48" s="77"/>
      <c r="AJ48" s="74">
        <f>IFERROR(__xludf.DUMMYFUNCTION("""COMPUTED_VALUE"""),14.142135623730951)</f>
        <v>14.14213562</v>
      </c>
      <c r="AK48" s="74"/>
      <c r="AL48" s="74"/>
      <c r="AM48" s="74"/>
      <c r="AN48" s="74"/>
      <c r="AO48" s="74"/>
      <c r="AP48" s="77"/>
      <c r="AQ48" s="77"/>
      <c r="AR48" s="74"/>
      <c r="AS48" s="77"/>
      <c r="AT48" s="74"/>
      <c r="AU48" s="74"/>
      <c r="AV48" s="74"/>
      <c r="AW48" s="74"/>
      <c r="AX48" s="77"/>
      <c r="AY48" s="77"/>
    </row>
    <row r="49" ht="16.5" customHeight="1">
      <c r="A49" s="72">
        <f>COUNT(data_num!A3:A1000)
</f>
        <v>47</v>
      </c>
      <c r="B49" s="73">
        <f>AVERAGE(data_num!B3:B1000)
</f>
        <v>3.810810811</v>
      </c>
      <c r="C49" s="74">
        <f>AVERAGE(data_num!C3:C1000)
</f>
        <v>5.314285714</v>
      </c>
      <c r="D49" s="73">
        <f>COUNTIFS(data_num!B3:B1000,"&gt;5", data_num!C3:C1000,"&gt;5")/COUNT(data_num!A3:A1000)
</f>
        <v>0.2127659574</v>
      </c>
      <c r="E49" s="74">
        <f>IFERROR(__xludf.DUMMYFUNCTION("IFERROR(
  IF(
    OR(
      ROWS(FILTER(data_num!B3:B1000, ISNUMBER(data_num!B3:B1000), ISNUMBER(data_num!C3:C1000)))&lt;2,
      STDEV.S(FILTER(data_num!B3:B1000, ISNUMBER(data_num!B3:B1000), ISNUMBER(data_num!C3:C1000)))=0,
      STDEV.S(FILTER(data_num!C"&amp;"3:C1000, ISNUMBER(data_num!B3:B1000), ISNUMBER(data_num!C3:C1000)))=0
    ),
    """",
    CORREL(
      FILTER(data_num!B3:B1000, ISNUMBER(data_num!B3:B1000), ISNUMBER(data_num!C3:C1000)),
      FILTER(data_num!C3:C1000, ISNUMBER(data_num!B3:B1000), ISNU"&amp;"MBER(data_num!C3:C1000))
    )
  ),
"""")
"),0.3677675258984653)</f>
        <v>0.3677675259</v>
      </c>
      <c r="F49" s="73">
        <f>MEDIAN(data_num!B3:B1000)
</f>
        <v>4</v>
      </c>
      <c r="G49" s="73">
        <f>MEDIAN(data_num!C3:C1000)
</f>
        <v>5</v>
      </c>
      <c r="H49" s="74"/>
      <c r="I49" s="72"/>
      <c r="J49" s="74"/>
      <c r="K49" s="74"/>
      <c r="L49" s="73"/>
      <c r="M49" s="74"/>
      <c r="N49" s="73"/>
      <c r="O49" s="74"/>
      <c r="P49" s="73"/>
      <c r="Q49" s="74"/>
      <c r="R49" s="73"/>
      <c r="S49" s="74"/>
      <c r="T49" s="77"/>
      <c r="U49" s="77"/>
      <c r="V49" s="74"/>
      <c r="W49" s="74"/>
      <c r="X49" s="74"/>
      <c r="Y49" s="74"/>
      <c r="Z49" s="73"/>
      <c r="AA49" s="73" t="str">
        <f>IF(Z49=0,"",AVERAGEIFS(data_num!B:B, data_num!D:D, Y49, data_num!K:K, 1))
</f>
        <v/>
      </c>
      <c r="AB49" s="77" t="str">
        <f>IF(Z49=0,"",AVERAGEIFS(data_num!C:C, data_num!D:D, Y49, data_num!K:K, 1))
</f>
        <v/>
      </c>
      <c r="AC49" s="72" t="str">
        <f>IF(Z48=0,"",SUMIFS(data_num!L:L, data_num!D:D, Y48, data_num!K:K, 1)/Z48)
</f>
        <v/>
      </c>
      <c r="AD49" s="73" t="str">
        <f>IF(Z48=0,"",SUMIFS(data_num!L:L, data_num!D:D, Y48, data_num!K:K, 1)/Z48)
</f>
        <v/>
      </c>
      <c r="AE49" s="74"/>
      <c r="AF49" s="77">
        <f>IFERROR(__xludf.DUMMYFUNCTION("""COMPUTED_VALUE"""),34.0)</f>
        <v>34</v>
      </c>
      <c r="AG49" s="75" t="str">
        <f>IFERROR(__xludf.DUMMYFUNCTION("""COMPUTED_VALUE"""),"tout au long de la vie")</f>
        <v>tout au long de la vie</v>
      </c>
      <c r="AH49" s="74">
        <f>IFERROR(__xludf.DUMMYFUNCTION("""COMPUTED_VALUE"""),0.0)</f>
        <v>0</v>
      </c>
      <c r="AI49" s="77">
        <f>IFERROR(__xludf.DUMMYFUNCTION("""COMPUTED_VALUE"""),0.0)</f>
        <v>0</v>
      </c>
      <c r="AJ49" s="74">
        <f>IFERROR(__xludf.DUMMYFUNCTION("""COMPUTED_VALUE"""),14.142135623730951)</f>
        <v>14.14213562</v>
      </c>
      <c r="AK49" s="74"/>
      <c r="AL49" s="74"/>
      <c r="AM49" s="74"/>
      <c r="AN49" s="74"/>
      <c r="AO49" s="74"/>
      <c r="AP49" s="77"/>
      <c r="AQ49" s="77"/>
      <c r="AR49" s="74"/>
      <c r="AS49" s="77"/>
      <c r="AT49" s="74"/>
      <c r="AU49" s="74"/>
      <c r="AV49" s="74"/>
      <c r="AW49" s="74"/>
      <c r="AX49" s="77"/>
      <c r="AY49" s="77"/>
    </row>
    <row r="50" ht="16.5" customHeight="1">
      <c r="A50" s="72">
        <f>COUNT(data_num!A2:A1000)
</f>
        <v>48</v>
      </c>
      <c r="B50" s="73">
        <f>AVERAGE(data_num!B2:B1000)
</f>
        <v>3.815789474</v>
      </c>
      <c r="C50" s="74">
        <f>AVERAGE(data_num!C2:C1000)
</f>
        <v>5.361111111</v>
      </c>
      <c r="D50" s="73">
        <f>COUNTIFS(data_num!B2:B1000,"&gt;5", data_num!C2:C1000,"&gt;5")/COUNT(data_num!A2:A1000)
</f>
        <v>0.2083333333</v>
      </c>
      <c r="E50" s="74">
        <f>IFERROR(__xludf.DUMMYFUNCTION("IFERROR(
  IF(
    OR(
      ROWS(FILTER(data_num!B2:B1000, ISNUMBER(data_num!B2:B1000), ISNUMBER(data_num!C2:C1000)))&lt;2,
      STDEV.S(FILTER(data_num!B2:B1000, ISNUMBER(data_num!B2:B1000), ISNUMBER(data_num!C2:C1000)))=0,
      STDEV.S(FILTER(data_num!C"&amp;"2:C1000, ISNUMBER(data_num!B2:B1000), ISNUMBER(data_num!C2:C1000)))=0
    ),
    """",
    CORREL(
      FILTER(data_num!B2:B1000, ISNUMBER(data_num!B2:B1000), ISNUMBER(data_num!C2:C1000)),
      FILTER(data_num!C2:C1000, ISNUMBER(data_num!B2:B1000), ISNU"&amp;"MBER(data_num!C2:C1000))
    )
  ),
"""")
"),0.3677620481987338)</f>
        <v>0.3677620482</v>
      </c>
      <c r="F50" s="73">
        <f>MEDIAN(data_num!B2:B1000)
</f>
        <v>4</v>
      </c>
      <c r="G50" s="73">
        <f>MEDIAN(data_num!C2:C1000)
</f>
        <v>5.5</v>
      </c>
      <c r="H50" s="74"/>
      <c r="I50" s="77"/>
      <c r="J50" s="73"/>
      <c r="K50" s="74"/>
      <c r="L50" s="74"/>
      <c r="M50" s="74"/>
      <c r="N50" s="74"/>
      <c r="O50" s="73"/>
      <c r="P50" s="74"/>
      <c r="Q50" s="73"/>
      <c r="R50" s="74"/>
      <c r="S50" s="73"/>
      <c r="T50" s="77"/>
      <c r="U50" s="77"/>
      <c r="V50" s="74"/>
      <c r="W50" s="74"/>
      <c r="X50" s="74"/>
      <c r="Y50" s="74"/>
      <c r="Z50" s="73"/>
      <c r="AA50" s="73" t="str">
        <f>IF(Z50=0,"",AVERAGEIFS(data_num!B:B, data_num!D:D, Y50, data_num!K:K, 1))
</f>
        <v/>
      </c>
      <c r="AB50" s="77" t="str">
        <f>IF(Z50=0,"",AVERAGEIFS(data_num!C:C, data_num!D:D, Y50, data_num!K:K, 1))
</f>
        <v/>
      </c>
      <c r="AC50" s="72" t="str">
        <f>IF(Z49=0,"",SUMIFS(data_num!L:L, data_num!D:D, Y49, data_num!K:K, 1)/Z49)
</f>
        <v/>
      </c>
      <c r="AD50" s="73" t="str">
        <f>IF(Z49=0,"",SUMIFS(data_num!L:L, data_num!D:D, Y49, data_num!K:K, 1)/Z49)
</f>
        <v/>
      </c>
      <c r="AE50" s="74"/>
      <c r="AF50" s="77"/>
      <c r="AG50" s="75"/>
      <c r="AH50" s="74"/>
      <c r="AI50" s="77"/>
      <c r="AJ50" s="74"/>
      <c r="AK50" s="74"/>
      <c r="AL50" s="74"/>
      <c r="AM50" s="74"/>
      <c r="AN50" s="74"/>
      <c r="AO50" s="74"/>
      <c r="AP50" s="77"/>
      <c r="AQ50" s="77"/>
      <c r="AR50" s="74"/>
      <c r="AS50" s="77"/>
      <c r="AT50" s="74"/>
      <c r="AU50" s="74"/>
      <c r="AV50" s="74"/>
      <c r="AW50" s="74"/>
      <c r="AX50" s="77"/>
      <c r="AY50" s="77"/>
    </row>
    <row r="51" ht="16.5" customHeight="1">
      <c r="A51" s="72"/>
      <c r="B51" s="73"/>
      <c r="C51" s="78"/>
      <c r="D51" s="78"/>
      <c r="E51" s="78"/>
      <c r="F51" s="73"/>
      <c r="G51" s="73"/>
      <c r="H51" s="78"/>
      <c r="I51" s="71"/>
      <c r="J51" s="78"/>
      <c r="K51" s="78"/>
      <c r="L51" s="78"/>
      <c r="M51" s="78"/>
      <c r="N51" s="78"/>
      <c r="O51" s="78"/>
      <c r="P51" s="78"/>
      <c r="Q51" s="78"/>
      <c r="R51" s="78"/>
      <c r="S51" s="78"/>
      <c r="T51" s="71"/>
      <c r="U51" s="71"/>
      <c r="V51" s="78"/>
      <c r="W51" s="78"/>
      <c r="X51" s="78"/>
      <c r="Y51" s="78"/>
      <c r="Z51" s="73"/>
      <c r="AA51" s="73" t="str">
        <f>IF(Z51=0,"",AVERAGEIFS(data_num!B:B, data_num!D:D, Y51, data_num!K:K, 1))
</f>
        <v/>
      </c>
      <c r="AB51" s="77" t="str">
        <f>IF(Z51=0,"",AVERAGEIFS(data_num!C:C, data_num!D:D, Y51, data_num!K:K, 1))
</f>
        <v/>
      </c>
      <c r="AC51" s="72" t="str">
        <f>IF(Z50=0,"",SUMIFS(data_num!L:L, data_num!D:D, Y50, data_num!K:K, 1)/Z50)
</f>
        <v/>
      </c>
      <c r="AD51" s="73" t="str">
        <f>IF(Z50=0,"",SUMIFS(data_num!L:L, data_num!D:D, Y50, data_num!K:K, 1)/Z50)
</f>
        <v/>
      </c>
      <c r="AE51" s="78"/>
      <c r="AF51" s="71"/>
      <c r="AG51" s="75"/>
      <c r="AH51" s="78"/>
      <c r="AI51" s="71"/>
      <c r="AJ51" s="78"/>
      <c r="AK51" s="78"/>
      <c r="AL51" s="78"/>
      <c r="AM51" s="78"/>
      <c r="AN51" s="78"/>
      <c r="AO51" s="78"/>
      <c r="AP51" s="71"/>
      <c r="AQ51" s="71"/>
      <c r="AR51" s="78"/>
      <c r="AS51" s="71"/>
      <c r="AT51" s="78"/>
      <c r="AU51" s="78"/>
      <c r="AV51" s="78"/>
      <c r="AW51" s="78"/>
      <c r="AX51" s="71"/>
      <c r="AY51" s="71"/>
    </row>
    <row r="52" ht="16.5" customHeight="1">
      <c r="A52" s="72"/>
      <c r="B52" s="73"/>
      <c r="C52" s="78"/>
      <c r="D52" s="78"/>
      <c r="E52" s="78"/>
      <c r="F52" s="73"/>
      <c r="G52" s="73"/>
      <c r="H52" s="78"/>
      <c r="I52" s="71"/>
      <c r="J52" s="73"/>
      <c r="K52" s="78"/>
      <c r="L52" s="78"/>
      <c r="M52" s="78"/>
      <c r="N52" s="78"/>
      <c r="O52" s="73"/>
      <c r="P52" s="78"/>
      <c r="Q52" s="73"/>
      <c r="R52" s="78"/>
      <c r="S52" s="73"/>
      <c r="T52" s="71"/>
      <c r="U52" s="71"/>
      <c r="V52" s="78"/>
      <c r="W52" s="78"/>
      <c r="X52" s="78"/>
      <c r="Y52" s="78"/>
      <c r="Z52" s="73"/>
      <c r="AA52" s="73" t="str">
        <f>IF(Z52=0,"",AVERAGEIFS(data_num!B:B, data_num!D:D, Y52, data_num!K:K, 1))
</f>
        <v/>
      </c>
      <c r="AB52" s="77" t="str">
        <f>IF(Z52=0,"",AVERAGEIFS(data_num!C:C, data_num!D:D, Y52, data_num!K:K, 1))
</f>
        <v/>
      </c>
      <c r="AC52" s="72" t="str">
        <f>IF(Z51=0,"",SUMIFS(data_num!L:L, data_num!D:D, Y51, data_num!K:K, 1)/Z51)
</f>
        <v/>
      </c>
      <c r="AD52" s="73" t="str">
        <f>IF(Z51=0,"",SUMIFS(data_num!L:L, data_num!D:D, Y51, data_num!K:K, 1)/Z51)
</f>
        <v/>
      </c>
      <c r="AE52" s="78"/>
      <c r="AF52" s="71"/>
      <c r="AG52" s="75"/>
      <c r="AH52" s="78"/>
      <c r="AI52" s="71"/>
      <c r="AJ52" s="78"/>
      <c r="AK52" s="78"/>
      <c r="AL52" s="78"/>
      <c r="AM52" s="78"/>
      <c r="AN52" s="78"/>
      <c r="AO52" s="78"/>
      <c r="AP52" s="71"/>
      <c r="AQ52" s="71"/>
      <c r="AR52" s="78"/>
      <c r="AS52" s="71"/>
      <c r="AT52" s="78"/>
      <c r="AU52" s="78"/>
      <c r="AV52" s="78"/>
      <c r="AW52" s="78"/>
      <c r="AX52" s="71"/>
      <c r="AY52" s="71"/>
    </row>
    <row r="53" ht="16.5" customHeight="1">
      <c r="A53" s="72"/>
      <c r="B53" s="73"/>
      <c r="C53" s="78"/>
      <c r="D53" s="78"/>
      <c r="E53" s="78"/>
      <c r="F53" s="73"/>
      <c r="G53" s="73"/>
      <c r="H53" s="78"/>
      <c r="I53" s="71"/>
      <c r="J53" s="73"/>
      <c r="K53" s="78"/>
      <c r="L53" s="78"/>
      <c r="M53" s="78"/>
      <c r="N53" s="78"/>
      <c r="O53" s="73"/>
      <c r="P53" s="78"/>
      <c r="Q53" s="73"/>
      <c r="R53" s="78"/>
      <c r="S53" s="73"/>
      <c r="T53" s="71"/>
      <c r="U53" s="71"/>
      <c r="V53" s="78"/>
      <c r="W53" s="78"/>
      <c r="X53" s="78"/>
      <c r="Y53" s="78"/>
      <c r="Z53" s="73"/>
      <c r="AA53" s="73" t="str">
        <f>IF(Z53=0,"",AVERAGEIFS(data_num!B:B, data_num!D:D, Y53, data_num!K:K, 1))
</f>
        <v/>
      </c>
      <c r="AB53" s="77" t="str">
        <f>IF(Z53=0,"",AVERAGEIFS(data_num!C:C, data_num!D:D, Y53, data_num!K:K, 1))
</f>
        <v/>
      </c>
      <c r="AC53" s="72" t="str">
        <f>IF(Z52=0,"",SUMIFS(data_num!L:L, data_num!D:D, Y52, data_num!K:K, 1)/Z52)
</f>
        <v/>
      </c>
      <c r="AD53" s="73" t="str">
        <f>IF(Z52=0,"",SUMIFS(data_num!L:L, data_num!D:D, Y52, data_num!K:K, 1)/Z52)
</f>
        <v/>
      </c>
      <c r="AE53" s="78"/>
      <c r="AF53" s="71"/>
      <c r="AG53" s="75"/>
      <c r="AH53" s="78"/>
      <c r="AI53" s="71"/>
      <c r="AJ53" s="78"/>
      <c r="AK53" s="78"/>
      <c r="AL53" s="78"/>
      <c r="AM53" s="78"/>
      <c r="AN53" s="78"/>
      <c r="AO53" s="78"/>
      <c r="AP53" s="71"/>
      <c r="AQ53" s="71"/>
      <c r="AR53" s="78"/>
      <c r="AS53" s="71"/>
      <c r="AT53" s="78"/>
      <c r="AU53" s="78"/>
      <c r="AV53" s="78"/>
      <c r="AW53" s="78"/>
      <c r="AX53" s="71"/>
      <c r="AY53" s="71"/>
    </row>
    <row r="54" ht="16.5" customHeight="1">
      <c r="A54" s="72"/>
      <c r="B54" s="73"/>
      <c r="C54" s="78"/>
      <c r="D54" s="78"/>
      <c r="E54" s="78"/>
      <c r="F54" s="73"/>
      <c r="G54" s="73"/>
      <c r="H54" s="78"/>
      <c r="I54" s="71"/>
      <c r="J54" s="73"/>
      <c r="K54" s="78"/>
      <c r="L54" s="78"/>
      <c r="M54" s="78"/>
      <c r="N54" s="78"/>
      <c r="O54" s="73"/>
      <c r="P54" s="78"/>
      <c r="Q54" s="73"/>
      <c r="R54" s="78"/>
      <c r="S54" s="73"/>
      <c r="T54" s="71"/>
      <c r="U54" s="71"/>
      <c r="V54" s="78"/>
      <c r="W54" s="78"/>
      <c r="X54" s="78"/>
      <c r="Y54" s="78"/>
      <c r="Z54" s="73"/>
      <c r="AA54" s="73" t="str">
        <f>IF(Z54=0,"",AVERAGEIFS(data_num!B:B, data_num!D:D, Y54, data_num!K:K, 1))
</f>
        <v/>
      </c>
      <c r="AB54" s="77" t="str">
        <f>IF(Z54=0,"",AVERAGEIFS(data_num!C:C, data_num!D:D, Y54, data_num!K:K, 1))
</f>
        <v/>
      </c>
      <c r="AC54" s="72" t="str">
        <f>IF(Z53=0,"",SUMIFS(data_num!L:L, data_num!D:D, Y53, data_num!K:K, 1)/Z53)
</f>
        <v/>
      </c>
      <c r="AD54" s="73" t="str">
        <f>IF(Z53=0,"",SUMIFS(data_num!L:L, data_num!D:D, Y53, data_num!K:K, 1)/Z53)
</f>
        <v/>
      </c>
      <c r="AE54" s="78"/>
      <c r="AF54" s="71"/>
      <c r="AG54" s="75"/>
      <c r="AH54" s="78"/>
      <c r="AI54" s="71"/>
      <c r="AJ54" s="78"/>
      <c r="AK54" s="78"/>
      <c r="AL54" s="78"/>
      <c r="AM54" s="78"/>
      <c r="AN54" s="78"/>
      <c r="AO54" s="78"/>
      <c r="AP54" s="71"/>
      <c r="AQ54" s="71"/>
      <c r="AR54" s="78"/>
      <c r="AS54" s="71"/>
      <c r="AT54" s="78"/>
      <c r="AU54" s="78"/>
      <c r="AV54" s="78"/>
      <c r="AW54" s="78"/>
      <c r="AX54" s="71"/>
      <c r="AY54" s="71"/>
    </row>
    <row r="55" ht="16.5" customHeight="1">
      <c r="A55" s="72"/>
      <c r="B55" s="73"/>
      <c r="C55" s="78"/>
      <c r="D55" s="78"/>
      <c r="E55" s="78"/>
      <c r="F55" s="73"/>
      <c r="G55" s="73"/>
      <c r="H55" s="78"/>
      <c r="I55" s="71"/>
      <c r="J55" s="73"/>
      <c r="K55" s="78"/>
      <c r="L55" s="78"/>
      <c r="M55" s="78"/>
      <c r="N55" s="78"/>
      <c r="O55" s="73"/>
      <c r="P55" s="78"/>
      <c r="Q55" s="73"/>
      <c r="R55" s="78"/>
      <c r="S55" s="73"/>
      <c r="T55" s="71"/>
      <c r="U55" s="71"/>
      <c r="V55" s="78"/>
      <c r="W55" s="78"/>
      <c r="X55" s="78"/>
      <c r="Y55" s="78"/>
      <c r="Z55" s="73"/>
      <c r="AA55" s="73" t="str">
        <f>IF(Z55=0,"",AVERAGEIFS(data_num!B:B, data_num!D:D, Y55, data_num!K:K, 1))
</f>
        <v/>
      </c>
      <c r="AB55" s="77" t="str">
        <f>IF(Z55=0,"",AVERAGEIFS(data_num!C:C, data_num!D:D, Y55, data_num!K:K, 1))
</f>
        <v/>
      </c>
      <c r="AC55" s="72" t="str">
        <f>IF(Z54=0,"",SUMIFS(data_num!L:L, data_num!D:D, Y54, data_num!K:K, 1)/Z54)
</f>
        <v/>
      </c>
      <c r="AD55" s="73" t="str">
        <f>IF(Z54=0,"",SUMIFS(data_num!L:L, data_num!D:D, Y54, data_num!K:K, 1)/Z54)
</f>
        <v/>
      </c>
      <c r="AE55" s="78"/>
      <c r="AF55" s="71"/>
      <c r="AG55" s="75"/>
      <c r="AH55" s="78"/>
      <c r="AI55" s="71"/>
      <c r="AJ55" s="78"/>
      <c r="AK55" s="78"/>
      <c r="AL55" s="78"/>
      <c r="AM55" s="78"/>
      <c r="AN55" s="78"/>
      <c r="AO55" s="78"/>
      <c r="AP55" s="71"/>
      <c r="AQ55" s="71"/>
      <c r="AR55" s="78"/>
      <c r="AS55" s="71"/>
      <c r="AT55" s="78"/>
      <c r="AU55" s="78"/>
      <c r="AV55" s="78"/>
      <c r="AW55" s="78"/>
      <c r="AX55" s="71"/>
      <c r="AY55" s="71"/>
    </row>
    <row r="56" ht="16.5" customHeight="1">
      <c r="A56" s="72"/>
      <c r="B56" s="73"/>
      <c r="C56" s="78"/>
      <c r="D56" s="78"/>
      <c r="E56" s="78"/>
      <c r="F56" s="73"/>
      <c r="G56" s="73"/>
      <c r="H56" s="78"/>
      <c r="I56" s="71"/>
      <c r="J56" s="73"/>
      <c r="K56" s="78"/>
      <c r="L56" s="78"/>
      <c r="M56" s="78"/>
      <c r="N56" s="78"/>
      <c r="O56" s="73"/>
      <c r="P56" s="78"/>
      <c r="Q56" s="73"/>
      <c r="R56" s="78"/>
      <c r="S56" s="73"/>
      <c r="T56" s="71"/>
      <c r="U56" s="71"/>
      <c r="V56" s="78"/>
      <c r="W56" s="78"/>
      <c r="X56" s="78"/>
      <c r="Y56" s="78"/>
      <c r="Z56" s="73"/>
      <c r="AA56" s="73" t="str">
        <f>IF(Z56=0,"",AVERAGEIFS(data_num!B:B, data_num!D:D, Y56, data_num!K:K, 1))
</f>
        <v/>
      </c>
      <c r="AB56" s="77" t="str">
        <f>IF(Z56=0,"",AVERAGEIFS(data_num!C:C, data_num!D:D, Y56, data_num!K:K, 1))
</f>
        <v/>
      </c>
      <c r="AC56" s="72" t="str">
        <f>IF(Z55=0,"",SUMIFS(data_num!L:L, data_num!D:D, Y55, data_num!K:K, 1)/Z55)
</f>
        <v/>
      </c>
      <c r="AD56" s="73" t="str">
        <f>IF(Z55=0,"",SUMIFS(data_num!L:L, data_num!D:D, Y55, data_num!K:K, 1)/Z55)
</f>
        <v/>
      </c>
      <c r="AE56" s="78"/>
      <c r="AF56" s="71"/>
      <c r="AG56" s="75"/>
      <c r="AH56" s="78"/>
      <c r="AI56" s="71"/>
      <c r="AJ56" s="78"/>
      <c r="AK56" s="78"/>
      <c r="AL56" s="78"/>
      <c r="AM56" s="78"/>
      <c r="AN56" s="78"/>
      <c r="AO56" s="78"/>
      <c r="AP56" s="71"/>
      <c r="AQ56" s="71"/>
      <c r="AR56" s="78"/>
      <c r="AS56" s="71"/>
      <c r="AT56" s="78"/>
      <c r="AU56" s="78"/>
      <c r="AV56" s="78"/>
      <c r="AW56" s="78"/>
      <c r="AX56" s="71"/>
      <c r="AY56" s="71"/>
    </row>
    <row r="57" ht="16.5" customHeight="1">
      <c r="A57" s="72"/>
      <c r="B57" s="73"/>
      <c r="C57" s="78"/>
      <c r="D57" s="78"/>
      <c r="E57" s="78"/>
      <c r="F57" s="73"/>
      <c r="G57" s="73"/>
      <c r="H57" s="78"/>
      <c r="I57" s="71"/>
      <c r="J57" s="73"/>
      <c r="K57" s="78"/>
      <c r="L57" s="78"/>
      <c r="M57" s="78"/>
      <c r="N57" s="78"/>
      <c r="O57" s="73"/>
      <c r="P57" s="78"/>
      <c r="Q57" s="73"/>
      <c r="R57" s="78"/>
      <c r="S57" s="73"/>
      <c r="T57" s="71"/>
      <c r="U57" s="71"/>
      <c r="V57" s="78"/>
      <c r="W57" s="78"/>
      <c r="X57" s="78"/>
      <c r="Y57" s="78"/>
      <c r="Z57" s="73"/>
      <c r="AA57" s="73" t="str">
        <f>IF(Z57=0,"",AVERAGEIFS(data_num!B:B, data_num!D:D, Y57, data_num!K:K, 1))
</f>
        <v/>
      </c>
      <c r="AB57" s="77" t="str">
        <f>IF(Z57=0,"",AVERAGEIFS(data_num!C:C, data_num!D:D, Y57, data_num!K:K, 1))
</f>
        <v/>
      </c>
      <c r="AC57" s="72" t="str">
        <f>IF(Z56=0,"",SUMIFS(data_num!L:L, data_num!D:D, Y56, data_num!K:K, 1)/Z56)
</f>
        <v/>
      </c>
      <c r="AD57" s="73" t="str">
        <f>IF(Z56=0,"",SUMIFS(data_num!L:L, data_num!D:D, Y56, data_num!K:K, 1)/Z56)
</f>
        <v/>
      </c>
      <c r="AE57" s="78"/>
      <c r="AF57" s="71"/>
      <c r="AG57" s="75"/>
      <c r="AH57" s="78"/>
      <c r="AI57" s="71"/>
      <c r="AJ57" s="78"/>
      <c r="AK57" s="78"/>
      <c r="AL57" s="78"/>
      <c r="AM57" s="78"/>
      <c r="AN57" s="78"/>
      <c r="AO57" s="78"/>
      <c r="AP57" s="71"/>
      <c r="AQ57" s="71"/>
      <c r="AR57" s="78"/>
      <c r="AS57" s="71"/>
      <c r="AT57" s="78"/>
      <c r="AU57" s="78"/>
      <c r="AV57" s="78"/>
      <c r="AW57" s="78"/>
      <c r="AX57" s="71"/>
      <c r="AY57" s="71"/>
    </row>
    <row r="58" ht="16.5" customHeight="1">
      <c r="A58" s="72"/>
      <c r="B58" s="73"/>
      <c r="C58" s="78"/>
      <c r="D58" s="78"/>
      <c r="E58" s="78"/>
      <c r="F58" s="73"/>
      <c r="G58" s="73"/>
      <c r="H58" s="78"/>
      <c r="I58" s="71"/>
      <c r="J58" s="73"/>
      <c r="K58" s="78"/>
      <c r="L58" s="78"/>
      <c r="M58" s="78"/>
      <c r="N58" s="78"/>
      <c r="O58" s="73"/>
      <c r="P58" s="78"/>
      <c r="Q58" s="73"/>
      <c r="R58" s="78"/>
      <c r="S58" s="73"/>
      <c r="T58" s="71"/>
      <c r="U58" s="71"/>
      <c r="V58" s="78"/>
      <c r="W58" s="78"/>
      <c r="X58" s="78"/>
      <c r="Y58" s="78"/>
      <c r="Z58" s="73"/>
      <c r="AA58" s="73" t="str">
        <f>IF(Z58=0,"",AVERAGEIFS(data_num!B:B, data_num!D:D, Y58, data_num!K:K, 1))
</f>
        <v/>
      </c>
      <c r="AB58" s="77" t="str">
        <f>IF(Z58=0,"",AVERAGEIFS(data_num!C:C, data_num!D:D, Y58, data_num!K:K, 1))
</f>
        <v/>
      </c>
      <c r="AC58" s="72" t="str">
        <f>IF(Z57=0,"",SUMIFS(data_num!L:L, data_num!D:D, Y57, data_num!K:K, 1)/Z57)
</f>
        <v/>
      </c>
      <c r="AD58" s="73" t="str">
        <f>IF(Z57=0,"",SUMIFS(data_num!L:L, data_num!D:D, Y57, data_num!K:K, 1)/Z57)
</f>
        <v/>
      </c>
      <c r="AE58" s="78"/>
      <c r="AF58" s="71"/>
      <c r="AG58" s="75"/>
      <c r="AH58" s="78"/>
      <c r="AI58" s="71"/>
      <c r="AJ58" s="78"/>
      <c r="AK58" s="78"/>
      <c r="AL58" s="78"/>
      <c r="AM58" s="78"/>
      <c r="AN58" s="78"/>
      <c r="AO58" s="78"/>
      <c r="AP58" s="71"/>
      <c r="AQ58" s="71"/>
      <c r="AR58" s="78"/>
      <c r="AS58" s="71"/>
      <c r="AT58" s="78"/>
      <c r="AU58" s="78"/>
      <c r="AV58" s="78"/>
      <c r="AW58" s="78"/>
      <c r="AX58" s="71"/>
      <c r="AY58" s="71"/>
    </row>
    <row r="59" ht="16.5" customHeight="1">
      <c r="A59" s="72"/>
      <c r="B59" s="73"/>
      <c r="C59" s="78"/>
      <c r="D59" s="78"/>
      <c r="E59" s="78"/>
      <c r="F59" s="73"/>
      <c r="G59" s="73"/>
      <c r="H59" s="78"/>
      <c r="I59" s="71"/>
      <c r="J59" s="73"/>
      <c r="K59" s="78"/>
      <c r="L59" s="78"/>
      <c r="M59" s="78"/>
      <c r="N59" s="78"/>
      <c r="O59" s="73"/>
      <c r="P59" s="78"/>
      <c r="Q59" s="73"/>
      <c r="R59" s="78"/>
      <c r="S59" s="73"/>
      <c r="T59" s="71"/>
      <c r="U59" s="71"/>
      <c r="V59" s="78"/>
      <c r="W59" s="78"/>
      <c r="X59" s="78"/>
      <c r="Y59" s="78"/>
      <c r="Z59" s="73"/>
      <c r="AA59" s="73" t="str">
        <f>IF(Z59=0,"",AVERAGEIFS(data_num!B:B, data_num!D:D, Y59, data_num!K:K, 1))
</f>
        <v/>
      </c>
      <c r="AB59" s="77" t="str">
        <f>IF(Z59=0,"",AVERAGEIFS(data_num!C:C, data_num!D:D, Y59, data_num!K:K, 1))
</f>
        <v/>
      </c>
      <c r="AC59" s="72" t="str">
        <f>IF(Z58=0,"",SUMIFS(data_num!L:L, data_num!D:D, Y58, data_num!K:K, 1)/Z58)
</f>
        <v/>
      </c>
      <c r="AD59" s="73" t="str">
        <f>IF(Z58=0,"",SUMIFS(data_num!L:L, data_num!D:D, Y58, data_num!K:K, 1)/Z58)
</f>
        <v/>
      </c>
      <c r="AE59" s="78"/>
      <c r="AF59" s="71"/>
      <c r="AG59" s="75"/>
      <c r="AH59" s="78"/>
      <c r="AI59" s="71"/>
      <c r="AJ59" s="78"/>
      <c r="AK59" s="78"/>
      <c r="AL59" s="78"/>
      <c r="AM59" s="78"/>
      <c r="AN59" s="78"/>
      <c r="AO59" s="78"/>
      <c r="AP59" s="71"/>
      <c r="AQ59" s="71"/>
      <c r="AR59" s="78"/>
      <c r="AS59" s="71"/>
      <c r="AT59" s="78"/>
      <c r="AU59" s="78"/>
      <c r="AV59" s="78"/>
      <c r="AW59" s="78"/>
      <c r="AX59" s="71"/>
      <c r="AY59" s="71"/>
    </row>
    <row r="60" ht="16.5" customHeight="1">
      <c r="A60" s="72"/>
      <c r="B60" s="73"/>
      <c r="C60" s="78"/>
      <c r="D60" s="78"/>
      <c r="E60" s="78"/>
      <c r="F60" s="73"/>
      <c r="G60" s="73"/>
      <c r="H60" s="78"/>
      <c r="I60" s="71"/>
      <c r="J60" s="73"/>
      <c r="K60" s="78"/>
      <c r="L60" s="78"/>
      <c r="M60" s="78"/>
      <c r="N60" s="78"/>
      <c r="O60" s="73"/>
      <c r="P60" s="78"/>
      <c r="Q60" s="73"/>
      <c r="R60" s="78"/>
      <c r="S60" s="73"/>
      <c r="T60" s="71"/>
      <c r="U60" s="71"/>
      <c r="V60" s="78"/>
      <c r="W60" s="78"/>
      <c r="X60" s="78"/>
      <c r="Y60" s="78"/>
      <c r="Z60" s="73"/>
      <c r="AA60" s="73" t="str">
        <f>IF(Z60=0,"",AVERAGEIFS(data_num!B:B, data_num!D:D, Y60, data_num!K:K, 1))
</f>
        <v/>
      </c>
      <c r="AB60" s="77" t="str">
        <f>IF(Z60=0,"",AVERAGEIFS(data_num!C:C, data_num!D:D, Y60, data_num!K:K, 1))
</f>
        <v/>
      </c>
      <c r="AC60" s="72" t="str">
        <f>IF(Z59=0,"",SUMIFS(data_num!L:L, data_num!D:D, Y59, data_num!K:K, 1)/Z59)
</f>
        <v/>
      </c>
      <c r="AD60" s="73" t="str">
        <f>IF(Z59=0,"",SUMIFS(data_num!L:L, data_num!D:D, Y59, data_num!K:K, 1)/Z59)
</f>
        <v/>
      </c>
      <c r="AE60" s="78"/>
      <c r="AF60" s="71"/>
      <c r="AG60" s="75"/>
      <c r="AH60" s="78"/>
      <c r="AI60" s="71"/>
      <c r="AJ60" s="78"/>
      <c r="AK60" s="78"/>
      <c r="AL60" s="78"/>
      <c r="AM60" s="78"/>
      <c r="AN60" s="78"/>
      <c r="AO60" s="78"/>
      <c r="AP60" s="71"/>
      <c r="AQ60" s="71"/>
      <c r="AR60" s="78"/>
      <c r="AS60" s="71"/>
      <c r="AT60" s="78"/>
      <c r="AU60" s="78"/>
      <c r="AV60" s="78"/>
      <c r="AW60" s="78"/>
      <c r="AX60" s="71"/>
      <c r="AY60" s="71"/>
    </row>
    <row r="61" ht="16.5" customHeight="1">
      <c r="A61" s="72"/>
      <c r="B61" s="73"/>
      <c r="C61" s="78"/>
      <c r="D61" s="78"/>
      <c r="E61" s="78"/>
      <c r="F61" s="73"/>
      <c r="G61" s="73"/>
      <c r="H61" s="78"/>
      <c r="I61" s="71"/>
      <c r="J61" s="73"/>
      <c r="K61" s="78"/>
      <c r="L61" s="78"/>
      <c r="M61" s="78"/>
      <c r="N61" s="78"/>
      <c r="O61" s="73"/>
      <c r="P61" s="78"/>
      <c r="Q61" s="73"/>
      <c r="R61" s="78"/>
      <c r="S61" s="73"/>
      <c r="T61" s="71"/>
      <c r="U61" s="71"/>
      <c r="V61" s="78"/>
      <c r="W61" s="78"/>
      <c r="X61" s="78"/>
      <c r="Y61" s="78"/>
      <c r="Z61" s="73"/>
      <c r="AA61" s="73" t="str">
        <f>IF(Z61=0,"",AVERAGEIFS(data_num!B:B, data_num!D:D, Y61, data_num!K:K, 1))
</f>
        <v/>
      </c>
      <c r="AB61" s="77" t="str">
        <f>IF(Z61=0,"",AVERAGEIFS(data_num!C:C, data_num!D:D, Y61, data_num!K:K, 1))
</f>
        <v/>
      </c>
      <c r="AC61" s="72" t="str">
        <f>IF(Z60=0,"",SUMIFS(data_num!L:L, data_num!D:D, Y60, data_num!K:K, 1)/Z60)
</f>
        <v/>
      </c>
      <c r="AD61" s="73" t="str">
        <f>IF(Z60=0,"",SUMIFS(data_num!L:L, data_num!D:D, Y60, data_num!K:K, 1)/Z60)
</f>
        <v/>
      </c>
      <c r="AE61" s="78"/>
      <c r="AF61" s="71"/>
      <c r="AG61" s="75"/>
      <c r="AH61" s="78"/>
      <c r="AI61" s="71"/>
      <c r="AJ61" s="78"/>
      <c r="AK61" s="78"/>
      <c r="AL61" s="78"/>
      <c r="AM61" s="78"/>
      <c r="AN61" s="78"/>
      <c r="AO61" s="78"/>
      <c r="AP61" s="71"/>
      <c r="AQ61" s="71"/>
      <c r="AR61" s="78"/>
      <c r="AS61" s="71"/>
      <c r="AT61" s="78"/>
      <c r="AU61" s="78"/>
      <c r="AV61" s="78"/>
      <c r="AW61" s="78"/>
      <c r="AX61" s="71"/>
      <c r="AY61" s="71"/>
    </row>
    <row r="62" ht="16.5" customHeight="1">
      <c r="A62" s="72"/>
      <c r="B62" s="73"/>
      <c r="C62" s="78"/>
      <c r="D62" s="78"/>
      <c r="E62" s="78"/>
      <c r="F62" s="73"/>
      <c r="G62" s="73"/>
      <c r="H62" s="78"/>
      <c r="I62" s="71"/>
      <c r="J62" s="73"/>
      <c r="K62" s="78"/>
      <c r="L62" s="78"/>
      <c r="M62" s="78"/>
      <c r="N62" s="78"/>
      <c r="O62" s="73"/>
      <c r="P62" s="78"/>
      <c r="Q62" s="73"/>
      <c r="R62" s="78"/>
      <c r="S62" s="73"/>
      <c r="T62" s="71"/>
      <c r="U62" s="71"/>
      <c r="V62" s="78"/>
      <c r="W62" s="78"/>
      <c r="X62" s="78"/>
      <c r="Y62" s="78"/>
      <c r="Z62" s="73"/>
      <c r="AA62" s="73" t="str">
        <f>IF(Z62=0,"",AVERAGEIFS(data_num!B:B, data_num!D:D, Y62, data_num!K:K, 1))
</f>
        <v/>
      </c>
      <c r="AB62" s="77" t="str">
        <f>IF(Z62=0,"",AVERAGEIFS(data_num!C:C, data_num!D:D, Y62, data_num!K:K, 1))
</f>
        <v/>
      </c>
      <c r="AC62" s="72" t="str">
        <f>IF(Z61=0,"",SUMIFS(data_num!L:L, data_num!D:D, Y61, data_num!K:K, 1)/Z61)
</f>
        <v/>
      </c>
      <c r="AD62" s="73" t="str">
        <f>IF(Z61=0,"",SUMIFS(data_num!L:L, data_num!D:D, Y61, data_num!K:K, 1)/Z61)
</f>
        <v/>
      </c>
      <c r="AE62" s="78"/>
      <c r="AF62" s="71"/>
      <c r="AG62" s="75"/>
      <c r="AH62" s="78"/>
      <c r="AI62" s="71"/>
      <c r="AJ62" s="78"/>
      <c r="AK62" s="78"/>
      <c r="AL62" s="78"/>
      <c r="AM62" s="78"/>
      <c r="AN62" s="78"/>
      <c r="AO62" s="78"/>
      <c r="AP62" s="71"/>
      <c r="AQ62" s="71"/>
      <c r="AR62" s="78"/>
      <c r="AS62" s="71"/>
      <c r="AT62" s="78"/>
      <c r="AU62" s="78"/>
      <c r="AV62" s="78"/>
      <c r="AW62" s="78"/>
      <c r="AX62" s="71"/>
      <c r="AY62" s="71"/>
    </row>
    <row r="63" ht="16.5" customHeight="1">
      <c r="A63" s="72"/>
      <c r="B63" s="73"/>
      <c r="C63" s="78"/>
      <c r="D63" s="78"/>
      <c r="E63" s="78"/>
      <c r="F63" s="73"/>
      <c r="G63" s="73"/>
      <c r="H63" s="78"/>
      <c r="I63" s="71"/>
      <c r="J63" s="73"/>
      <c r="K63" s="78"/>
      <c r="L63" s="78"/>
      <c r="M63" s="78"/>
      <c r="N63" s="78"/>
      <c r="O63" s="73"/>
      <c r="P63" s="78"/>
      <c r="Q63" s="73"/>
      <c r="R63" s="78"/>
      <c r="S63" s="73"/>
      <c r="T63" s="71"/>
      <c r="U63" s="71"/>
      <c r="V63" s="78"/>
      <c r="W63" s="78"/>
      <c r="X63" s="78"/>
      <c r="Y63" s="78"/>
      <c r="Z63" s="73"/>
      <c r="AA63" s="73" t="str">
        <f>IF(Z63=0,"",AVERAGEIFS(data_num!B:B, data_num!D:D, Y63, data_num!K:K, 1))
</f>
        <v/>
      </c>
      <c r="AB63" s="77" t="str">
        <f>IF(Z63=0,"",AVERAGEIFS(data_num!C:C, data_num!D:D, Y63, data_num!K:K, 1))
</f>
        <v/>
      </c>
      <c r="AC63" s="72" t="str">
        <f>IF(Z62=0,"",SUMIFS(data_num!L:L, data_num!D:D, Y62, data_num!K:K, 1)/Z62)
</f>
        <v/>
      </c>
      <c r="AD63" s="73" t="str">
        <f>IF(Z62=0,"",SUMIFS(data_num!L:L, data_num!D:D, Y62, data_num!K:K, 1)/Z62)
</f>
        <v/>
      </c>
      <c r="AE63" s="78"/>
      <c r="AF63" s="71"/>
      <c r="AG63" s="75"/>
      <c r="AH63" s="78"/>
      <c r="AI63" s="71"/>
      <c r="AJ63" s="78"/>
      <c r="AK63" s="78"/>
      <c r="AL63" s="78"/>
      <c r="AM63" s="78"/>
      <c r="AN63" s="78"/>
      <c r="AO63" s="78"/>
      <c r="AP63" s="71"/>
      <c r="AQ63" s="71"/>
      <c r="AR63" s="78"/>
      <c r="AS63" s="71"/>
      <c r="AT63" s="78"/>
      <c r="AU63" s="78"/>
      <c r="AV63" s="78"/>
      <c r="AW63" s="78"/>
      <c r="AX63" s="71"/>
      <c r="AY63" s="71"/>
    </row>
    <row r="64" ht="16.5" customHeight="1">
      <c r="A64" s="72"/>
      <c r="B64" s="73"/>
      <c r="C64" s="78"/>
      <c r="D64" s="78"/>
      <c r="E64" s="78"/>
      <c r="F64" s="73"/>
      <c r="G64" s="73"/>
      <c r="H64" s="78"/>
      <c r="I64" s="71"/>
      <c r="J64" s="73"/>
      <c r="K64" s="78"/>
      <c r="L64" s="78"/>
      <c r="M64" s="78"/>
      <c r="N64" s="78"/>
      <c r="O64" s="73"/>
      <c r="P64" s="78"/>
      <c r="Q64" s="73"/>
      <c r="R64" s="78"/>
      <c r="S64" s="73"/>
      <c r="T64" s="71"/>
      <c r="U64" s="71"/>
      <c r="V64" s="78"/>
      <c r="W64" s="78"/>
      <c r="X64" s="78"/>
      <c r="Y64" s="78"/>
      <c r="Z64" s="73"/>
      <c r="AA64" s="73" t="str">
        <f>IF(Z64=0,"",AVERAGEIFS(data_num!B:B, data_num!D:D, Y64, data_num!K:K, 1))
</f>
        <v/>
      </c>
      <c r="AB64" s="77" t="str">
        <f>IF(Z64=0,"",AVERAGEIFS(data_num!C:C, data_num!D:D, Y64, data_num!K:K, 1))
</f>
        <v/>
      </c>
      <c r="AC64" s="72" t="str">
        <f>IF(Z63=0,"",SUMIFS(data_num!L:L, data_num!D:D, Y63, data_num!K:K, 1)/Z63)
</f>
        <v/>
      </c>
      <c r="AD64" s="73" t="str">
        <f>IF(Z63=0,"",SUMIFS(data_num!L:L, data_num!D:D, Y63, data_num!K:K, 1)/Z63)
</f>
        <v/>
      </c>
      <c r="AE64" s="78"/>
      <c r="AF64" s="71"/>
      <c r="AG64" s="75"/>
      <c r="AH64" s="78"/>
      <c r="AI64" s="71"/>
      <c r="AJ64" s="78"/>
      <c r="AK64" s="78"/>
      <c r="AL64" s="78"/>
      <c r="AM64" s="78"/>
      <c r="AN64" s="78"/>
      <c r="AO64" s="78"/>
      <c r="AP64" s="71"/>
      <c r="AQ64" s="71"/>
      <c r="AR64" s="78"/>
      <c r="AS64" s="71"/>
      <c r="AT64" s="78"/>
      <c r="AU64" s="78"/>
      <c r="AV64" s="78"/>
      <c r="AW64" s="78"/>
      <c r="AX64" s="71"/>
      <c r="AY64" s="71"/>
    </row>
    <row r="65" ht="16.5" customHeight="1">
      <c r="A65" s="72"/>
      <c r="B65" s="73"/>
      <c r="C65" s="78"/>
      <c r="D65" s="78"/>
      <c r="E65" s="78"/>
      <c r="F65" s="73"/>
      <c r="G65" s="73"/>
      <c r="H65" s="78"/>
      <c r="I65" s="71"/>
      <c r="J65" s="73"/>
      <c r="K65" s="78"/>
      <c r="L65" s="78"/>
      <c r="M65" s="78"/>
      <c r="N65" s="78"/>
      <c r="O65" s="73"/>
      <c r="P65" s="78"/>
      <c r="Q65" s="73"/>
      <c r="R65" s="78"/>
      <c r="S65" s="73"/>
      <c r="T65" s="71"/>
      <c r="U65" s="71"/>
      <c r="V65" s="78"/>
      <c r="W65" s="78"/>
      <c r="X65" s="78"/>
      <c r="Y65" s="78"/>
      <c r="Z65" s="73"/>
      <c r="AA65" s="73" t="str">
        <f>IF(Z65=0,"",AVERAGEIFS(data_num!B:B, data_num!D:D, Y65, data_num!K:K, 1))
</f>
        <v/>
      </c>
      <c r="AB65" s="77" t="str">
        <f>IF(Z65=0,"",AVERAGEIFS(data_num!C:C, data_num!D:D, Y65, data_num!K:K, 1))
</f>
        <v/>
      </c>
      <c r="AC65" s="72" t="str">
        <f>IF(Z64=0,"",SUMIFS(data_num!L:L, data_num!D:D, Y64, data_num!K:K, 1)/Z64)
</f>
        <v/>
      </c>
      <c r="AD65" s="73" t="str">
        <f>IF(Z64=0,"",SUMIFS(data_num!L:L, data_num!D:D, Y64, data_num!K:K, 1)/Z64)
</f>
        <v/>
      </c>
      <c r="AE65" s="78"/>
      <c r="AF65" s="71"/>
      <c r="AG65" s="75"/>
      <c r="AH65" s="78"/>
      <c r="AI65" s="71"/>
      <c r="AJ65" s="78"/>
      <c r="AK65" s="78"/>
      <c r="AL65" s="78"/>
      <c r="AM65" s="78"/>
      <c r="AN65" s="78"/>
      <c r="AO65" s="78"/>
      <c r="AP65" s="71"/>
      <c r="AQ65" s="71"/>
      <c r="AR65" s="78"/>
      <c r="AS65" s="71"/>
      <c r="AT65" s="78"/>
      <c r="AU65" s="78"/>
      <c r="AV65" s="78"/>
      <c r="AW65" s="78"/>
      <c r="AX65" s="71"/>
      <c r="AY65" s="71"/>
    </row>
    <row r="66" ht="16.5" customHeight="1">
      <c r="A66" s="72"/>
      <c r="B66" s="73"/>
      <c r="C66" s="78"/>
      <c r="D66" s="78"/>
      <c r="E66" s="78"/>
      <c r="F66" s="73"/>
      <c r="G66" s="73"/>
      <c r="H66" s="78"/>
      <c r="I66" s="71"/>
      <c r="J66" s="73"/>
      <c r="K66" s="78"/>
      <c r="L66" s="78"/>
      <c r="M66" s="78"/>
      <c r="N66" s="78"/>
      <c r="O66" s="73"/>
      <c r="P66" s="78"/>
      <c r="Q66" s="73"/>
      <c r="R66" s="78"/>
      <c r="S66" s="73"/>
      <c r="T66" s="71"/>
      <c r="U66" s="71"/>
      <c r="V66" s="78"/>
      <c r="W66" s="78"/>
      <c r="X66" s="78"/>
      <c r="Y66" s="78"/>
      <c r="Z66" s="73"/>
      <c r="AA66" s="73" t="str">
        <f>IF(Z66=0,"",AVERAGEIFS(data_num!B:B, data_num!D:D, Y66, data_num!K:K, 1))
</f>
        <v/>
      </c>
      <c r="AB66" s="77" t="str">
        <f>IF(Z66=0,"",AVERAGEIFS(data_num!C:C, data_num!D:D, Y66, data_num!K:K, 1))
</f>
        <v/>
      </c>
      <c r="AC66" s="72" t="str">
        <f>IF(Z65=0,"",SUMIFS(data_num!L:L, data_num!D:D, Y65, data_num!K:K, 1)/Z65)
</f>
        <v/>
      </c>
      <c r="AD66" s="73" t="str">
        <f>IF(Z65=0,"",SUMIFS(data_num!L:L, data_num!D:D, Y65, data_num!K:K, 1)/Z65)
</f>
        <v/>
      </c>
      <c r="AE66" s="78"/>
      <c r="AF66" s="71"/>
      <c r="AG66" s="75"/>
      <c r="AH66" s="78"/>
      <c r="AI66" s="71"/>
      <c r="AJ66" s="78"/>
      <c r="AK66" s="78"/>
      <c r="AL66" s="78"/>
      <c r="AM66" s="78"/>
      <c r="AN66" s="78"/>
      <c r="AO66" s="78"/>
      <c r="AP66" s="71"/>
      <c r="AQ66" s="71"/>
      <c r="AR66" s="78"/>
      <c r="AS66" s="71"/>
      <c r="AT66" s="78"/>
      <c r="AU66" s="78"/>
      <c r="AV66" s="78"/>
      <c r="AW66" s="78"/>
      <c r="AX66" s="71"/>
      <c r="AY66" s="71"/>
    </row>
    <row r="67" ht="16.5" customHeight="1">
      <c r="A67" s="72"/>
      <c r="B67" s="73"/>
      <c r="C67" s="78"/>
      <c r="D67" s="78"/>
      <c r="E67" s="78"/>
      <c r="F67" s="73"/>
      <c r="G67" s="73"/>
      <c r="H67" s="78"/>
      <c r="I67" s="71"/>
      <c r="J67" s="73"/>
      <c r="K67" s="78"/>
      <c r="L67" s="78"/>
      <c r="M67" s="78"/>
      <c r="N67" s="78"/>
      <c r="O67" s="73"/>
      <c r="P67" s="78"/>
      <c r="Q67" s="73"/>
      <c r="R67" s="78"/>
      <c r="S67" s="73"/>
      <c r="T67" s="71"/>
      <c r="U67" s="71"/>
      <c r="V67" s="78"/>
      <c r="W67" s="78"/>
      <c r="X67" s="78"/>
      <c r="Y67" s="78"/>
      <c r="Z67" s="73"/>
      <c r="AA67" s="73" t="str">
        <f>IF(Z67=0,"",AVERAGEIFS(data_num!B:B, data_num!D:D, Y67, data_num!K:K, 1))
</f>
        <v/>
      </c>
      <c r="AB67" s="77" t="str">
        <f>IF(Z67=0,"",AVERAGEIFS(data_num!C:C, data_num!D:D, Y67, data_num!K:K, 1))
</f>
        <v/>
      </c>
      <c r="AC67" s="72" t="str">
        <f>IF(Z66=0,"",SUMIFS(data_num!L:L, data_num!D:D, Y66, data_num!K:K, 1)/Z66)
</f>
        <v/>
      </c>
      <c r="AD67" s="73" t="str">
        <f>IF(Z66=0,"",SUMIFS(data_num!L:L, data_num!D:D, Y66, data_num!K:K, 1)/Z66)
</f>
        <v/>
      </c>
      <c r="AE67" s="78"/>
      <c r="AF67" s="71"/>
      <c r="AG67" s="75"/>
      <c r="AH67" s="78"/>
      <c r="AI67" s="71"/>
      <c r="AJ67" s="78"/>
      <c r="AK67" s="78"/>
      <c r="AL67" s="78"/>
      <c r="AM67" s="78"/>
      <c r="AN67" s="78"/>
      <c r="AO67" s="78"/>
      <c r="AP67" s="71"/>
      <c r="AQ67" s="71"/>
      <c r="AR67" s="78"/>
      <c r="AS67" s="71"/>
      <c r="AT67" s="78"/>
      <c r="AU67" s="78"/>
      <c r="AV67" s="78"/>
      <c r="AW67" s="78"/>
      <c r="AX67" s="71"/>
      <c r="AY67" s="71"/>
    </row>
    <row r="68" ht="16.5" customHeight="1">
      <c r="A68" s="71"/>
      <c r="B68" s="78"/>
      <c r="C68" s="78"/>
      <c r="D68" s="78"/>
      <c r="E68" s="78"/>
      <c r="F68" s="73"/>
      <c r="G68" s="73"/>
      <c r="H68" s="73"/>
      <c r="I68" s="72"/>
      <c r="J68" s="73"/>
      <c r="K68" s="73"/>
      <c r="L68" s="73"/>
      <c r="M68" s="73"/>
      <c r="N68" s="73"/>
      <c r="O68" s="73"/>
      <c r="P68" s="73"/>
      <c r="Q68" s="73"/>
      <c r="R68" s="73"/>
      <c r="S68" s="73"/>
      <c r="T68" s="71"/>
      <c r="U68" s="71"/>
      <c r="V68" s="78"/>
      <c r="W68" s="78"/>
      <c r="X68" s="78"/>
      <c r="Y68" s="78"/>
      <c r="Z68" s="73"/>
      <c r="AA68" s="73" t="str">
        <f>IF(Z68=0,"",AVERAGEIFS(data_num!B:B, data_num!D:D, Y68, data_num!K:K, 1))
</f>
        <v/>
      </c>
      <c r="AB68" s="77" t="str">
        <f>IF(Z68=0,"",AVERAGEIFS(data_num!C:C, data_num!D:D, Y68, data_num!K:K, 1))
</f>
        <v/>
      </c>
      <c r="AC68" s="72" t="str">
        <f>IF(Z67=0,"",SUMIFS(data_num!L:L, data_num!D:D, Y67, data_num!K:K, 1)/Z67)
</f>
        <v/>
      </c>
      <c r="AD68" s="73" t="str">
        <f>IF(Z67=0,"",SUMIFS(data_num!L:L, data_num!D:D, Y67, data_num!K:K, 1)/Z67)
</f>
        <v/>
      </c>
      <c r="AE68" s="78"/>
      <c r="AF68" s="71"/>
      <c r="AG68" s="75"/>
      <c r="AH68" s="78"/>
      <c r="AI68" s="71"/>
      <c r="AJ68" s="78"/>
      <c r="AK68" s="78"/>
      <c r="AL68" s="78"/>
      <c r="AM68" s="78"/>
      <c r="AN68" s="78"/>
      <c r="AO68" s="78"/>
      <c r="AP68" s="71"/>
      <c r="AQ68" s="71"/>
      <c r="AR68" s="78"/>
      <c r="AS68" s="71"/>
      <c r="AT68" s="78"/>
      <c r="AU68" s="78"/>
      <c r="AV68" s="78"/>
      <c r="AW68" s="78"/>
      <c r="AX68" s="71"/>
      <c r="AY68" s="71"/>
    </row>
    <row r="69" ht="16.5" customHeight="1">
      <c r="A69" s="71"/>
      <c r="B69" s="78"/>
      <c r="C69" s="78"/>
      <c r="D69" s="78"/>
      <c r="E69" s="78"/>
      <c r="F69" s="73"/>
      <c r="G69" s="73"/>
      <c r="H69" s="73"/>
      <c r="I69" s="72"/>
      <c r="J69" s="73"/>
      <c r="K69" s="73"/>
      <c r="L69" s="73"/>
      <c r="M69" s="73"/>
      <c r="N69" s="73"/>
      <c r="O69" s="73"/>
      <c r="P69" s="73"/>
      <c r="Q69" s="73"/>
      <c r="R69" s="73"/>
      <c r="S69" s="73"/>
      <c r="T69" s="71"/>
      <c r="U69" s="71"/>
      <c r="V69" s="78"/>
      <c r="W69" s="78"/>
      <c r="X69" s="78"/>
      <c r="Y69" s="78"/>
      <c r="Z69" s="73"/>
      <c r="AA69" s="73" t="str">
        <f>IF(Z69=0,"",AVERAGEIFS(data_num!B:B, data_num!D:D, Y69, data_num!K:K, 1))
</f>
        <v/>
      </c>
      <c r="AB69" s="77" t="str">
        <f>IF(Z69=0,"",AVERAGEIFS(data_num!C:C, data_num!D:D, Y69, data_num!K:K, 1))
</f>
        <v/>
      </c>
      <c r="AC69" s="72" t="str">
        <f>IF(Z68=0,"",SUMIFS(data_num!L:L, data_num!D:D, Y68, data_num!K:K, 1)/Z68)
</f>
        <v/>
      </c>
      <c r="AD69" s="73" t="str">
        <f>IF(Z68=0,"",SUMIFS(data_num!L:L, data_num!D:D, Y68, data_num!K:K, 1)/Z68)
</f>
        <v/>
      </c>
      <c r="AE69" s="78"/>
      <c r="AF69" s="71"/>
      <c r="AG69" s="75"/>
      <c r="AH69" s="78"/>
      <c r="AI69" s="71"/>
      <c r="AJ69" s="78"/>
      <c r="AK69" s="78"/>
      <c r="AL69" s="78"/>
      <c r="AM69" s="78"/>
      <c r="AN69" s="78"/>
      <c r="AO69" s="78"/>
      <c r="AP69" s="71"/>
      <c r="AQ69" s="71"/>
      <c r="AR69" s="78"/>
      <c r="AS69" s="71"/>
      <c r="AT69" s="78"/>
      <c r="AU69" s="78"/>
      <c r="AV69" s="78"/>
      <c r="AW69" s="78"/>
      <c r="AX69" s="71"/>
      <c r="AY69" s="71"/>
    </row>
    <row r="70" ht="16.5" customHeight="1">
      <c r="A70" s="71"/>
      <c r="B70" s="78"/>
      <c r="C70" s="78"/>
      <c r="D70" s="78"/>
      <c r="E70" s="78"/>
      <c r="F70" s="73"/>
      <c r="G70" s="73"/>
      <c r="H70" s="73"/>
      <c r="I70" s="72"/>
      <c r="J70" s="73"/>
      <c r="K70" s="73"/>
      <c r="L70" s="73"/>
      <c r="M70" s="73"/>
      <c r="N70" s="73"/>
      <c r="O70" s="73"/>
      <c r="P70" s="73"/>
      <c r="Q70" s="73"/>
      <c r="R70" s="73"/>
      <c r="S70" s="73"/>
      <c r="T70" s="71"/>
      <c r="U70" s="71"/>
      <c r="V70" s="78"/>
      <c r="W70" s="78"/>
      <c r="X70" s="78"/>
      <c r="Y70" s="78"/>
      <c r="Z70" s="73"/>
      <c r="AA70" s="73" t="str">
        <f>IF(Z70=0,"",AVERAGEIFS(data_num!B:B, data_num!D:D, Y70, data_num!K:K, 1))
</f>
        <v/>
      </c>
      <c r="AB70" s="77" t="str">
        <f>IF(Z70=0,"",AVERAGEIFS(data_num!C:C, data_num!D:D, Y70, data_num!K:K, 1))
</f>
        <v/>
      </c>
      <c r="AC70" s="72" t="str">
        <f>IF(Z69=0,"",SUMIFS(data_num!L:L, data_num!D:D, Y69, data_num!K:K, 1)/Z69)
</f>
        <v/>
      </c>
      <c r="AD70" s="73" t="str">
        <f>IF(Z69=0,"",SUMIFS(data_num!L:L, data_num!D:D, Y69, data_num!K:K, 1)/Z69)
</f>
        <v/>
      </c>
      <c r="AE70" s="78"/>
      <c r="AF70" s="71"/>
      <c r="AG70" s="75"/>
      <c r="AH70" s="78"/>
      <c r="AI70" s="71"/>
      <c r="AJ70" s="78"/>
      <c r="AK70" s="78"/>
      <c r="AL70" s="78"/>
      <c r="AM70" s="78"/>
      <c r="AN70" s="78"/>
      <c r="AO70" s="78"/>
      <c r="AP70" s="71"/>
      <c r="AQ70" s="71"/>
      <c r="AR70" s="78"/>
      <c r="AS70" s="71"/>
      <c r="AT70" s="78"/>
      <c r="AU70" s="78"/>
      <c r="AV70" s="78"/>
      <c r="AW70" s="78"/>
      <c r="AX70" s="71"/>
      <c r="AY70" s="71"/>
    </row>
    <row r="71" ht="16.5" customHeight="1">
      <c r="A71" s="71"/>
      <c r="B71" s="78"/>
      <c r="C71" s="78"/>
      <c r="D71" s="78"/>
      <c r="E71" s="78"/>
      <c r="F71" s="73"/>
      <c r="G71" s="73"/>
      <c r="H71" s="73"/>
      <c r="I71" s="72"/>
      <c r="J71" s="73"/>
      <c r="K71" s="73"/>
      <c r="L71" s="73"/>
      <c r="M71" s="73"/>
      <c r="N71" s="73"/>
      <c r="O71" s="73"/>
      <c r="P71" s="73"/>
      <c r="Q71" s="73"/>
      <c r="R71" s="73"/>
      <c r="S71" s="73"/>
      <c r="T71" s="71"/>
      <c r="U71" s="71"/>
      <c r="V71" s="78"/>
      <c r="W71" s="78"/>
      <c r="X71" s="78"/>
      <c r="Y71" s="78"/>
      <c r="Z71" s="73"/>
      <c r="AA71" s="73" t="str">
        <f>IF(Z71=0,"",AVERAGEIFS(data_num!B:B, data_num!D:D, Y71, data_num!K:K, 1))
</f>
        <v/>
      </c>
      <c r="AB71" s="77" t="str">
        <f>IF(Z71=0,"",AVERAGEIFS(data_num!C:C, data_num!D:D, Y71, data_num!K:K, 1))
</f>
        <v/>
      </c>
      <c r="AC71" s="72" t="str">
        <f>IF(Z70=0,"",SUMIFS(data_num!L:L, data_num!D:D, Y70, data_num!K:K, 1)/Z70)
</f>
        <v/>
      </c>
      <c r="AD71" s="73" t="str">
        <f>IF(Z70=0,"",SUMIFS(data_num!L:L, data_num!D:D, Y70, data_num!K:K, 1)/Z70)
</f>
        <v/>
      </c>
      <c r="AE71" s="78"/>
      <c r="AF71" s="71"/>
      <c r="AG71" s="75"/>
      <c r="AH71" s="78"/>
      <c r="AI71" s="71"/>
      <c r="AJ71" s="78"/>
      <c r="AK71" s="78"/>
      <c r="AL71" s="78"/>
      <c r="AM71" s="78"/>
      <c r="AN71" s="78"/>
      <c r="AO71" s="78"/>
      <c r="AP71" s="71"/>
      <c r="AQ71" s="71"/>
      <c r="AR71" s="78"/>
      <c r="AS71" s="71"/>
      <c r="AT71" s="78"/>
      <c r="AU71" s="78"/>
      <c r="AV71" s="78"/>
      <c r="AW71" s="78"/>
      <c r="AX71" s="71"/>
      <c r="AY71" s="71"/>
    </row>
    <row r="72" ht="16.5" customHeight="1">
      <c r="A72" s="71"/>
      <c r="B72" s="78"/>
      <c r="C72" s="78"/>
      <c r="D72" s="78"/>
      <c r="E72" s="78"/>
      <c r="F72" s="73"/>
      <c r="G72" s="73"/>
      <c r="H72" s="73"/>
      <c r="I72" s="72"/>
      <c r="J72" s="73"/>
      <c r="K72" s="73"/>
      <c r="L72" s="73"/>
      <c r="M72" s="73"/>
      <c r="N72" s="73"/>
      <c r="O72" s="73"/>
      <c r="P72" s="73"/>
      <c r="Q72" s="73"/>
      <c r="R72" s="73"/>
      <c r="S72" s="73"/>
      <c r="T72" s="71"/>
      <c r="U72" s="71"/>
      <c r="V72" s="78"/>
      <c r="W72" s="78"/>
      <c r="X72" s="78"/>
      <c r="Y72" s="78"/>
      <c r="Z72" s="73"/>
      <c r="AA72" s="73" t="str">
        <f>IF(Z72=0,"",AVERAGEIFS(data_num!B:B, data_num!D:D, Y72, data_num!K:K, 1))
</f>
        <v/>
      </c>
      <c r="AB72" s="77" t="str">
        <f>IF(Z72=0,"",AVERAGEIFS(data_num!C:C, data_num!D:D, Y72, data_num!K:K, 1))
</f>
        <v/>
      </c>
      <c r="AC72" s="72" t="str">
        <f>IF(Z71=0,"",SUMIFS(data_num!L:L, data_num!D:D, Y71, data_num!K:K, 1)/Z71)
</f>
        <v/>
      </c>
      <c r="AD72" s="73" t="str">
        <f>IF(Z71=0,"",SUMIFS(data_num!L:L, data_num!D:D, Y71, data_num!K:K, 1)/Z71)
</f>
        <v/>
      </c>
      <c r="AE72" s="78"/>
      <c r="AF72" s="71"/>
      <c r="AG72" s="75"/>
      <c r="AH72" s="78"/>
      <c r="AI72" s="71"/>
      <c r="AJ72" s="78"/>
      <c r="AK72" s="78"/>
      <c r="AL72" s="78"/>
      <c r="AM72" s="78"/>
      <c r="AN72" s="78"/>
      <c r="AO72" s="78"/>
      <c r="AP72" s="71"/>
      <c r="AQ72" s="71"/>
      <c r="AR72" s="78"/>
      <c r="AS72" s="71"/>
      <c r="AT72" s="78"/>
      <c r="AU72" s="78"/>
      <c r="AV72" s="78"/>
      <c r="AW72" s="78"/>
      <c r="AX72" s="71"/>
      <c r="AY72" s="71"/>
    </row>
    <row r="73" ht="16.5" customHeight="1">
      <c r="A73" s="71"/>
      <c r="B73" s="78"/>
      <c r="C73" s="78"/>
      <c r="D73" s="78"/>
      <c r="E73" s="78"/>
      <c r="F73" s="73"/>
      <c r="G73" s="73"/>
      <c r="H73" s="73"/>
      <c r="I73" s="72"/>
      <c r="J73" s="73"/>
      <c r="K73" s="73"/>
      <c r="L73" s="73"/>
      <c r="M73" s="73"/>
      <c r="N73" s="73"/>
      <c r="O73" s="73"/>
      <c r="P73" s="73"/>
      <c r="Q73" s="73"/>
      <c r="R73" s="73"/>
      <c r="S73" s="73"/>
      <c r="T73" s="71"/>
      <c r="U73" s="71"/>
      <c r="V73" s="78"/>
      <c r="W73" s="78"/>
      <c r="X73" s="78"/>
      <c r="Y73" s="78"/>
      <c r="Z73" s="73"/>
      <c r="AA73" s="73" t="str">
        <f>IF(Z73=0,"",AVERAGEIFS(data_num!B:B, data_num!D:D, Y73, data_num!K:K, 1))
</f>
        <v/>
      </c>
      <c r="AB73" s="77" t="str">
        <f>IF(Z73=0,"",AVERAGEIFS(data_num!C:C, data_num!D:D, Y73, data_num!K:K, 1))
</f>
        <v/>
      </c>
      <c r="AC73" s="72" t="str">
        <f>IF(Z72=0,"",SUMIFS(data_num!L:L, data_num!D:D, Y72, data_num!K:K, 1)/Z72)
</f>
        <v/>
      </c>
      <c r="AD73" s="73" t="str">
        <f>IF(Z72=0,"",SUMIFS(data_num!L:L, data_num!D:D, Y72, data_num!K:K, 1)/Z72)
</f>
        <v/>
      </c>
      <c r="AE73" s="78"/>
      <c r="AF73" s="71"/>
      <c r="AG73" s="75"/>
      <c r="AH73" s="78"/>
      <c r="AI73" s="71"/>
      <c r="AJ73" s="78"/>
      <c r="AK73" s="78"/>
      <c r="AL73" s="78"/>
      <c r="AM73" s="78"/>
      <c r="AN73" s="78"/>
      <c r="AO73" s="78"/>
      <c r="AP73" s="71"/>
      <c r="AQ73" s="71"/>
      <c r="AR73" s="78"/>
      <c r="AS73" s="71"/>
      <c r="AT73" s="78"/>
      <c r="AU73" s="78"/>
      <c r="AV73" s="78"/>
      <c r="AW73" s="78"/>
      <c r="AX73" s="71"/>
      <c r="AY73" s="71"/>
    </row>
    <row r="74" ht="16.5" customHeight="1">
      <c r="A74" s="71"/>
      <c r="B74" s="78"/>
      <c r="C74" s="78"/>
      <c r="D74" s="78"/>
      <c r="E74" s="78"/>
      <c r="F74" s="73"/>
      <c r="G74" s="73"/>
      <c r="H74" s="73"/>
      <c r="I74" s="72"/>
      <c r="J74" s="73"/>
      <c r="K74" s="73"/>
      <c r="L74" s="73"/>
      <c r="M74" s="73"/>
      <c r="N74" s="73"/>
      <c r="O74" s="73"/>
      <c r="P74" s="73"/>
      <c r="Q74" s="73"/>
      <c r="R74" s="73"/>
      <c r="S74" s="73"/>
      <c r="T74" s="71"/>
      <c r="U74" s="71"/>
      <c r="V74" s="78"/>
      <c r="W74" s="78"/>
      <c r="X74" s="78"/>
      <c r="Y74" s="78"/>
      <c r="Z74" s="73"/>
      <c r="AA74" s="73" t="str">
        <f>IF(Z74=0,"",AVERAGEIFS(data_num!B:B, data_num!D:D, Y74, data_num!K:K, 1))
</f>
        <v/>
      </c>
      <c r="AB74" s="77" t="str">
        <f>IF(Z74=0,"",AVERAGEIFS(data_num!C:C, data_num!D:D, Y74, data_num!K:K, 1))
</f>
        <v/>
      </c>
      <c r="AC74" s="72" t="str">
        <f>IF(Z73=0,"",SUMIFS(data_num!L:L, data_num!D:D, Y73, data_num!K:K, 1)/Z73)
</f>
        <v/>
      </c>
      <c r="AD74" s="73" t="str">
        <f>IF(Z73=0,"",SUMIFS(data_num!L:L, data_num!D:D, Y73, data_num!K:K, 1)/Z73)
</f>
        <v/>
      </c>
      <c r="AE74" s="78"/>
      <c r="AF74" s="71"/>
      <c r="AG74" s="75"/>
      <c r="AH74" s="78"/>
      <c r="AI74" s="71"/>
      <c r="AJ74" s="78"/>
      <c r="AK74" s="78"/>
      <c r="AL74" s="78"/>
      <c r="AM74" s="78"/>
      <c r="AN74" s="78"/>
      <c r="AO74" s="78"/>
      <c r="AP74" s="71"/>
      <c r="AQ74" s="71"/>
      <c r="AR74" s="78"/>
      <c r="AS74" s="71"/>
      <c r="AT74" s="78"/>
      <c r="AU74" s="78"/>
      <c r="AV74" s="78"/>
      <c r="AW74" s="78"/>
      <c r="AX74" s="71"/>
      <c r="AY74" s="71"/>
    </row>
    <row r="75" ht="16.5" customHeight="1">
      <c r="A75" s="71"/>
      <c r="B75" s="78"/>
      <c r="C75" s="78"/>
      <c r="D75" s="78"/>
      <c r="E75" s="78"/>
      <c r="F75" s="73"/>
      <c r="G75" s="73"/>
      <c r="H75" s="73"/>
      <c r="I75" s="72"/>
      <c r="J75" s="73"/>
      <c r="K75" s="73"/>
      <c r="L75" s="73"/>
      <c r="M75" s="73"/>
      <c r="N75" s="73"/>
      <c r="O75" s="73"/>
      <c r="P75" s="73"/>
      <c r="Q75" s="73"/>
      <c r="R75" s="73"/>
      <c r="S75" s="73"/>
      <c r="T75" s="71"/>
      <c r="U75" s="71"/>
      <c r="V75" s="78"/>
      <c r="W75" s="78"/>
      <c r="X75" s="78"/>
      <c r="Y75" s="78"/>
      <c r="Z75" s="73"/>
      <c r="AA75" s="73" t="str">
        <f>IF(Z75=0,"",AVERAGEIFS(data_num!B:B, data_num!D:D, Y75, data_num!K:K, 1))
</f>
        <v/>
      </c>
      <c r="AB75" s="77" t="str">
        <f>IF(Z75=0,"",AVERAGEIFS(data_num!C:C, data_num!D:D, Y75, data_num!K:K, 1))
</f>
        <v/>
      </c>
      <c r="AC75" s="72" t="str">
        <f>IF(Z74=0,"",SUMIFS(data_num!L:L, data_num!D:D, Y74, data_num!K:K, 1)/Z74)
</f>
        <v/>
      </c>
      <c r="AD75" s="73" t="str">
        <f>IF(Z74=0,"",SUMIFS(data_num!L:L, data_num!D:D, Y74, data_num!K:K, 1)/Z74)
</f>
        <v/>
      </c>
      <c r="AE75" s="78"/>
      <c r="AF75" s="71"/>
      <c r="AG75" s="75"/>
      <c r="AH75" s="78"/>
      <c r="AI75" s="71"/>
      <c r="AJ75" s="78"/>
      <c r="AK75" s="78"/>
      <c r="AL75" s="78"/>
      <c r="AM75" s="78"/>
      <c r="AN75" s="78"/>
      <c r="AO75" s="78"/>
      <c r="AP75" s="71"/>
      <c r="AQ75" s="71"/>
      <c r="AR75" s="78"/>
      <c r="AS75" s="71"/>
      <c r="AT75" s="78"/>
      <c r="AU75" s="78"/>
      <c r="AV75" s="78"/>
      <c r="AW75" s="78"/>
      <c r="AX75" s="71"/>
      <c r="AY75" s="71"/>
    </row>
    <row r="76" ht="16.5" customHeight="1">
      <c r="A76" s="71"/>
      <c r="B76" s="78"/>
      <c r="C76" s="78"/>
      <c r="D76" s="78"/>
      <c r="E76" s="78"/>
      <c r="F76" s="73"/>
      <c r="G76" s="73"/>
      <c r="H76" s="73"/>
      <c r="I76" s="72"/>
      <c r="J76" s="73"/>
      <c r="K76" s="73"/>
      <c r="L76" s="73"/>
      <c r="M76" s="73"/>
      <c r="N76" s="73"/>
      <c r="O76" s="73"/>
      <c r="P76" s="73"/>
      <c r="Q76" s="73"/>
      <c r="R76" s="73"/>
      <c r="S76" s="73"/>
      <c r="T76" s="71"/>
      <c r="U76" s="71"/>
      <c r="V76" s="78"/>
      <c r="W76" s="78"/>
      <c r="X76" s="78"/>
      <c r="Y76" s="78"/>
      <c r="Z76" s="73"/>
      <c r="AA76" s="73" t="str">
        <f>IF(Z76=0,"",AVERAGEIFS(data_num!B:B, data_num!D:D, Y76, data_num!K:K, 1))
</f>
        <v/>
      </c>
      <c r="AB76" s="77" t="str">
        <f>IF(Z76=0,"",AVERAGEIFS(data_num!C:C, data_num!D:D, Y76, data_num!K:K, 1))
</f>
        <v/>
      </c>
      <c r="AC76" s="72" t="str">
        <f>IF(Z75=0,"",SUMIFS(data_num!L:L, data_num!D:D, Y75, data_num!K:K, 1)/Z75)
</f>
        <v/>
      </c>
      <c r="AD76" s="73" t="str">
        <f>IF(Z75=0,"",SUMIFS(data_num!L:L, data_num!D:D, Y75, data_num!K:K, 1)/Z75)
</f>
        <v/>
      </c>
      <c r="AE76" s="78"/>
      <c r="AF76" s="71"/>
      <c r="AG76" s="75"/>
      <c r="AH76" s="78"/>
      <c r="AI76" s="71"/>
      <c r="AJ76" s="78"/>
      <c r="AK76" s="78"/>
      <c r="AL76" s="78"/>
      <c r="AM76" s="78"/>
      <c r="AN76" s="78"/>
      <c r="AO76" s="78"/>
      <c r="AP76" s="71"/>
      <c r="AQ76" s="71"/>
      <c r="AR76" s="78"/>
      <c r="AS76" s="71"/>
      <c r="AT76" s="78"/>
      <c r="AU76" s="78"/>
      <c r="AV76" s="78"/>
      <c r="AW76" s="78"/>
      <c r="AX76" s="71"/>
      <c r="AY76" s="71"/>
    </row>
    <row r="77" ht="16.5" customHeight="1">
      <c r="A77" s="71"/>
      <c r="B77" s="78"/>
      <c r="C77" s="78"/>
      <c r="D77" s="78"/>
      <c r="E77" s="78"/>
      <c r="F77" s="73"/>
      <c r="G77" s="73"/>
      <c r="H77" s="73"/>
      <c r="I77" s="72"/>
      <c r="J77" s="73"/>
      <c r="K77" s="73"/>
      <c r="L77" s="73"/>
      <c r="M77" s="73"/>
      <c r="N77" s="73"/>
      <c r="O77" s="73"/>
      <c r="P77" s="73"/>
      <c r="Q77" s="73"/>
      <c r="R77" s="73"/>
      <c r="S77" s="73"/>
      <c r="T77" s="71"/>
      <c r="U77" s="71"/>
      <c r="V77" s="78"/>
      <c r="W77" s="78"/>
      <c r="X77" s="78"/>
      <c r="Y77" s="78"/>
      <c r="Z77" s="73"/>
      <c r="AA77" s="73" t="str">
        <f>IF(Z77=0,"",AVERAGEIFS(data_num!B:B, data_num!D:D, Y77, data_num!K:K, 1))
</f>
        <v/>
      </c>
      <c r="AB77" s="77" t="str">
        <f>IF(Z77=0,"",AVERAGEIFS(data_num!C:C, data_num!D:D, Y77, data_num!K:K, 1))
</f>
        <v/>
      </c>
      <c r="AC77" s="72" t="str">
        <f>IF(Z76=0,"",SUMIFS(data_num!L:L, data_num!D:D, Y76, data_num!K:K, 1)/Z76)
</f>
        <v/>
      </c>
      <c r="AD77" s="73" t="str">
        <f>IF(Z76=0,"",SUMIFS(data_num!L:L, data_num!D:D, Y76, data_num!K:K, 1)/Z76)
</f>
        <v/>
      </c>
      <c r="AE77" s="78"/>
      <c r="AF77" s="71"/>
      <c r="AG77" s="75"/>
      <c r="AH77" s="78"/>
      <c r="AI77" s="71"/>
      <c r="AJ77" s="78"/>
      <c r="AK77" s="78"/>
      <c r="AL77" s="78"/>
      <c r="AM77" s="78"/>
      <c r="AN77" s="78"/>
      <c r="AO77" s="78"/>
      <c r="AP77" s="71"/>
      <c r="AQ77" s="71"/>
      <c r="AR77" s="78"/>
      <c r="AS77" s="71"/>
      <c r="AT77" s="78"/>
      <c r="AU77" s="78"/>
      <c r="AV77" s="78"/>
      <c r="AW77" s="78"/>
      <c r="AX77" s="71"/>
      <c r="AY77" s="71"/>
    </row>
    <row r="78" ht="16.5" customHeight="1">
      <c r="A78" s="71"/>
      <c r="B78" s="78"/>
      <c r="C78" s="78"/>
      <c r="D78" s="78"/>
      <c r="E78" s="78"/>
      <c r="F78" s="73"/>
      <c r="G78" s="73"/>
      <c r="H78" s="73"/>
      <c r="I78" s="72"/>
      <c r="J78" s="73"/>
      <c r="K78" s="73"/>
      <c r="L78" s="73"/>
      <c r="M78" s="73"/>
      <c r="N78" s="73"/>
      <c r="O78" s="73"/>
      <c r="P78" s="73"/>
      <c r="Q78" s="73"/>
      <c r="R78" s="73"/>
      <c r="S78" s="73"/>
      <c r="T78" s="71"/>
      <c r="U78" s="71"/>
      <c r="V78" s="78"/>
      <c r="W78" s="78"/>
      <c r="X78" s="78"/>
      <c r="Y78" s="78"/>
      <c r="Z78" s="73"/>
      <c r="AA78" s="73" t="str">
        <f>IF(Z78=0,"",AVERAGEIFS(data_num!B:B, data_num!D:D, Y78, data_num!K:K, 1))
</f>
        <v/>
      </c>
      <c r="AB78" s="77" t="str">
        <f>IF(Z78=0,"",AVERAGEIFS(data_num!C:C, data_num!D:D, Y78, data_num!K:K, 1))
</f>
        <v/>
      </c>
      <c r="AC78" s="72" t="str">
        <f>IF(Z77=0,"",SUMIFS(data_num!L:L, data_num!D:D, Y77, data_num!K:K, 1)/Z77)
</f>
        <v/>
      </c>
      <c r="AD78" s="73" t="str">
        <f>IF(Z77=0,"",SUMIFS(data_num!L:L, data_num!D:D, Y77, data_num!K:K, 1)/Z77)
</f>
        <v/>
      </c>
      <c r="AE78" s="78"/>
      <c r="AF78" s="71"/>
      <c r="AG78" s="75"/>
      <c r="AH78" s="78"/>
      <c r="AI78" s="71"/>
      <c r="AJ78" s="78"/>
      <c r="AK78" s="78"/>
      <c r="AL78" s="78"/>
      <c r="AM78" s="78"/>
      <c r="AN78" s="78"/>
      <c r="AO78" s="78"/>
      <c r="AP78" s="71"/>
      <c r="AQ78" s="71"/>
      <c r="AR78" s="78"/>
      <c r="AS78" s="71"/>
      <c r="AT78" s="78"/>
      <c r="AU78" s="78"/>
      <c r="AV78" s="78"/>
      <c r="AW78" s="78"/>
      <c r="AX78" s="71"/>
      <c r="AY78" s="71"/>
    </row>
    <row r="79" ht="16.5" customHeight="1">
      <c r="A79" s="71"/>
      <c r="B79" s="78"/>
      <c r="C79" s="78"/>
      <c r="D79" s="78"/>
      <c r="E79" s="78"/>
      <c r="F79" s="73"/>
      <c r="G79" s="73"/>
      <c r="H79" s="78"/>
      <c r="I79" s="72"/>
      <c r="J79" s="78"/>
      <c r="K79" s="78"/>
      <c r="L79" s="73"/>
      <c r="M79" s="78"/>
      <c r="N79" s="73"/>
      <c r="O79" s="78"/>
      <c r="P79" s="73"/>
      <c r="Q79" s="78"/>
      <c r="R79" s="73"/>
      <c r="S79" s="78"/>
      <c r="T79" s="71"/>
      <c r="U79" s="71"/>
      <c r="V79" s="78"/>
      <c r="W79" s="78"/>
      <c r="X79" s="78"/>
      <c r="Y79" s="78"/>
      <c r="Z79" s="73"/>
      <c r="AA79" s="73" t="str">
        <f>IF(Z79=0,"",AVERAGEIFS(data_num!B:B, data_num!D:D, Y79, data_num!K:K, 1))
</f>
        <v/>
      </c>
      <c r="AB79" s="77" t="str">
        <f>IF(Z79=0,"",AVERAGEIFS(data_num!C:C, data_num!D:D, Y79, data_num!K:K, 1))
</f>
        <v/>
      </c>
      <c r="AC79" s="72" t="str">
        <f>IF(Z78=0,"",SUMIFS(data_num!L:L, data_num!D:D, Y78, data_num!K:K, 1)/Z78)
</f>
        <v/>
      </c>
      <c r="AD79" s="73" t="str">
        <f>IF(Z78=0,"",SUMIFS(data_num!L:L, data_num!D:D, Y78, data_num!K:K, 1)/Z78)
</f>
        <v/>
      </c>
      <c r="AE79" s="78"/>
      <c r="AF79" s="71"/>
      <c r="AG79" s="75"/>
      <c r="AH79" s="78"/>
      <c r="AI79" s="71"/>
      <c r="AJ79" s="78"/>
      <c r="AK79" s="78"/>
      <c r="AL79" s="78"/>
      <c r="AM79" s="78"/>
      <c r="AN79" s="78"/>
      <c r="AO79" s="78"/>
      <c r="AP79" s="71"/>
      <c r="AQ79" s="71"/>
      <c r="AR79" s="78"/>
      <c r="AS79" s="71"/>
      <c r="AT79" s="78"/>
      <c r="AU79" s="78"/>
      <c r="AV79" s="78"/>
      <c r="AW79" s="78"/>
      <c r="AX79" s="71"/>
      <c r="AY79" s="71"/>
    </row>
    <row r="80" ht="16.5" customHeight="1">
      <c r="A80" s="71"/>
      <c r="B80" s="78"/>
      <c r="C80" s="78"/>
      <c r="D80" s="78"/>
      <c r="E80" s="78"/>
      <c r="F80" s="73"/>
      <c r="G80" s="73"/>
      <c r="H80" s="78"/>
      <c r="I80" s="72"/>
      <c r="J80" s="78"/>
      <c r="K80" s="78"/>
      <c r="L80" s="73"/>
      <c r="M80" s="78"/>
      <c r="N80" s="73"/>
      <c r="O80" s="78"/>
      <c r="P80" s="73"/>
      <c r="Q80" s="78"/>
      <c r="R80" s="73"/>
      <c r="S80" s="78"/>
      <c r="T80" s="71"/>
      <c r="U80" s="71"/>
      <c r="V80" s="78"/>
      <c r="W80" s="78"/>
      <c r="X80" s="78"/>
      <c r="Y80" s="78"/>
      <c r="Z80" s="73"/>
      <c r="AA80" s="73" t="str">
        <f>IF(Z80=0,"",AVERAGEIFS(data_num!B:B, data_num!D:D, Y80, data_num!K:K, 1))
</f>
        <v/>
      </c>
      <c r="AB80" s="77" t="str">
        <f>IF(Z80=0,"",AVERAGEIFS(data_num!C:C, data_num!D:D, Y80, data_num!K:K, 1))
</f>
        <v/>
      </c>
      <c r="AC80" s="72" t="str">
        <f>IF(Z79=0,"",SUMIFS(data_num!L:L, data_num!D:D, Y79, data_num!K:K, 1)/Z79)
</f>
        <v/>
      </c>
      <c r="AD80" s="73" t="str">
        <f>IF(Z79=0,"",SUMIFS(data_num!L:L, data_num!D:D, Y79, data_num!K:K, 1)/Z79)
</f>
        <v/>
      </c>
      <c r="AE80" s="78"/>
      <c r="AF80" s="71"/>
      <c r="AG80" s="75"/>
      <c r="AH80" s="78"/>
      <c r="AI80" s="71"/>
      <c r="AJ80" s="78"/>
      <c r="AK80" s="78"/>
      <c r="AL80" s="78"/>
      <c r="AM80" s="78"/>
      <c r="AN80" s="78"/>
      <c r="AO80" s="78"/>
      <c r="AP80" s="71"/>
      <c r="AQ80" s="71"/>
      <c r="AR80" s="78"/>
      <c r="AS80" s="71"/>
      <c r="AT80" s="78"/>
      <c r="AU80" s="78"/>
      <c r="AV80" s="78"/>
      <c r="AW80" s="78"/>
      <c r="AX80" s="71"/>
      <c r="AY80" s="71"/>
    </row>
    <row r="81" ht="16.5" customHeight="1">
      <c r="A81" s="71"/>
      <c r="B81" s="78"/>
      <c r="C81" s="78"/>
      <c r="D81" s="78"/>
      <c r="E81" s="78"/>
      <c r="F81" s="73"/>
      <c r="G81" s="73"/>
      <c r="H81" s="78"/>
      <c r="I81" s="72"/>
      <c r="J81" s="78"/>
      <c r="K81" s="78"/>
      <c r="L81" s="73"/>
      <c r="M81" s="78"/>
      <c r="N81" s="73"/>
      <c r="O81" s="78"/>
      <c r="P81" s="73"/>
      <c r="Q81" s="78"/>
      <c r="R81" s="73"/>
      <c r="S81" s="78"/>
      <c r="T81" s="71"/>
      <c r="U81" s="71"/>
      <c r="V81" s="78"/>
      <c r="W81" s="78"/>
      <c r="X81" s="78"/>
      <c r="Y81" s="78"/>
      <c r="Z81" s="73"/>
      <c r="AA81" s="73" t="str">
        <f>IF(Z81=0,"",AVERAGEIFS(data_num!B:B, data_num!D:D, Y81, data_num!K:K, 1))
</f>
        <v/>
      </c>
      <c r="AB81" s="77" t="str">
        <f>IF(Z81=0,"",AVERAGEIFS(data_num!C:C, data_num!D:D, Y81, data_num!K:K, 1))
</f>
        <v/>
      </c>
      <c r="AC81" s="72" t="str">
        <f>IF(Z80=0,"",SUMIFS(data_num!L:L, data_num!D:D, Y80, data_num!K:K, 1)/Z80)
</f>
        <v/>
      </c>
      <c r="AD81" s="73" t="str">
        <f>IF(Z80=0,"",SUMIFS(data_num!L:L, data_num!D:D, Y80, data_num!K:K, 1)/Z80)
</f>
        <v/>
      </c>
      <c r="AE81" s="78"/>
      <c r="AF81" s="71"/>
      <c r="AG81" s="75"/>
      <c r="AH81" s="78"/>
      <c r="AI81" s="71"/>
      <c r="AJ81" s="78"/>
      <c r="AK81" s="78"/>
      <c r="AL81" s="78"/>
      <c r="AM81" s="78"/>
      <c r="AN81" s="78"/>
      <c r="AO81" s="78"/>
      <c r="AP81" s="71"/>
      <c r="AQ81" s="71"/>
      <c r="AR81" s="78"/>
      <c r="AS81" s="71"/>
      <c r="AT81" s="78"/>
      <c r="AU81" s="78"/>
      <c r="AV81" s="78"/>
      <c r="AW81" s="78"/>
      <c r="AX81" s="71"/>
      <c r="AY81" s="71"/>
    </row>
    <row r="82" ht="16.5" customHeight="1">
      <c r="A82" s="71"/>
      <c r="B82" s="78"/>
      <c r="C82" s="78"/>
      <c r="D82" s="78"/>
      <c r="E82" s="78"/>
      <c r="F82" s="73"/>
      <c r="G82" s="73"/>
      <c r="H82" s="78"/>
      <c r="I82" s="72"/>
      <c r="J82" s="78"/>
      <c r="K82" s="78"/>
      <c r="L82" s="73"/>
      <c r="M82" s="78"/>
      <c r="N82" s="73"/>
      <c r="O82" s="78"/>
      <c r="P82" s="73"/>
      <c r="Q82" s="78"/>
      <c r="R82" s="73"/>
      <c r="S82" s="78"/>
      <c r="T82" s="71"/>
      <c r="U82" s="71"/>
      <c r="V82" s="78"/>
      <c r="W82" s="78"/>
      <c r="X82" s="78"/>
      <c r="Y82" s="78"/>
      <c r="Z82" s="73"/>
      <c r="AA82" s="73" t="str">
        <f>IF(Z82=0,"",AVERAGEIFS(data_num!B:B, data_num!D:D, Y82, data_num!K:K, 1))
</f>
        <v/>
      </c>
      <c r="AB82" s="77" t="str">
        <f>IF(Z82=0,"",AVERAGEIFS(data_num!C:C, data_num!D:D, Y82, data_num!K:K, 1))
</f>
        <v/>
      </c>
      <c r="AC82" s="72" t="str">
        <f>IF(Z81=0,"",SUMIFS(data_num!L:L, data_num!D:D, Y81, data_num!K:K, 1)/Z81)
</f>
        <v/>
      </c>
      <c r="AD82" s="73" t="str">
        <f>IF(Z81=0,"",SUMIFS(data_num!L:L, data_num!D:D, Y81, data_num!K:K, 1)/Z81)
</f>
        <v/>
      </c>
      <c r="AE82" s="78"/>
      <c r="AF82" s="71"/>
      <c r="AG82" s="75"/>
      <c r="AH82" s="78"/>
      <c r="AI82" s="71"/>
      <c r="AJ82" s="78"/>
      <c r="AK82" s="78"/>
      <c r="AL82" s="78"/>
      <c r="AM82" s="78"/>
      <c r="AN82" s="78"/>
      <c r="AO82" s="78"/>
      <c r="AP82" s="71"/>
      <c r="AQ82" s="71"/>
      <c r="AR82" s="78"/>
      <c r="AS82" s="71"/>
      <c r="AT82" s="78"/>
      <c r="AU82" s="78"/>
      <c r="AV82" s="78"/>
      <c r="AW82" s="78"/>
      <c r="AX82" s="71"/>
      <c r="AY82" s="71"/>
    </row>
    <row r="83" ht="16.5" customHeight="1">
      <c r="A83" s="71"/>
      <c r="B83" s="78"/>
      <c r="C83" s="78"/>
      <c r="D83" s="78"/>
      <c r="E83" s="78"/>
      <c r="F83" s="73"/>
      <c r="G83" s="73"/>
      <c r="H83" s="78"/>
      <c r="I83" s="72"/>
      <c r="J83" s="78"/>
      <c r="K83" s="78"/>
      <c r="L83" s="73"/>
      <c r="M83" s="78"/>
      <c r="N83" s="73"/>
      <c r="O83" s="78"/>
      <c r="P83" s="73"/>
      <c r="Q83" s="78"/>
      <c r="R83" s="73"/>
      <c r="S83" s="78"/>
      <c r="T83" s="71"/>
      <c r="U83" s="71"/>
      <c r="V83" s="78"/>
      <c r="W83" s="78"/>
      <c r="X83" s="78"/>
      <c r="Y83" s="78"/>
      <c r="Z83" s="73"/>
      <c r="AA83" s="73" t="str">
        <f>IF(Z83=0,"",AVERAGEIFS(data_num!B:B, data_num!D:D, Y83, data_num!K:K, 1))
</f>
        <v/>
      </c>
      <c r="AB83" s="77" t="str">
        <f>IF(Z83=0,"",AVERAGEIFS(data_num!C:C, data_num!D:D, Y83, data_num!K:K, 1))
</f>
        <v/>
      </c>
      <c r="AC83" s="72" t="str">
        <f>IF(Z82=0,"",SUMIFS(data_num!L:L, data_num!D:D, Y82, data_num!K:K, 1)/Z82)
</f>
        <v/>
      </c>
      <c r="AD83" s="73" t="str">
        <f>IF(Z82=0,"",SUMIFS(data_num!L:L, data_num!D:D, Y82, data_num!K:K, 1)/Z82)
</f>
        <v/>
      </c>
      <c r="AE83" s="78"/>
      <c r="AF83" s="71"/>
      <c r="AG83" s="75"/>
      <c r="AH83" s="78"/>
      <c r="AI83" s="71"/>
      <c r="AJ83" s="78"/>
      <c r="AK83" s="78"/>
      <c r="AL83" s="78"/>
      <c r="AM83" s="78"/>
      <c r="AN83" s="78"/>
      <c r="AO83" s="78"/>
      <c r="AP83" s="71"/>
      <c r="AQ83" s="71"/>
      <c r="AR83" s="78"/>
      <c r="AS83" s="71"/>
      <c r="AT83" s="78"/>
      <c r="AU83" s="78"/>
      <c r="AV83" s="78"/>
      <c r="AW83" s="78"/>
      <c r="AX83" s="71"/>
      <c r="AY83" s="71"/>
    </row>
    <row r="84" ht="16.5" customHeight="1">
      <c r="A84" s="71"/>
      <c r="B84" s="78"/>
      <c r="C84" s="78"/>
      <c r="D84" s="78"/>
      <c r="E84" s="78"/>
      <c r="F84" s="73"/>
      <c r="G84" s="73"/>
      <c r="H84" s="78"/>
      <c r="I84" s="72"/>
      <c r="J84" s="78"/>
      <c r="K84" s="78"/>
      <c r="L84" s="73"/>
      <c r="M84" s="78"/>
      <c r="N84" s="73"/>
      <c r="O84" s="78"/>
      <c r="P84" s="73"/>
      <c r="Q84" s="78"/>
      <c r="R84" s="73"/>
      <c r="S84" s="78"/>
      <c r="T84" s="71"/>
      <c r="U84" s="71"/>
      <c r="V84" s="78"/>
      <c r="W84" s="78"/>
      <c r="X84" s="78"/>
      <c r="Y84" s="78"/>
      <c r="Z84" s="73"/>
      <c r="AA84" s="73" t="str">
        <f>IF(Z84=0,"",AVERAGEIFS(data_num!B:B, data_num!D:D, Y84, data_num!K:K, 1))
</f>
        <v/>
      </c>
      <c r="AB84" s="77" t="str">
        <f>IF(Z84=0,"",AVERAGEIFS(data_num!C:C, data_num!D:D, Y84, data_num!K:K, 1))
</f>
        <v/>
      </c>
      <c r="AC84" s="72" t="str">
        <f>IF(Z83=0,"",SUMIFS(data_num!L:L, data_num!D:D, Y83, data_num!K:K, 1)/Z83)
</f>
        <v/>
      </c>
      <c r="AD84" s="73" t="str">
        <f>IF(Z83=0,"",SUMIFS(data_num!L:L, data_num!D:D, Y83, data_num!K:K, 1)/Z83)
</f>
        <v/>
      </c>
      <c r="AE84" s="78"/>
      <c r="AF84" s="71"/>
      <c r="AG84" s="75"/>
      <c r="AH84" s="78"/>
      <c r="AI84" s="71"/>
      <c r="AJ84" s="78"/>
      <c r="AK84" s="78"/>
      <c r="AL84" s="78"/>
      <c r="AM84" s="78"/>
      <c r="AN84" s="78"/>
      <c r="AO84" s="78"/>
      <c r="AP84" s="71"/>
      <c r="AQ84" s="71"/>
      <c r="AR84" s="78"/>
      <c r="AS84" s="71"/>
      <c r="AT84" s="78"/>
      <c r="AU84" s="78"/>
      <c r="AV84" s="78"/>
      <c r="AW84" s="78"/>
      <c r="AX84" s="71"/>
      <c r="AY84" s="71"/>
    </row>
    <row r="85" ht="16.5" customHeight="1">
      <c r="A85" s="71"/>
      <c r="B85" s="78"/>
      <c r="C85" s="78"/>
      <c r="D85" s="78"/>
      <c r="E85" s="78"/>
      <c r="F85" s="73"/>
      <c r="G85" s="73"/>
      <c r="H85" s="78"/>
      <c r="I85" s="72"/>
      <c r="J85" s="78"/>
      <c r="K85" s="78"/>
      <c r="L85" s="73"/>
      <c r="M85" s="78"/>
      <c r="N85" s="73"/>
      <c r="O85" s="78"/>
      <c r="P85" s="73"/>
      <c r="Q85" s="78"/>
      <c r="R85" s="73"/>
      <c r="S85" s="78"/>
      <c r="T85" s="71"/>
      <c r="U85" s="71"/>
      <c r="V85" s="78"/>
      <c r="W85" s="78"/>
      <c r="X85" s="78"/>
      <c r="Y85" s="78"/>
      <c r="Z85" s="73"/>
      <c r="AA85" s="73" t="str">
        <f>IF(Z85=0,"",AVERAGEIFS(data_num!B:B, data_num!D:D, Y85, data_num!K:K, 1))
</f>
        <v/>
      </c>
      <c r="AB85" s="77" t="str">
        <f>IF(Z85=0,"",AVERAGEIFS(data_num!C:C, data_num!D:D, Y85, data_num!K:K, 1))
</f>
        <v/>
      </c>
      <c r="AC85" s="72" t="str">
        <f>IF(Z84=0,"",SUMIFS(data_num!L:L, data_num!D:D, Y84, data_num!K:K, 1)/Z84)
</f>
        <v/>
      </c>
      <c r="AD85" s="73" t="str">
        <f>IF(Z84=0,"",SUMIFS(data_num!L:L, data_num!D:D, Y84, data_num!K:K, 1)/Z84)
</f>
        <v/>
      </c>
      <c r="AE85" s="78"/>
      <c r="AF85" s="71"/>
      <c r="AG85" s="75"/>
      <c r="AH85" s="78"/>
      <c r="AI85" s="71"/>
      <c r="AJ85" s="78"/>
      <c r="AK85" s="78"/>
      <c r="AL85" s="78"/>
      <c r="AM85" s="78"/>
      <c r="AN85" s="78"/>
      <c r="AO85" s="78"/>
      <c r="AP85" s="71"/>
      <c r="AQ85" s="71"/>
      <c r="AR85" s="78"/>
      <c r="AS85" s="71"/>
      <c r="AT85" s="78"/>
      <c r="AU85" s="78"/>
      <c r="AV85" s="78"/>
      <c r="AW85" s="78"/>
      <c r="AX85" s="71"/>
      <c r="AY85" s="71"/>
    </row>
    <row r="86" ht="16.5" customHeight="1">
      <c r="A86" s="71"/>
      <c r="B86" s="78"/>
      <c r="C86" s="78"/>
      <c r="D86" s="78"/>
      <c r="E86" s="78"/>
      <c r="F86" s="73"/>
      <c r="G86" s="73"/>
      <c r="H86" s="78"/>
      <c r="I86" s="72"/>
      <c r="J86" s="78"/>
      <c r="K86" s="78"/>
      <c r="L86" s="73"/>
      <c r="M86" s="78"/>
      <c r="N86" s="73"/>
      <c r="O86" s="78"/>
      <c r="P86" s="73"/>
      <c r="Q86" s="78"/>
      <c r="R86" s="73"/>
      <c r="S86" s="78"/>
      <c r="T86" s="71"/>
      <c r="U86" s="71"/>
      <c r="V86" s="78"/>
      <c r="W86" s="78"/>
      <c r="X86" s="78"/>
      <c r="Y86" s="78"/>
      <c r="Z86" s="73"/>
      <c r="AA86" s="73" t="str">
        <f>IF(Z86=0,"",AVERAGEIFS(data_num!B:B, data_num!D:D, Y86, data_num!K:K, 1))
</f>
        <v/>
      </c>
      <c r="AB86" s="77" t="str">
        <f>IF(Z86=0,"",AVERAGEIFS(data_num!C:C, data_num!D:D, Y86, data_num!K:K, 1))
</f>
        <v/>
      </c>
      <c r="AC86" s="72" t="str">
        <f>IF(Z85=0,"",SUMIFS(data_num!L:L, data_num!D:D, Y85, data_num!K:K, 1)/Z85)
</f>
        <v/>
      </c>
      <c r="AD86" s="73" t="str">
        <f>IF(Z85=0,"",SUMIFS(data_num!L:L, data_num!D:D, Y85, data_num!K:K, 1)/Z85)
</f>
        <v/>
      </c>
      <c r="AE86" s="78"/>
      <c r="AF86" s="71"/>
      <c r="AG86" s="75"/>
      <c r="AH86" s="78"/>
      <c r="AI86" s="71"/>
      <c r="AJ86" s="78"/>
      <c r="AK86" s="78"/>
      <c r="AL86" s="78"/>
      <c r="AM86" s="78"/>
      <c r="AN86" s="78"/>
      <c r="AO86" s="78"/>
      <c r="AP86" s="71"/>
      <c r="AQ86" s="71"/>
      <c r="AR86" s="78"/>
      <c r="AS86" s="71"/>
      <c r="AT86" s="78"/>
      <c r="AU86" s="78"/>
      <c r="AV86" s="78"/>
      <c r="AW86" s="78"/>
      <c r="AX86" s="71"/>
      <c r="AY86" s="71"/>
    </row>
    <row r="87" ht="16.5" customHeight="1">
      <c r="A87" s="71"/>
      <c r="B87" s="78"/>
      <c r="C87" s="78"/>
      <c r="D87" s="78"/>
      <c r="E87" s="78"/>
      <c r="F87" s="73"/>
      <c r="G87" s="73"/>
      <c r="H87" s="78"/>
      <c r="I87" s="72"/>
      <c r="J87" s="78"/>
      <c r="K87" s="78"/>
      <c r="L87" s="73"/>
      <c r="M87" s="78"/>
      <c r="N87" s="73"/>
      <c r="O87" s="78"/>
      <c r="P87" s="73"/>
      <c r="Q87" s="78"/>
      <c r="R87" s="73"/>
      <c r="S87" s="78"/>
      <c r="T87" s="71"/>
      <c r="U87" s="71"/>
      <c r="V87" s="78"/>
      <c r="W87" s="78"/>
      <c r="X87" s="78"/>
      <c r="Y87" s="78"/>
      <c r="Z87" s="73"/>
      <c r="AA87" s="73" t="str">
        <f>IF(Z87=0,"",AVERAGEIFS(data_num!B:B, data_num!D:D, Y87, data_num!K:K, 1))
</f>
        <v/>
      </c>
      <c r="AB87" s="77" t="str">
        <f>IF(Z87=0,"",AVERAGEIFS(data_num!C:C, data_num!D:D, Y87, data_num!K:K, 1))
</f>
        <v/>
      </c>
      <c r="AC87" s="72" t="str">
        <f>IF(Z86=0,"",SUMIFS(data_num!L:L, data_num!D:D, Y86, data_num!K:K, 1)/Z86)
</f>
        <v/>
      </c>
      <c r="AD87" s="73" t="str">
        <f>IF(Z86=0,"",SUMIFS(data_num!L:L, data_num!D:D, Y86, data_num!K:K, 1)/Z86)
</f>
        <v/>
      </c>
      <c r="AE87" s="78"/>
      <c r="AF87" s="71"/>
      <c r="AG87" s="75"/>
      <c r="AH87" s="78"/>
      <c r="AI87" s="71"/>
      <c r="AJ87" s="78"/>
      <c r="AK87" s="78"/>
      <c r="AL87" s="78"/>
      <c r="AM87" s="78"/>
      <c r="AN87" s="78"/>
      <c r="AO87" s="78"/>
      <c r="AP87" s="71"/>
      <c r="AQ87" s="71"/>
      <c r="AR87" s="78"/>
      <c r="AS87" s="71"/>
      <c r="AT87" s="78"/>
      <c r="AU87" s="78"/>
      <c r="AV87" s="78"/>
      <c r="AW87" s="78"/>
      <c r="AX87" s="71"/>
      <c r="AY87" s="71"/>
    </row>
    <row r="88" ht="16.5" customHeight="1">
      <c r="A88" s="71"/>
      <c r="B88" s="78"/>
      <c r="C88" s="78"/>
      <c r="D88" s="78"/>
      <c r="E88" s="78"/>
      <c r="F88" s="73"/>
      <c r="G88" s="73"/>
      <c r="H88" s="78"/>
      <c r="I88" s="72"/>
      <c r="J88" s="78"/>
      <c r="K88" s="78"/>
      <c r="L88" s="73"/>
      <c r="M88" s="78"/>
      <c r="N88" s="73"/>
      <c r="O88" s="78"/>
      <c r="P88" s="73"/>
      <c r="Q88" s="78"/>
      <c r="R88" s="73"/>
      <c r="S88" s="78"/>
      <c r="T88" s="71"/>
      <c r="U88" s="71"/>
      <c r="V88" s="78"/>
      <c r="W88" s="78"/>
      <c r="X88" s="78"/>
      <c r="Y88" s="78"/>
      <c r="Z88" s="73"/>
      <c r="AA88" s="73" t="str">
        <f>IF(Z88=0,"",AVERAGEIFS(data_num!B:B, data_num!D:D, Y88, data_num!K:K, 1))
</f>
        <v/>
      </c>
      <c r="AB88" s="77" t="str">
        <f>IF(Z88=0,"",AVERAGEIFS(data_num!C:C, data_num!D:D, Y88, data_num!K:K, 1))
</f>
        <v/>
      </c>
      <c r="AC88" s="72" t="str">
        <f>IF(Z87=0,"",SUMIFS(data_num!L:L, data_num!D:D, Y87, data_num!K:K, 1)/Z87)
</f>
        <v/>
      </c>
      <c r="AD88" s="73" t="str">
        <f>IF(Z87=0,"",SUMIFS(data_num!L:L, data_num!D:D, Y87, data_num!K:K, 1)/Z87)
</f>
        <v/>
      </c>
      <c r="AE88" s="78"/>
      <c r="AF88" s="71"/>
      <c r="AG88" s="75"/>
      <c r="AH88" s="78"/>
      <c r="AI88" s="71"/>
      <c r="AJ88" s="78"/>
      <c r="AK88" s="78"/>
      <c r="AL88" s="78"/>
      <c r="AM88" s="78"/>
      <c r="AN88" s="78"/>
      <c r="AO88" s="78"/>
      <c r="AP88" s="71"/>
      <c r="AQ88" s="71"/>
      <c r="AR88" s="78"/>
      <c r="AS88" s="71"/>
      <c r="AT88" s="78"/>
      <c r="AU88" s="78"/>
      <c r="AV88" s="78"/>
      <c r="AW88" s="78"/>
      <c r="AX88" s="71"/>
      <c r="AY88" s="71"/>
    </row>
    <row r="89" ht="16.5" customHeight="1">
      <c r="A89" s="71"/>
      <c r="B89" s="78"/>
      <c r="C89" s="78"/>
      <c r="D89" s="78"/>
      <c r="E89" s="78"/>
      <c r="F89" s="73"/>
      <c r="G89" s="73"/>
      <c r="H89" s="78"/>
      <c r="I89" s="72"/>
      <c r="J89" s="78"/>
      <c r="K89" s="78"/>
      <c r="L89" s="73"/>
      <c r="M89" s="78"/>
      <c r="N89" s="73"/>
      <c r="O89" s="78"/>
      <c r="P89" s="73"/>
      <c r="Q89" s="78"/>
      <c r="R89" s="73"/>
      <c r="S89" s="78"/>
      <c r="T89" s="71"/>
      <c r="U89" s="71"/>
      <c r="V89" s="78"/>
      <c r="W89" s="78"/>
      <c r="X89" s="78"/>
      <c r="Y89" s="78"/>
      <c r="Z89" s="73"/>
      <c r="AA89" s="73" t="str">
        <f>IF(Z89=0,"",AVERAGEIFS(data_num!B:B, data_num!D:D, Y89, data_num!K:K, 1))
</f>
        <v/>
      </c>
      <c r="AB89" s="77" t="str">
        <f>IF(Z89=0,"",AVERAGEIFS(data_num!C:C, data_num!D:D, Y89, data_num!K:K, 1))
</f>
        <v/>
      </c>
      <c r="AC89" s="72" t="str">
        <f>IF(Z88=0,"",SUMIFS(data_num!L:L, data_num!D:D, Y88, data_num!K:K, 1)/Z88)
</f>
        <v/>
      </c>
      <c r="AD89" s="73" t="str">
        <f>IF(Z88=0,"",SUMIFS(data_num!L:L, data_num!D:D, Y88, data_num!K:K, 1)/Z88)
</f>
        <v/>
      </c>
      <c r="AE89" s="78"/>
      <c r="AF89" s="71"/>
      <c r="AG89" s="75"/>
      <c r="AH89" s="78"/>
      <c r="AI89" s="71"/>
      <c r="AJ89" s="78"/>
      <c r="AK89" s="78"/>
      <c r="AL89" s="78"/>
      <c r="AM89" s="78"/>
      <c r="AN89" s="78"/>
      <c r="AO89" s="78"/>
      <c r="AP89" s="71"/>
      <c r="AQ89" s="71"/>
      <c r="AR89" s="78"/>
      <c r="AS89" s="71"/>
      <c r="AT89" s="78"/>
      <c r="AU89" s="78"/>
      <c r="AV89" s="78"/>
      <c r="AW89" s="78"/>
      <c r="AX89" s="71"/>
      <c r="AY89" s="71"/>
    </row>
    <row r="90" ht="16.5" customHeight="1">
      <c r="A90" s="71"/>
      <c r="B90" s="78"/>
      <c r="C90" s="78"/>
      <c r="D90" s="78"/>
      <c r="E90" s="78"/>
      <c r="F90" s="73"/>
      <c r="G90" s="73"/>
      <c r="H90" s="78"/>
      <c r="I90" s="72"/>
      <c r="J90" s="78"/>
      <c r="K90" s="78"/>
      <c r="L90" s="73"/>
      <c r="M90" s="78"/>
      <c r="N90" s="73"/>
      <c r="O90" s="78"/>
      <c r="P90" s="73"/>
      <c r="Q90" s="78"/>
      <c r="R90" s="73"/>
      <c r="S90" s="78"/>
      <c r="T90" s="71"/>
      <c r="U90" s="71"/>
      <c r="V90" s="78"/>
      <c r="W90" s="78"/>
      <c r="X90" s="78"/>
      <c r="Y90" s="78"/>
      <c r="Z90" s="73"/>
      <c r="AA90" s="73" t="str">
        <f>IF(Z90=0,"",AVERAGEIFS(data_num!B:B, data_num!D:D, Y90, data_num!K:K, 1))
</f>
        <v/>
      </c>
      <c r="AB90" s="77" t="str">
        <f>IF(Z90=0,"",AVERAGEIFS(data_num!C:C, data_num!D:D, Y90, data_num!K:K, 1))
</f>
        <v/>
      </c>
      <c r="AC90" s="72" t="str">
        <f>IF(Z89=0,"",SUMIFS(data_num!L:L, data_num!D:D, Y89, data_num!K:K, 1)/Z89)
</f>
        <v/>
      </c>
      <c r="AD90" s="73" t="str">
        <f>IF(Z89=0,"",SUMIFS(data_num!L:L, data_num!D:D, Y89, data_num!K:K, 1)/Z89)
</f>
        <v/>
      </c>
      <c r="AE90" s="78"/>
      <c r="AF90" s="71"/>
      <c r="AG90" s="75"/>
      <c r="AH90" s="78"/>
      <c r="AI90" s="71"/>
      <c r="AJ90" s="78"/>
      <c r="AK90" s="78"/>
      <c r="AL90" s="78"/>
      <c r="AM90" s="78"/>
      <c r="AN90" s="78"/>
      <c r="AO90" s="78"/>
      <c r="AP90" s="71"/>
      <c r="AQ90" s="71"/>
      <c r="AR90" s="78"/>
      <c r="AS90" s="71"/>
      <c r="AT90" s="78"/>
      <c r="AU90" s="78"/>
      <c r="AV90" s="78"/>
      <c r="AW90" s="78"/>
      <c r="AX90" s="71"/>
      <c r="AY90" s="71"/>
    </row>
    <row r="91" ht="16.5" customHeight="1">
      <c r="A91" s="71"/>
      <c r="B91" s="78"/>
      <c r="C91" s="78"/>
      <c r="D91" s="78"/>
      <c r="E91" s="78"/>
      <c r="F91" s="73"/>
      <c r="G91" s="73"/>
      <c r="H91" s="78"/>
      <c r="I91" s="72"/>
      <c r="J91" s="78"/>
      <c r="K91" s="78"/>
      <c r="L91" s="73"/>
      <c r="M91" s="78"/>
      <c r="N91" s="73"/>
      <c r="O91" s="78"/>
      <c r="P91" s="73"/>
      <c r="Q91" s="78"/>
      <c r="R91" s="73"/>
      <c r="S91" s="78"/>
      <c r="T91" s="71"/>
      <c r="U91" s="71"/>
      <c r="V91" s="78"/>
      <c r="W91" s="78"/>
      <c r="X91" s="78"/>
      <c r="Y91" s="78"/>
      <c r="Z91" s="73"/>
      <c r="AA91" s="73" t="str">
        <f>IF(Z91=0,"",AVERAGEIFS(data_num!B:B, data_num!D:D, Y91, data_num!K:K, 1))
</f>
        <v/>
      </c>
      <c r="AB91" s="77" t="str">
        <f>IF(Z91=0,"",AVERAGEIFS(data_num!C:C, data_num!D:D, Y91, data_num!K:K, 1))
</f>
        <v/>
      </c>
      <c r="AC91" s="72" t="str">
        <f>IF(Z90=0,"",SUMIFS(data_num!L:L, data_num!D:D, Y90, data_num!K:K, 1)/Z90)
</f>
        <v/>
      </c>
      <c r="AD91" s="73" t="str">
        <f>IF(Z90=0,"",SUMIFS(data_num!L:L, data_num!D:D, Y90, data_num!K:K, 1)/Z90)
</f>
        <v/>
      </c>
      <c r="AE91" s="78"/>
      <c r="AF91" s="71"/>
      <c r="AG91" s="75"/>
      <c r="AH91" s="78"/>
      <c r="AI91" s="71"/>
      <c r="AJ91" s="78"/>
      <c r="AK91" s="78"/>
      <c r="AL91" s="78"/>
      <c r="AM91" s="78"/>
      <c r="AN91" s="78"/>
      <c r="AO91" s="78"/>
      <c r="AP91" s="71"/>
      <c r="AQ91" s="71"/>
      <c r="AR91" s="78"/>
      <c r="AS91" s="71"/>
      <c r="AT91" s="78"/>
      <c r="AU91" s="78"/>
      <c r="AV91" s="78"/>
      <c r="AW91" s="78"/>
      <c r="AX91" s="71"/>
      <c r="AY91" s="71"/>
    </row>
    <row r="92" ht="16.5" customHeight="1">
      <c r="A92" s="71"/>
      <c r="B92" s="78"/>
      <c r="C92" s="78"/>
      <c r="D92" s="78"/>
      <c r="E92" s="78"/>
      <c r="F92" s="73"/>
      <c r="G92" s="73"/>
      <c r="H92" s="78"/>
      <c r="I92" s="72"/>
      <c r="J92" s="78"/>
      <c r="K92" s="78"/>
      <c r="L92" s="73"/>
      <c r="M92" s="78"/>
      <c r="N92" s="73"/>
      <c r="O92" s="78"/>
      <c r="P92" s="73"/>
      <c r="Q92" s="78"/>
      <c r="R92" s="73"/>
      <c r="S92" s="78"/>
      <c r="T92" s="71"/>
      <c r="U92" s="71"/>
      <c r="V92" s="78"/>
      <c r="W92" s="78"/>
      <c r="X92" s="78"/>
      <c r="Y92" s="78"/>
      <c r="Z92" s="73"/>
      <c r="AA92" s="73" t="str">
        <f>IF(Z92=0,"",AVERAGEIFS(data_num!B:B, data_num!D:D, Y92, data_num!K:K, 1))
</f>
        <v/>
      </c>
      <c r="AB92" s="77" t="str">
        <f>IF(Z92=0,"",AVERAGEIFS(data_num!C:C, data_num!D:D, Y92, data_num!K:K, 1))
</f>
        <v/>
      </c>
      <c r="AC92" s="72" t="str">
        <f>IF(Z91=0,"",SUMIFS(data_num!L:L, data_num!D:D, Y91, data_num!K:K, 1)/Z91)
</f>
        <v/>
      </c>
      <c r="AD92" s="73" t="str">
        <f>IF(Z91=0,"",SUMIFS(data_num!L:L, data_num!D:D, Y91, data_num!K:K, 1)/Z91)
</f>
        <v/>
      </c>
      <c r="AE92" s="78"/>
      <c r="AF92" s="71"/>
      <c r="AG92" s="75"/>
      <c r="AH92" s="78"/>
      <c r="AI92" s="71"/>
      <c r="AJ92" s="78"/>
      <c r="AK92" s="78"/>
      <c r="AL92" s="78"/>
      <c r="AM92" s="78"/>
      <c r="AN92" s="78"/>
      <c r="AO92" s="78"/>
      <c r="AP92" s="71"/>
      <c r="AQ92" s="71"/>
      <c r="AR92" s="78"/>
      <c r="AS92" s="71"/>
      <c r="AT92" s="78"/>
      <c r="AU92" s="78"/>
      <c r="AV92" s="78"/>
      <c r="AW92" s="78"/>
      <c r="AX92" s="71"/>
      <c r="AY92" s="71"/>
    </row>
    <row r="93" ht="16.5" customHeight="1">
      <c r="A93" s="71"/>
      <c r="B93" s="78"/>
      <c r="C93" s="78"/>
      <c r="D93" s="78"/>
      <c r="E93" s="78"/>
      <c r="F93" s="73"/>
      <c r="G93" s="73"/>
      <c r="H93" s="78"/>
      <c r="I93" s="72"/>
      <c r="J93" s="78"/>
      <c r="K93" s="78"/>
      <c r="L93" s="73"/>
      <c r="M93" s="78"/>
      <c r="N93" s="73"/>
      <c r="O93" s="78"/>
      <c r="P93" s="73"/>
      <c r="Q93" s="78"/>
      <c r="R93" s="73"/>
      <c r="S93" s="78"/>
      <c r="T93" s="71"/>
      <c r="U93" s="71"/>
      <c r="V93" s="78"/>
      <c r="W93" s="78"/>
      <c r="X93" s="78"/>
      <c r="Y93" s="78"/>
      <c r="Z93" s="73"/>
      <c r="AA93" s="73" t="str">
        <f>IF(Z93=0,"",AVERAGEIFS(data_num!B:B, data_num!D:D, Y93, data_num!K:K, 1))
</f>
        <v/>
      </c>
      <c r="AB93" s="77" t="str">
        <f>IF(Z93=0,"",AVERAGEIFS(data_num!C:C, data_num!D:D, Y93, data_num!K:K, 1))
</f>
        <v/>
      </c>
      <c r="AC93" s="72" t="str">
        <f>IF(Z92=0,"",SUMIFS(data_num!L:L, data_num!D:D, Y92, data_num!K:K, 1)/Z92)
</f>
        <v/>
      </c>
      <c r="AD93" s="73" t="str">
        <f>IF(Z92=0,"",SUMIFS(data_num!L:L, data_num!D:D, Y92, data_num!K:K, 1)/Z92)
</f>
        <v/>
      </c>
      <c r="AE93" s="78"/>
      <c r="AF93" s="71"/>
      <c r="AG93" s="75"/>
      <c r="AH93" s="78"/>
      <c r="AI93" s="71"/>
      <c r="AJ93" s="78"/>
      <c r="AK93" s="78"/>
      <c r="AL93" s="78"/>
      <c r="AM93" s="78"/>
      <c r="AN93" s="78"/>
      <c r="AO93" s="78"/>
      <c r="AP93" s="71"/>
      <c r="AQ93" s="71"/>
      <c r="AR93" s="78"/>
      <c r="AS93" s="71"/>
      <c r="AT93" s="78"/>
      <c r="AU93" s="78"/>
      <c r="AV93" s="78"/>
      <c r="AW93" s="78"/>
      <c r="AX93" s="71"/>
      <c r="AY93" s="71"/>
    </row>
    <row r="94" ht="16.5" customHeight="1">
      <c r="A94" s="71"/>
      <c r="B94" s="78"/>
      <c r="C94" s="78"/>
      <c r="D94" s="78"/>
      <c r="E94" s="78"/>
      <c r="F94" s="73"/>
      <c r="G94" s="73"/>
      <c r="H94" s="78"/>
      <c r="I94" s="72"/>
      <c r="J94" s="78"/>
      <c r="K94" s="78"/>
      <c r="L94" s="73"/>
      <c r="M94" s="78"/>
      <c r="N94" s="73"/>
      <c r="O94" s="78"/>
      <c r="P94" s="73"/>
      <c r="Q94" s="78"/>
      <c r="R94" s="73"/>
      <c r="S94" s="78"/>
      <c r="T94" s="71"/>
      <c r="U94" s="71"/>
      <c r="V94" s="78"/>
      <c r="W94" s="78"/>
      <c r="X94" s="78"/>
      <c r="Y94" s="78"/>
      <c r="Z94" s="73"/>
      <c r="AA94" s="73" t="str">
        <f>IF(Z94=0,"",AVERAGEIFS(data_num!B:B, data_num!D:D, Y94, data_num!K:K, 1))
</f>
        <v/>
      </c>
      <c r="AB94" s="77" t="str">
        <f>IF(Z94=0,"",AVERAGEIFS(data_num!C:C, data_num!D:D, Y94, data_num!K:K, 1))
</f>
        <v/>
      </c>
      <c r="AC94" s="72" t="str">
        <f>IF(Z93=0,"",SUMIFS(data_num!L:L, data_num!D:D, Y93, data_num!K:K, 1)/Z93)
</f>
        <v/>
      </c>
      <c r="AD94" s="73" t="str">
        <f>IF(Z93=0,"",SUMIFS(data_num!L:L, data_num!D:D, Y93, data_num!K:K, 1)/Z93)
</f>
        <v/>
      </c>
      <c r="AE94" s="78"/>
      <c r="AF94" s="71"/>
      <c r="AG94" s="75"/>
      <c r="AH94" s="78"/>
      <c r="AI94" s="71"/>
      <c r="AJ94" s="78"/>
      <c r="AK94" s="78"/>
      <c r="AL94" s="78"/>
      <c r="AM94" s="78"/>
      <c r="AN94" s="78"/>
      <c r="AO94" s="78"/>
      <c r="AP94" s="71"/>
      <c r="AQ94" s="71"/>
      <c r="AR94" s="78"/>
      <c r="AS94" s="71"/>
      <c r="AT94" s="78"/>
      <c r="AU94" s="78"/>
      <c r="AV94" s="78"/>
      <c r="AW94" s="78"/>
      <c r="AX94" s="71"/>
      <c r="AY94" s="71"/>
    </row>
    <row r="95" ht="16.5" customHeight="1">
      <c r="A95" s="71"/>
      <c r="B95" s="78"/>
      <c r="C95" s="78"/>
      <c r="D95" s="78"/>
      <c r="E95" s="78"/>
      <c r="F95" s="73"/>
      <c r="G95" s="73"/>
      <c r="H95" s="78"/>
      <c r="I95" s="72"/>
      <c r="J95" s="78"/>
      <c r="K95" s="78"/>
      <c r="L95" s="73"/>
      <c r="M95" s="78"/>
      <c r="N95" s="73"/>
      <c r="O95" s="78"/>
      <c r="P95" s="73"/>
      <c r="Q95" s="78"/>
      <c r="R95" s="73"/>
      <c r="S95" s="78"/>
      <c r="T95" s="71"/>
      <c r="U95" s="71"/>
      <c r="V95" s="78"/>
      <c r="W95" s="78"/>
      <c r="X95" s="78"/>
      <c r="Y95" s="78"/>
      <c r="Z95" s="73"/>
      <c r="AA95" s="73" t="str">
        <f>IF(Z95=0,"",AVERAGEIFS(data_num!B:B, data_num!D:D, Y95, data_num!K:K, 1))
</f>
        <v/>
      </c>
      <c r="AB95" s="77" t="str">
        <f>IF(Z95=0,"",AVERAGEIFS(data_num!C:C, data_num!D:D, Y95, data_num!K:K, 1))
</f>
        <v/>
      </c>
      <c r="AC95" s="72" t="str">
        <f>IF(Z94=0,"",SUMIFS(data_num!L:L, data_num!D:D, Y94, data_num!K:K, 1)/Z94)
</f>
        <v/>
      </c>
      <c r="AD95" s="73" t="str">
        <f>IF(Z94=0,"",SUMIFS(data_num!L:L, data_num!D:D, Y94, data_num!K:K, 1)/Z94)
</f>
        <v/>
      </c>
      <c r="AE95" s="78"/>
      <c r="AF95" s="71"/>
      <c r="AG95" s="75"/>
      <c r="AH95" s="78"/>
      <c r="AI95" s="71"/>
      <c r="AJ95" s="78"/>
      <c r="AK95" s="78"/>
      <c r="AL95" s="78"/>
      <c r="AM95" s="78"/>
      <c r="AN95" s="78"/>
      <c r="AO95" s="78"/>
      <c r="AP95" s="71"/>
      <c r="AQ95" s="71"/>
      <c r="AR95" s="78"/>
      <c r="AS95" s="71"/>
      <c r="AT95" s="78"/>
      <c r="AU95" s="78"/>
      <c r="AV95" s="78"/>
      <c r="AW95" s="78"/>
      <c r="AX95" s="71"/>
      <c r="AY95" s="71"/>
    </row>
    <row r="96" ht="16.5" customHeight="1">
      <c r="A96" s="71"/>
      <c r="B96" s="78"/>
      <c r="C96" s="78"/>
      <c r="D96" s="78"/>
      <c r="E96" s="78"/>
      <c r="F96" s="73"/>
      <c r="G96" s="73"/>
      <c r="H96" s="78"/>
      <c r="I96" s="72"/>
      <c r="J96" s="78"/>
      <c r="K96" s="78"/>
      <c r="L96" s="73"/>
      <c r="M96" s="78"/>
      <c r="N96" s="73"/>
      <c r="O96" s="78"/>
      <c r="P96" s="73"/>
      <c r="Q96" s="78"/>
      <c r="R96" s="73"/>
      <c r="S96" s="78"/>
      <c r="T96" s="71"/>
      <c r="U96" s="71"/>
      <c r="V96" s="78"/>
      <c r="W96" s="78"/>
      <c r="X96" s="78"/>
      <c r="Y96" s="78"/>
      <c r="Z96" s="73"/>
      <c r="AA96" s="73" t="str">
        <f>IF(Z96=0,"",AVERAGEIFS(data_num!B:B, data_num!D:D, Y96, data_num!K:K, 1))
</f>
        <v/>
      </c>
      <c r="AB96" s="77" t="str">
        <f>IF(Z96=0,"",AVERAGEIFS(data_num!C:C, data_num!D:D, Y96, data_num!K:K, 1))
</f>
        <v/>
      </c>
      <c r="AC96" s="72" t="str">
        <f>IF(Z95=0,"",SUMIFS(data_num!L:L, data_num!D:D, Y95, data_num!K:K, 1)/Z95)
</f>
        <v/>
      </c>
      <c r="AD96" s="73" t="str">
        <f>IF(Z95=0,"",SUMIFS(data_num!L:L, data_num!D:D, Y95, data_num!K:K, 1)/Z95)
</f>
        <v/>
      </c>
      <c r="AE96" s="78"/>
      <c r="AF96" s="71"/>
      <c r="AG96" s="75"/>
      <c r="AH96" s="78"/>
      <c r="AI96" s="71"/>
      <c r="AJ96" s="78"/>
      <c r="AK96" s="78"/>
      <c r="AL96" s="78"/>
      <c r="AM96" s="78"/>
      <c r="AN96" s="78"/>
      <c r="AO96" s="78"/>
      <c r="AP96" s="71"/>
      <c r="AQ96" s="71"/>
      <c r="AR96" s="78"/>
      <c r="AS96" s="71"/>
      <c r="AT96" s="78"/>
      <c r="AU96" s="78"/>
      <c r="AV96" s="78"/>
      <c r="AW96" s="78"/>
      <c r="AX96" s="71"/>
      <c r="AY96" s="71"/>
    </row>
    <row r="97" ht="16.5" customHeight="1">
      <c r="A97" s="71"/>
      <c r="B97" s="78"/>
      <c r="C97" s="78"/>
      <c r="D97" s="78"/>
      <c r="E97" s="78"/>
      <c r="F97" s="73"/>
      <c r="G97" s="73"/>
      <c r="H97" s="78"/>
      <c r="I97" s="71"/>
      <c r="J97" s="78"/>
      <c r="K97" s="78"/>
      <c r="L97" s="78"/>
      <c r="M97" s="78"/>
      <c r="N97" s="78"/>
      <c r="O97" s="78"/>
      <c r="P97" s="78"/>
      <c r="Q97" s="78"/>
      <c r="R97" s="78"/>
      <c r="S97" s="78"/>
      <c r="T97" s="71"/>
      <c r="U97" s="71"/>
      <c r="V97" s="78"/>
      <c r="W97" s="78"/>
      <c r="X97" s="78"/>
      <c r="Y97" s="78"/>
      <c r="Z97" s="73"/>
      <c r="AA97" s="73" t="str">
        <f>IF(Z97=0,"",AVERAGEIFS(data_num!B:B, data_num!D:D, Y97, data_num!K:K, 1))
</f>
        <v/>
      </c>
      <c r="AB97" s="77" t="str">
        <f>IF(Z97=0,"",AVERAGEIFS(data_num!C:C, data_num!D:D, Y97, data_num!K:K, 1))
</f>
        <v/>
      </c>
      <c r="AC97" s="72" t="str">
        <f>IF(Z96=0,"",SUMIFS(data_num!L:L, data_num!D:D, Y96, data_num!K:K, 1)/Z96)
</f>
        <v/>
      </c>
      <c r="AD97" s="73" t="str">
        <f>IF(Z96=0,"",SUMIFS(data_num!L:L, data_num!D:D, Y96, data_num!K:K, 1)/Z96)
</f>
        <v/>
      </c>
      <c r="AE97" s="78"/>
      <c r="AF97" s="71"/>
      <c r="AG97" s="75"/>
      <c r="AH97" s="78"/>
      <c r="AI97" s="71"/>
      <c r="AJ97" s="78"/>
      <c r="AK97" s="78"/>
      <c r="AL97" s="78"/>
      <c r="AM97" s="78"/>
      <c r="AN97" s="78"/>
      <c r="AO97" s="78"/>
      <c r="AP97" s="71"/>
      <c r="AQ97" s="71"/>
      <c r="AR97" s="78"/>
      <c r="AS97" s="71"/>
      <c r="AT97" s="78"/>
      <c r="AU97" s="78"/>
      <c r="AV97" s="78"/>
      <c r="AW97" s="78"/>
      <c r="AX97" s="71"/>
      <c r="AY97" s="71"/>
    </row>
    <row r="98" ht="16.5" customHeight="1">
      <c r="A98" s="71"/>
      <c r="B98" s="78"/>
      <c r="C98" s="78"/>
      <c r="D98" s="78"/>
      <c r="E98" s="78"/>
      <c r="F98" s="73"/>
      <c r="G98" s="73"/>
      <c r="H98" s="78"/>
      <c r="I98" s="71"/>
      <c r="J98" s="78"/>
      <c r="K98" s="78"/>
      <c r="L98" s="78"/>
      <c r="M98" s="78"/>
      <c r="N98" s="78"/>
      <c r="O98" s="78"/>
      <c r="P98" s="78"/>
      <c r="Q98" s="78"/>
      <c r="R98" s="78"/>
      <c r="S98" s="78"/>
      <c r="T98" s="71"/>
      <c r="U98" s="71"/>
      <c r="V98" s="78"/>
      <c r="W98" s="78"/>
      <c r="X98" s="78"/>
      <c r="Y98" s="78"/>
      <c r="Z98" s="73"/>
      <c r="AA98" s="73" t="str">
        <f>IF(Z98=0,"",AVERAGEIFS(data_num!B:B, data_num!D:D, Y98, data_num!K:K, 1))
</f>
        <v/>
      </c>
      <c r="AB98" s="77" t="str">
        <f>IF(Z98=0,"",AVERAGEIFS(data_num!C:C, data_num!D:D, Y98, data_num!K:K, 1))
</f>
        <v/>
      </c>
      <c r="AC98" s="72" t="str">
        <f>IF(Z97=0,"",SUMIFS(data_num!L:L, data_num!D:D, Y97, data_num!K:K, 1)/Z97)
</f>
        <v/>
      </c>
      <c r="AD98" s="73" t="str">
        <f>IF(Z97=0,"",SUMIFS(data_num!L:L, data_num!D:D, Y97, data_num!K:K, 1)/Z97)
</f>
        <v/>
      </c>
      <c r="AE98" s="78"/>
      <c r="AF98" s="71"/>
      <c r="AG98" s="75"/>
      <c r="AH98" s="78"/>
      <c r="AI98" s="71"/>
      <c r="AJ98" s="78"/>
      <c r="AK98" s="78"/>
      <c r="AL98" s="78"/>
      <c r="AM98" s="78"/>
      <c r="AN98" s="78"/>
      <c r="AO98" s="78"/>
      <c r="AP98" s="71"/>
      <c r="AQ98" s="71"/>
      <c r="AR98" s="78"/>
      <c r="AS98" s="71"/>
      <c r="AT98" s="78"/>
      <c r="AU98" s="78"/>
      <c r="AV98" s="78"/>
      <c r="AW98" s="78"/>
      <c r="AX98" s="71"/>
      <c r="AY98" s="71"/>
    </row>
    <row r="99" ht="16.5" customHeight="1">
      <c r="A99" s="71"/>
      <c r="B99" s="78"/>
      <c r="C99" s="78"/>
      <c r="D99" s="78"/>
      <c r="E99" s="78"/>
      <c r="F99" s="73"/>
      <c r="G99" s="73"/>
      <c r="H99" s="78"/>
      <c r="I99" s="71"/>
      <c r="J99" s="78"/>
      <c r="K99" s="78"/>
      <c r="L99" s="78"/>
      <c r="M99" s="78"/>
      <c r="N99" s="78"/>
      <c r="O99" s="78"/>
      <c r="P99" s="78"/>
      <c r="Q99" s="78"/>
      <c r="R99" s="78"/>
      <c r="S99" s="78"/>
      <c r="T99" s="71"/>
      <c r="U99" s="71"/>
      <c r="V99" s="78"/>
      <c r="W99" s="78"/>
      <c r="X99" s="78"/>
      <c r="Y99" s="78"/>
      <c r="Z99" s="73"/>
      <c r="AA99" s="73" t="str">
        <f>IF(Z99=0,"",AVERAGEIFS(data_num!B:B, data_num!D:D, Y99, data_num!K:K, 1))
</f>
        <v/>
      </c>
      <c r="AB99" s="77" t="str">
        <f>IF(Z99=0,"",AVERAGEIFS(data_num!C:C, data_num!D:D, Y99, data_num!K:K, 1))
</f>
        <v/>
      </c>
      <c r="AC99" s="72" t="str">
        <f>IF(Z98=0,"",SUMIFS(data_num!L:L, data_num!D:D, Y98, data_num!K:K, 1)/Z98)
</f>
        <v/>
      </c>
      <c r="AD99" s="73" t="str">
        <f>IF(Z98=0,"",SUMIFS(data_num!L:L, data_num!D:D, Y98, data_num!K:K, 1)/Z98)
</f>
        <v/>
      </c>
      <c r="AE99" s="78"/>
      <c r="AF99" s="71"/>
      <c r="AG99" s="75"/>
      <c r="AH99" s="78"/>
      <c r="AI99" s="71"/>
      <c r="AJ99" s="78"/>
      <c r="AK99" s="78"/>
      <c r="AL99" s="78"/>
      <c r="AM99" s="78"/>
      <c r="AN99" s="78"/>
      <c r="AO99" s="78"/>
      <c r="AP99" s="71"/>
      <c r="AQ99" s="71"/>
      <c r="AR99" s="78"/>
      <c r="AS99" s="71"/>
      <c r="AT99" s="78"/>
      <c r="AU99" s="78"/>
      <c r="AV99" s="78"/>
      <c r="AW99" s="78"/>
      <c r="AX99" s="71"/>
      <c r="AY99" s="71"/>
    </row>
    <row r="100" ht="16.5" customHeight="1">
      <c r="A100" s="71"/>
      <c r="B100" s="78"/>
      <c r="C100" s="78"/>
      <c r="D100" s="78"/>
      <c r="E100" s="78"/>
      <c r="F100" s="73"/>
      <c r="G100" s="73"/>
      <c r="H100" s="78"/>
      <c r="I100" s="71"/>
      <c r="J100" s="78"/>
      <c r="K100" s="78"/>
      <c r="L100" s="78"/>
      <c r="M100" s="78"/>
      <c r="N100" s="78"/>
      <c r="O100" s="78"/>
      <c r="P100" s="78"/>
      <c r="Q100" s="78"/>
      <c r="R100" s="78"/>
      <c r="S100" s="78"/>
      <c r="T100" s="71"/>
      <c r="U100" s="71"/>
      <c r="V100" s="78"/>
      <c r="W100" s="78"/>
      <c r="X100" s="78"/>
      <c r="Y100" s="78"/>
      <c r="Z100" s="73"/>
      <c r="AA100" s="73" t="str">
        <f>IF(Z100=0,"",AVERAGEIFS(data_num!B:B, data_num!D:D, Y100, data_num!K:K, 1))
</f>
        <v/>
      </c>
      <c r="AB100" s="77" t="str">
        <f>IF(Z100=0,"",AVERAGEIFS(data_num!C:C, data_num!D:D, Y100, data_num!K:K, 1))
</f>
        <v/>
      </c>
      <c r="AC100" s="72" t="str">
        <f>IF(Z99=0,"",SUMIFS(data_num!L:L, data_num!D:D, Y99, data_num!K:K, 1)/Z99)
</f>
        <v/>
      </c>
      <c r="AD100" s="73" t="str">
        <f>IF(Z99=0,"",SUMIFS(data_num!L:L, data_num!D:D, Y99, data_num!K:K, 1)/Z99)
</f>
        <v/>
      </c>
      <c r="AE100" s="78"/>
      <c r="AF100" s="71"/>
      <c r="AG100" s="75"/>
      <c r="AH100" s="78"/>
      <c r="AI100" s="71"/>
      <c r="AJ100" s="78"/>
      <c r="AK100" s="78"/>
      <c r="AL100" s="78"/>
      <c r="AM100" s="78"/>
      <c r="AN100" s="78"/>
      <c r="AO100" s="78"/>
      <c r="AP100" s="71"/>
      <c r="AQ100" s="71"/>
      <c r="AR100" s="78"/>
      <c r="AS100" s="71"/>
      <c r="AT100" s="78"/>
      <c r="AU100" s="78"/>
      <c r="AV100" s="78"/>
      <c r="AW100" s="78"/>
      <c r="AX100" s="71"/>
      <c r="AY100" s="71"/>
    </row>
    <row r="101" ht="16.5" customHeight="1">
      <c r="A101" s="71"/>
      <c r="B101" s="78"/>
      <c r="C101" s="78"/>
      <c r="D101" s="78"/>
      <c r="E101" s="78"/>
      <c r="F101" s="73"/>
      <c r="G101" s="73"/>
      <c r="H101" s="78"/>
      <c r="I101" s="71"/>
      <c r="J101" s="78"/>
      <c r="K101" s="78"/>
      <c r="L101" s="78"/>
      <c r="M101" s="78"/>
      <c r="N101" s="78"/>
      <c r="O101" s="78"/>
      <c r="P101" s="78"/>
      <c r="Q101" s="78"/>
      <c r="R101" s="78"/>
      <c r="S101" s="78"/>
      <c r="T101" s="71"/>
      <c r="U101" s="71"/>
      <c r="V101" s="78"/>
      <c r="W101" s="78"/>
      <c r="X101" s="78"/>
      <c r="Y101" s="78"/>
      <c r="Z101" s="73"/>
      <c r="AA101" s="73" t="str">
        <f>IF(Z101=0,"",AVERAGEIFS(data_num!B:B, data_num!D:D, Y101, data_num!K:K, 1))
</f>
        <v/>
      </c>
      <c r="AB101" s="77" t="str">
        <f>IF(Z101=0,"",AVERAGEIFS(data_num!C:C, data_num!D:D, Y101, data_num!K:K, 1))
</f>
        <v/>
      </c>
      <c r="AC101" s="72" t="str">
        <f>IF(Z100=0,"",SUMIFS(data_num!L:L, data_num!D:D, Y100, data_num!K:K, 1)/Z100)
</f>
        <v/>
      </c>
      <c r="AD101" s="73" t="str">
        <f>IF(Z100=0,"",SUMIFS(data_num!L:L, data_num!D:D, Y100, data_num!K:K, 1)/Z100)
</f>
        <v/>
      </c>
      <c r="AE101" s="78"/>
      <c r="AF101" s="71"/>
      <c r="AG101" s="75"/>
      <c r="AH101" s="78"/>
      <c r="AI101" s="71"/>
      <c r="AJ101" s="78"/>
      <c r="AK101" s="78"/>
      <c r="AL101" s="78"/>
      <c r="AM101" s="78"/>
      <c r="AN101" s="78"/>
      <c r="AO101" s="78"/>
      <c r="AP101" s="71"/>
      <c r="AQ101" s="71"/>
      <c r="AR101" s="78"/>
      <c r="AS101" s="71"/>
      <c r="AT101" s="78"/>
      <c r="AU101" s="78"/>
      <c r="AV101" s="78"/>
      <c r="AW101" s="78"/>
      <c r="AX101" s="71"/>
      <c r="AY101" s="71"/>
    </row>
    <row r="102" ht="16.5" customHeight="1">
      <c r="A102" s="71"/>
      <c r="B102" s="78"/>
      <c r="C102" s="78"/>
      <c r="D102" s="78"/>
      <c r="E102" s="78"/>
      <c r="F102" s="73"/>
      <c r="G102" s="73"/>
      <c r="H102" s="78"/>
      <c r="I102" s="71"/>
      <c r="J102" s="78"/>
      <c r="K102" s="78"/>
      <c r="L102" s="78"/>
      <c r="M102" s="78"/>
      <c r="N102" s="78"/>
      <c r="O102" s="78"/>
      <c r="P102" s="78"/>
      <c r="Q102" s="78"/>
      <c r="R102" s="78"/>
      <c r="S102" s="78"/>
      <c r="T102" s="71"/>
      <c r="U102" s="71"/>
      <c r="V102" s="78"/>
      <c r="W102" s="78"/>
      <c r="X102" s="78"/>
      <c r="Y102" s="78"/>
      <c r="Z102" s="73"/>
      <c r="AA102" s="73" t="str">
        <f>IF(Z102=0,"",AVERAGEIFS(data_num!B:B, data_num!D:D, Y102, data_num!K:K, 1))
</f>
        <v/>
      </c>
      <c r="AB102" s="77" t="str">
        <f>IF(Z102=0,"",AVERAGEIFS(data_num!C:C, data_num!D:D, Y102, data_num!K:K, 1))
</f>
        <v/>
      </c>
      <c r="AC102" s="72" t="str">
        <f>IF(Z101=0,"",SUMIFS(data_num!L:L, data_num!D:D, Y101, data_num!K:K, 1)/Z101)
</f>
        <v/>
      </c>
      <c r="AD102" s="73" t="str">
        <f>IF(Z101=0,"",SUMIFS(data_num!L:L, data_num!D:D, Y101, data_num!K:K, 1)/Z101)
</f>
        <v/>
      </c>
      <c r="AE102" s="78"/>
      <c r="AF102" s="71"/>
      <c r="AG102" s="75"/>
      <c r="AH102" s="78"/>
      <c r="AI102" s="71"/>
      <c r="AJ102" s="78"/>
      <c r="AK102" s="78"/>
      <c r="AL102" s="78"/>
      <c r="AM102" s="78"/>
      <c r="AN102" s="78"/>
      <c r="AO102" s="78"/>
      <c r="AP102" s="71"/>
      <c r="AQ102" s="71"/>
      <c r="AR102" s="78"/>
      <c r="AS102" s="71"/>
      <c r="AT102" s="78"/>
      <c r="AU102" s="78"/>
      <c r="AV102" s="78"/>
      <c r="AW102" s="78"/>
      <c r="AX102" s="71"/>
      <c r="AY102" s="71"/>
    </row>
    <row r="103" ht="16.5" customHeight="1">
      <c r="A103" s="71"/>
      <c r="B103" s="78"/>
      <c r="C103" s="78"/>
      <c r="D103" s="78"/>
      <c r="E103" s="78"/>
      <c r="F103" s="73"/>
      <c r="G103" s="73"/>
      <c r="H103" s="78"/>
      <c r="I103" s="71"/>
      <c r="J103" s="78"/>
      <c r="K103" s="78"/>
      <c r="L103" s="78"/>
      <c r="M103" s="78"/>
      <c r="N103" s="78"/>
      <c r="O103" s="78"/>
      <c r="P103" s="78"/>
      <c r="Q103" s="78"/>
      <c r="R103" s="78"/>
      <c r="S103" s="78"/>
      <c r="T103" s="71"/>
      <c r="U103" s="71"/>
      <c r="V103" s="78"/>
      <c r="W103" s="78"/>
      <c r="X103" s="78"/>
      <c r="Y103" s="78"/>
      <c r="Z103" s="73"/>
      <c r="AA103" s="73" t="str">
        <f>IF(Z103=0,"",AVERAGEIFS(data_num!B:B, data_num!D:D, Y103, data_num!K:K, 1))
</f>
        <v/>
      </c>
      <c r="AB103" s="77" t="str">
        <f>IF(Z103=0,"",AVERAGEIFS(data_num!C:C, data_num!D:D, Y103, data_num!K:K, 1))
</f>
        <v/>
      </c>
      <c r="AC103" s="72" t="str">
        <f>IF(Z102=0,"",SUMIFS(data_num!L:L, data_num!D:D, Y102, data_num!K:K, 1)/Z102)
</f>
        <v/>
      </c>
      <c r="AD103" s="73" t="str">
        <f>IF(Z102=0,"",SUMIFS(data_num!L:L, data_num!D:D, Y102, data_num!K:K, 1)/Z102)
</f>
        <v/>
      </c>
      <c r="AE103" s="78"/>
      <c r="AF103" s="71"/>
      <c r="AG103" s="75"/>
      <c r="AH103" s="78"/>
      <c r="AI103" s="71"/>
      <c r="AJ103" s="78"/>
      <c r="AK103" s="78"/>
      <c r="AL103" s="78"/>
      <c r="AM103" s="78"/>
      <c r="AN103" s="78"/>
      <c r="AO103" s="78"/>
      <c r="AP103" s="71"/>
      <c r="AQ103" s="71"/>
      <c r="AR103" s="78"/>
      <c r="AS103" s="71"/>
      <c r="AT103" s="78"/>
      <c r="AU103" s="78"/>
      <c r="AV103" s="78"/>
      <c r="AW103" s="78"/>
      <c r="AX103" s="71"/>
      <c r="AY103" s="71"/>
    </row>
    <row r="104" ht="16.5" customHeight="1">
      <c r="A104" s="71"/>
      <c r="B104" s="78"/>
      <c r="C104" s="78"/>
      <c r="D104" s="78"/>
      <c r="E104" s="78"/>
      <c r="F104" s="73"/>
      <c r="G104" s="73"/>
      <c r="H104" s="78"/>
      <c r="I104" s="71"/>
      <c r="J104" s="78"/>
      <c r="K104" s="78"/>
      <c r="L104" s="78"/>
      <c r="M104" s="78"/>
      <c r="N104" s="78"/>
      <c r="O104" s="78"/>
      <c r="P104" s="78"/>
      <c r="Q104" s="78"/>
      <c r="R104" s="78"/>
      <c r="S104" s="78"/>
      <c r="T104" s="71"/>
      <c r="U104" s="71"/>
      <c r="V104" s="78"/>
      <c r="W104" s="78"/>
      <c r="X104" s="78"/>
      <c r="Y104" s="78"/>
      <c r="Z104" s="73"/>
      <c r="AA104" s="73" t="str">
        <f>IF(Z104=0,"",AVERAGEIFS(data_num!B:B, data_num!D:D, Y104, data_num!K:K, 1))
</f>
        <v/>
      </c>
      <c r="AB104" s="77" t="str">
        <f>IF(Z104=0,"",AVERAGEIFS(data_num!C:C, data_num!D:D, Y104, data_num!K:K, 1))
</f>
        <v/>
      </c>
      <c r="AC104" s="72" t="str">
        <f>IF(Z103=0,"",SUMIFS(data_num!L:L, data_num!D:D, Y103, data_num!K:K, 1)/Z103)
</f>
        <v/>
      </c>
      <c r="AD104" s="73" t="str">
        <f>IF(Z103=0,"",SUMIFS(data_num!L:L, data_num!D:D, Y103, data_num!K:K, 1)/Z103)
</f>
        <v/>
      </c>
      <c r="AE104" s="78"/>
      <c r="AF104" s="71"/>
      <c r="AG104" s="75"/>
      <c r="AH104" s="78"/>
      <c r="AI104" s="71"/>
      <c r="AJ104" s="78"/>
      <c r="AK104" s="78"/>
      <c r="AL104" s="78"/>
      <c r="AM104" s="78"/>
      <c r="AN104" s="78"/>
      <c r="AO104" s="78"/>
      <c r="AP104" s="71"/>
      <c r="AQ104" s="71"/>
      <c r="AR104" s="78"/>
      <c r="AS104" s="71"/>
      <c r="AT104" s="78"/>
      <c r="AU104" s="78"/>
      <c r="AV104" s="78"/>
      <c r="AW104" s="78"/>
      <c r="AX104" s="71"/>
      <c r="AY104" s="71"/>
    </row>
    <row r="105" ht="16.5" customHeight="1">
      <c r="A105" s="71"/>
      <c r="B105" s="78"/>
      <c r="C105" s="78"/>
      <c r="D105" s="78"/>
      <c r="E105" s="78"/>
      <c r="F105" s="73"/>
      <c r="G105" s="73"/>
      <c r="H105" s="78"/>
      <c r="I105" s="71"/>
      <c r="J105" s="78"/>
      <c r="K105" s="78"/>
      <c r="L105" s="78"/>
      <c r="M105" s="78"/>
      <c r="N105" s="78"/>
      <c r="O105" s="78"/>
      <c r="P105" s="78"/>
      <c r="Q105" s="78"/>
      <c r="R105" s="78"/>
      <c r="S105" s="78"/>
      <c r="T105" s="71"/>
      <c r="U105" s="71"/>
      <c r="V105" s="78"/>
      <c r="W105" s="78"/>
      <c r="X105" s="78"/>
      <c r="Y105" s="78"/>
      <c r="Z105" s="73"/>
      <c r="AA105" s="73" t="str">
        <f>IF(Z105=0,"",AVERAGEIFS(data_num!B:B, data_num!D:D, Y105, data_num!K:K, 1))
</f>
        <v/>
      </c>
      <c r="AB105" s="77" t="str">
        <f>IF(Z105=0,"",AVERAGEIFS(data_num!C:C, data_num!D:D, Y105, data_num!K:K, 1))
</f>
        <v/>
      </c>
      <c r="AC105" s="72" t="str">
        <f>IF(Z104=0,"",SUMIFS(data_num!L:L, data_num!D:D, Y104, data_num!K:K, 1)/Z104)
</f>
        <v/>
      </c>
      <c r="AD105" s="73" t="str">
        <f>IF(Z104=0,"",SUMIFS(data_num!L:L, data_num!D:D, Y104, data_num!K:K, 1)/Z104)
</f>
        <v/>
      </c>
      <c r="AE105" s="78"/>
      <c r="AF105" s="71"/>
      <c r="AG105" s="75"/>
      <c r="AH105" s="78"/>
      <c r="AI105" s="71"/>
      <c r="AJ105" s="78"/>
      <c r="AK105" s="78"/>
      <c r="AL105" s="78"/>
      <c r="AM105" s="78"/>
      <c r="AN105" s="78"/>
      <c r="AO105" s="78"/>
      <c r="AP105" s="71"/>
      <c r="AQ105" s="71"/>
      <c r="AR105" s="78"/>
      <c r="AS105" s="71"/>
      <c r="AT105" s="78"/>
      <c r="AU105" s="78"/>
      <c r="AV105" s="78"/>
      <c r="AW105" s="78"/>
      <c r="AX105" s="71"/>
      <c r="AY105" s="71"/>
    </row>
    <row r="106" ht="16.5" customHeight="1">
      <c r="A106" s="71"/>
      <c r="B106" s="78"/>
      <c r="C106" s="78"/>
      <c r="D106" s="78"/>
      <c r="E106" s="78"/>
      <c r="F106" s="73"/>
      <c r="G106" s="73"/>
      <c r="H106" s="78"/>
      <c r="I106" s="71"/>
      <c r="J106" s="78"/>
      <c r="K106" s="78"/>
      <c r="L106" s="78"/>
      <c r="M106" s="78"/>
      <c r="N106" s="78"/>
      <c r="O106" s="78"/>
      <c r="P106" s="78"/>
      <c r="Q106" s="78"/>
      <c r="R106" s="78"/>
      <c r="S106" s="78"/>
      <c r="T106" s="71"/>
      <c r="U106" s="71"/>
      <c r="V106" s="78"/>
      <c r="W106" s="78"/>
      <c r="X106" s="78"/>
      <c r="Y106" s="78"/>
      <c r="Z106" s="73"/>
      <c r="AA106" s="73" t="str">
        <f>IF(Z106=0,"",AVERAGEIFS(data_num!B:B, data_num!D:D, Y106, data_num!K:K, 1))
</f>
        <v/>
      </c>
      <c r="AB106" s="77" t="str">
        <f>IF(Z106=0,"",AVERAGEIFS(data_num!C:C, data_num!D:D, Y106, data_num!K:K, 1))
</f>
        <v/>
      </c>
      <c r="AC106" s="72" t="str">
        <f>IF(Z105=0,"",SUMIFS(data_num!L:L, data_num!D:D, Y105, data_num!K:K, 1)/Z105)
</f>
        <v/>
      </c>
      <c r="AD106" s="73" t="str">
        <f>IF(Z105=0,"",SUMIFS(data_num!L:L, data_num!D:D, Y105, data_num!K:K, 1)/Z105)
</f>
        <v/>
      </c>
      <c r="AE106" s="78"/>
      <c r="AF106" s="71"/>
      <c r="AG106" s="75"/>
      <c r="AH106" s="78"/>
      <c r="AI106" s="71"/>
      <c r="AJ106" s="78"/>
      <c r="AK106" s="78"/>
      <c r="AL106" s="78"/>
      <c r="AM106" s="78"/>
      <c r="AN106" s="78"/>
      <c r="AO106" s="78"/>
      <c r="AP106" s="71"/>
      <c r="AQ106" s="71"/>
      <c r="AR106" s="78"/>
      <c r="AS106" s="71"/>
      <c r="AT106" s="78"/>
      <c r="AU106" s="78"/>
      <c r="AV106" s="78"/>
      <c r="AW106" s="78"/>
      <c r="AX106" s="71"/>
      <c r="AY106" s="71"/>
    </row>
    <row r="107" ht="16.5" customHeight="1">
      <c r="A107" s="71"/>
      <c r="B107" s="78"/>
      <c r="C107" s="78"/>
      <c r="D107" s="78"/>
      <c r="E107" s="78"/>
      <c r="F107" s="73"/>
      <c r="G107" s="73"/>
      <c r="H107" s="78"/>
      <c r="I107" s="71"/>
      <c r="J107" s="78"/>
      <c r="K107" s="78"/>
      <c r="L107" s="78"/>
      <c r="M107" s="78"/>
      <c r="N107" s="78"/>
      <c r="O107" s="78"/>
      <c r="P107" s="78"/>
      <c r="Q107" s="78"/>
      <c r="R107" s="78"/>
      <c r="S107" s="78"/>
      <c r="T107" s="71"/>
      <c r="U107" s="71"/>
      <c r="V107" s="78"/>
      <c r="W107" s="78"/>
      <c r="X107" s="78"/>
      <c r="Y107" s="78"/>
      <c r="Z107" s="73"/>
      <c r="AA107" s="73" t="str">
        <f>IF(Z107=0,"",AVERAGEIFS(data_num!B:B, data_num!D:D, Y107, data_num!K:K, 1))
</f>
        <v/>
      </c>
      <c r="AB107" s="77" t="str">
        <f>IF(Z107=0,"",AVERAGEIFS(data_num!C:C, data_num!D:D, Y107, data_num!K:K, 1))
</f>
        <v/>
      </c>
      <c r="AC107" s="72" t="str">
        <f>IF(Z106=0,"",SUMIFS(data_num!L:L, data_num!D:D, Y106, data_num!K:K, 1)/Z106)
</f>
        <v/>
      </c>
      <c r="AD107" s="73" t="str">
        <f>IF(Z106=0,"",SUMIFS(data_num!L:L, data_num!D:D, Y106, data_num!K:K, 1)/Z106)
</f>
        <v/>
      </c>
      <c r="AE107" s="78"/>
      <c r="AF107" s="71"/>
      <c r="AG107" s="75"/>
      <c r="AH107" s="78"/>
      <c r="AI107" s="71"/>
      <c r="AJ107" s="78"/>
      <c r="AK107" s="78"/>
      <c r="AL107" s="78"/>
      <c r="AM107" s="78"/>
      <c r="AN107" s="78"/>
      <c r="AO107" s="78"/>
      <c r="AP107" s="71"/>
      <c r="AQ107" s="71"/>
      <c r="AR107" s="78"/>
      <c r="AS107" s="71"/>
      <c r="AT107" s="78"/>
      <c r="AU107" s="78"/>
      <c r="AV107" s="78"/>
      <c r="AW107" s="78"/>
      <c r="AX107" s="71"/>
      <c r="AY107" s="71"/>
    </row>
    <row r="108" ht="16.5" customHeight="1">
      <c r="A108" s="71"/>
      <c r="B108" s="78"/>
      <c r="C108" s="78"/>
      <c r="D108" s="78"/>
      <c r="E108" s="78"/>
      <c r="F108" s="73"/>
      <c r="G108" s="73"/>
      <c r="H108" s="78"/>
      <c r="I108" s="71"/>
      <c r="J108" s="78"/>
      <c r="K108" s="78"/>
      <c r="L108" s="78"/>
      <c r="M108" s="78"/>
      <c r="N108" s="78"/>
      <c r="O108" s="78"/>
      <c r="P108" s="78"/>
      <c r="Q108" s="78"/>
      <c r="R108" s="78"/>
      <c r="S108" s="78"/>
      <c r="T108" s="71"/>
      <c r="U108" s="71"/>
      <c r="V108" s="78"/>
      <c r="W108" s="78"/>
      <c r="X108" s="78"/>
      <c r="Y108" s="78"/>
      <c r="Z108" s="73"/>
      <c r="AA108" s="73" t="str">
        <f>IF(Z108=0,"",AVERAGEIFS(data_num!B:B, data_num!D:D, Y108, data_num!K:K, 1))
</f>
        <v/>
      </c>
      <c r="AB108" s="77" t="str">
        <f>IF(Z108=0,"",AVERAGEIFS(data_num!C:C, data_num!D:D, Y108, data_num!K:K, 1))
</f>
        <v/>
      </c>
      <c r="AC108" s="72" t="str">
        <f>IF(Z107=0,"",SUMIFS(data_num!L:L, data_num!D:D, Y107, data_num!K:K, 1)/Z107)
</f>
        <v/>
      </c>
      <c r="AD108" s="73" t="str">
        <f>IF(Z107=0,"",SUMIFS(data_num!L:L, data_num!D:D, Y107, data_num!K:K, 1)/Z107)
</f>
        <v/>
      </c>
      <c r="AE108" s="78"/>
      <c r="AF108" s="71"/>
      <c r="AG108" s="75"/>
      <c r="AH108" s="78"/>
      <c r="AI108" s="71"/>
      <c r="AJ108" s="78"/>
      <c r="AK108" s="78"/>
      <c r="AL108" s="78"/>
      <c r="AM108" s="78"/>
      <c r="AN108" s="78"/>
      <c r="AO108" s="78"/>
      <c r="AP108" s="71"/>
      <c r="AQ108" s="71"/>
      <c r="AR108" s="78"/>
      <c r="AS108" s="71"/>
      <c r="AT108" s="78"/>
      <c r="AU108" s="78"/>
      <c r="AV108" s="78"/>
      <c r="AW108" s="78"/>
      <c r="AX108" s="71"/>
      <c r="AY108" s="71"/>
    </row>
    <row r="109" ht="16.5" customHeight="1">
      <c r="A109" s="71"/>
      <c r="B109" s="78"/>
      <c r="C109" s="78"/>
      <c r="D109" s="78"/>
      <c r="E109" s="78"/>
      <c r="F109" s="73"/>
      <c r="G109" s="73"/>
      <c r="H109" s="78"/>
      <c r="I109" s="71"/>
      <c r="J109" s="78"/>
      <c r="K109" s="78"/>
      <c r="L109" s="78"/>
      <c r="M109" s="78"/>
      <c r="N109" s="78"/>
      <c r="O109" s="78"/>
      <c r="P109" s="78"/>
      <c r="Q109" s="78"/>
      <c r="R109" s="78"/>
      <c r="S109" s="78"/>
      <c r="T109" s="71"/>
      <c r="U109" s="71"/>
      <c r="V109" s="78"/>
      <c r="W109" s="78"/>
      <c r="X109" s="78"/>
      <c r="Y109" s="78"/>
      <c r="Z109" s="73"/>
      <c r="AA109" s="73" t="str">
        <f>IF(Z109=0,"",AVERAGEIFS(data_num!B:B, data_num!D:D, Y109, data_num!K:K, 1))
</f>
        <v/>
      </c>
      <c r="AB109" s="77" t="str">
        <f>IF(Z109=0,"",AVERAGEIFS(data_num!C:C, data_num!D:D, Y109, data_num!K:K, 1))
</f>
        <v/>
      </c>
      <c r="AC109" s="72" t="str">
        <f>IF(Z108=0,"",SUMIFS(data_num!L:L, data_num!D:D, Y108, data_num!K:K, 1)/Z108)
</f>
        <v/>
      </c>
      <c r="AD109" s="73" t="str">
        <f>IF(Z108=0,"",SUMIFS(data_num!L:L, data_num!D:D, Y108, data_num!K:K, 1)/Z108)
</f>
        <v/>
      </c>
      <c r="AE109" s="78"/>
      <c r="AF109" s="71"/>
      <c r="AG109" s="75"/>
      <c r="AH109" s="78"/>
      <c r="AI109" s="71"/>
      <c r="AJ109" s="78"/>
      <c r="AK109" s="78"/>
      <c r="AL109" s="78"/>
      <c r="AM109" s="78"/>
      <c r="AN109" s="78"/>
      <c r="AO109" s="78"/>
      <c r="AP109" s="71"/>
      <c r="AQ109" s="71"/>
      <c r="AR109" s="78"/>
      <c r="AS109" s="71"/>
      <c r="AT109" s="78"/>
      <c r="AU109" s="78"/>
      <c r="AV109" s="78"/>
      <c r="AW109" s="78"/>
      <c r="AX109" s="71"/>
      <c r="AY109" s="71"/>
    </row>
    <row r="110" ht="16.5" customHeight="1">
      <c r="A110" s="71"/>
      <c r="B110" s="78"/>
      <c r="C110" s="78"/>
      <c r="D110" s="78"/>
      <c r="E110" s="78"/>
      <c r="F110" s="73"/>
      <c r="G110" s="73"/>
      <c r="H110" s="78"/>
      <c r="I110" s="71"/>
      <c r="J110" s="78"/>
      <c r="K110" s="78"/>
      <c r="L110" s="78"/>
      <c r="M110" s="78"/>
      <c r="N110" s="78"/>
      <c r="O110" s="78"/>
      <c r="P110" s="78"/>
      <c r="Q110" s="78"/>
      <c r="R110" s="78"/>
      <c r="S110" s="78"/>
      <c r="T110" s="71"/>
      <c r="U110" s="71"/>
      <c r="V110" s="78"/>
      <c r="W110" s="78"/>
      <c r="X110" s="78"/>
      <c r="Y110" s="78"/>
      <c r="Z110" s="73"/>
      <c r="AA110" s="73" t="str">
        <f>IF(Z110=0,"",AVERAGEIFS(data_num!B:B, data_num!D:D, Y110, data_num!K:K, 1))
</f>
        <v/>
      </c>
      <c r="AB110" s="77" t="str">
        <f>IF(Z110=0,"",AVERAGEIFS(data_num!C:C, data_num!D:D, Y110, data_num!K:K, 1))
</f>
        <v/>
      </c>
      <c r="AC110" s="72" t="str">
        <f>IF(Z109=0,"",SUMIFS(data_num!L:L, data_num!D:D, Y109, data_num!K:K, 1)/Z109)
</f>
        <v/>
      </c>
      <c r="AD110" s="73" t="str">
        <f>IF(Z109=0,"",SUMIFS(data_num!L:L, data_num!D:D, Y109, data_num!K:K, 1)/Z109)
</f>
        <v/>
      </c>
      <c r="AE110" s="78"/>
      <c r="AF110" s="71"/>
      <c r="AG110" s="75"/>
      <c r="AH110" s="78"/>
      <c r="AI110" s="71"/>
      <c r="AJ110" s="78"/>
      <c r="AK110" s="78"/>
      <c r="AL110" s="78"/>
      <c r="AM110" s="78"/>
      <c r="AN110" s="78"/>
      <c r="AO110" s="78"/>
      <c r="AP110" s="71"/>
      <c r="AQ110" s="71"/>
      <c r="AR110" s="78"/>
      <c r="AS110" s="71"/>
      <c r="AT110" s="78"/>
      <c r="AU110" s="78"/>
      <c r="AV110" s="78"/>
      <c r="AW110" s="78"/>
      <c r="AX110" s="71"/>
      <c r="AY110" s="71"/>
    </row>
    <row r="111" ht="16.5" customHeight="1">
      <c r="A111" s="71"/>
      <c r="B111" s="78"/>
      <c r="C111" s="78"/>
      <c r="D111" s="78"/>
      <c r="E111" s="78"/>
      <c r="F111" s="73"/>
      <c r="G111" s="73"/>
      <c r="H111" s="78"/>
      <c r="I111" s="71"/>
      <c r="J111" s="78"/>
      <c r="K111" s="78"/>
      <c r="L111" s="78"/>
      <c r="M111" s="78"/>
      <c r="N111" s="78"/>
      <c r="O111" s="78"/>
      <c r="P111" s="78"/>
      <c r="Q111" s="78"/>
      <c r="R111" s="78"/>
      <c r="S111" s="78"/>
      <c r="T111" s="71"/>
      <c r="U111" s="71"/>
      <c r="V111" s="78"/>
      <c r="W111" s="78"/>
      <c r="X111" s="78"/>
      <c r="Y111" s="78"/>
      <c r="Z111" s="73"/>
      <c r="AA111" s="73" t="str">
        <f>IF(Z111=0,"",AVERAGEIFS(data_num!B:B, data_num!D:D, Y111, data_num!K:K, 1))
</f>
        <v/>
      </c>
      <c r="AB111" s="77" t="str">
        <f>IF(Z111=0,"",AVERAGEIFS(data_num!C:C, data_num!D:D, Y111, data_num!K:K, 1))
</f>
        <v/>
      </c>
      <c r="AC111" s="72" t="str">
        <f>IF(Z110=0,"",SUMIFS(data_num!L:L, data_num!D:D, Y110, data_num!K:K, 1)/Z110)
</f>
        <v/>
      </c>
      <c r="AD111" s="73" t="str">
        <f>IF(Z110=0,"",SUMIFS(data_num!L:L, data_num!D:D, Y110, data_num!K:K, 1)/Z110)
</f>
        <v/>
      </c>
      <c r="AE111" s="78"/>
      <c r="AF111" s="71"/>
      <c r="AG111" s="75"/>
      <c r="AH111" s="78"/>
      <c r="AI111" s="71"/>
      <c r="AJ111" s="78"/>
      <c r="AK111" s="78"/>
      <c r="AL111" s="78"/>
      <c r="AM111" s="78"/>
      <c r="AN111" s="78"/>
      <c r="AO111" s="78"/>
      <c r="AP111" s="71"/>
      <c r="AQ111" s="71"/>
      <c r="AR111" s="78"/>
      <c r="AS111" s="71"/>
      <c r="AT111" s="78"/>
      <c r="AU111" s="78"/>
      <c r="AV111" s="78"/>
      <c r="AW111" s="78"/>
      <c r="AX111" s="71"/>
      <c r="AY111" s="71"/>
    </row>
    <row r="112" ht="16.5" customHeight="1">
      <c r="A112" s="71"/>
      <c r="B112" s="78"/>
      <c r="C112" s="78"/>
      <c r="D112" s="78"/>
      <c r="E112" s="78"/>
      <c r="F112" s="73"/>
      <c r="G112" s="73"/>
      <c r="H112" s="78"/>
      <c r="I112" s="71"/>
      <c r="J112" s="78"/>
      <c r="K112" s="78"/>
      <c r="L112" s="78"/>
      <c r="M112" s="78"/>
      <c r="N112" s="78"/>
      <c r="O112" s="78"/>
      <c r="P112" s="78"/>
      <c r="Q112" s="78"/>
      <c r="R112" s="78"/>
      <c r="S112" s="78"/>
      <c r="T112" s="71"/>
      <c r="U112" s="71"/>
      <c r="V112" s="78"/>
      <c r="W112" s="78"/>
      <c r="X112" s="78"/>
      <c r="Y112" s="78"/>
      <c r="Z112" s="73"/>
      <c r="AA112" s="73" t="str">
        <f>IF(Z112=0,"",AVERAGEIFS(data_num!B:B, data_num!D:D, Y112, data_num!K:K, 1))
</f>
        <v/>
      </c>
      <c r="AB112" s="77" t="str">
        <f>IF(Z112=0,"",AVERAGEIFS(data_num!C:C, data_num!D:D, Y112, data_num!K:K, 1))
</f>
        <v/>
      </c>
      <c r="AC112" s="72" t="str">
        <f>IF(Z111=0,"",SUMIFS(data_num!L:L, data_num!D:D, Y111, data_num!K:K, 1)/Z111)
</f>
        <v/>
      </c>
      <c r="AD112" s="73" t="str">
        <f>IF(Z111=0,"",SUMIFS(data_num!L:L, data_num!D:D, Y111, data_num!K:K, 1)/Z111)
</f>
        <v/>
      </c>
      <c r="AE112" s="78"/>
      <c r="AF112" s="71"/>
      <c r="AG112" s="75"/>
      <c r="AH112" s="78"/>
      <c r="AI112" s="71"/>
      <c r="AJ112" s="78"/>
      <c r="AK112" s="78"/>
      <c r="AL112" s="78"/>
      <c r="AM112" s="78"/>
      <c r="AN112" s="78"/>
      <c r="AO112" s="78"/>
      <c r="AP112" s="71"/>
      <c r="AQ112" s="71"/>
      <c r="AR112" s="78"/>
      <c r="AS112" s="71"/>
      <c r="AT112" s="78"/>
      <c r="AU112" s="78"/>
      <c r="AV112" s="78"/>
      <c r="AW112" s="78"/>
      <c r="AX112" s="71"/>
      <c r="AY112" s="71"/>
    </row>
    <row r="113" ht="16.5" customHeight="1">
      <c r="A113" s="71"/>
      <c r="B113" s="78"/>
      <c r="C113" s="78"/>
      <c r="D113" s="78"/>
      <c r="E113" s="78"/>
      <c r="F113" s="73"/>
      <c r="G113" s="73"/>
      <c r="H113" s="78"/>
      <c r="I113" s="71"/>
      <c r="J113" s="78"/>
      <c r="K113" s="78"/>
      <c r="L113" s="78"/>
      <c r="M113" s="78"/>
      <c r="N113" s="78"/>
      <c r="O113" s="78"/>
      <c r="P113" s="78"/>
      <c r="Q113" s="78"/>
      <c r="R113" s="78"/>
      <c r="S113" s="78"/>
      <c r="T113" s="71"/>
      <c r="U113" s="71"/>
      <c r="V113" s="78"/>
      <c r="W113" s="78"/>
      <c r="X113" s="78"/>
      <c r="Y113" s="78"/>
      <c r="Z113" s="73"/>
      <c r="AA113" s="73" t="str">
        <f>IF(Z113=0,"",AVERAGEIFS(data_num!B:B, data_num!D:D, Y113, data_num!K:K, 1))
</f>
        <v/>
      </c>
      <c r="AB113" s="77" t="str">
        <f>IF(Z113=0,"",AVERAGEIFS(data_num!C:C, data_num!D:D, Y113, data_num!K:K, 1))
</f>
        <v/>
      </c>
      <c r="AC113" s="72" t="str">
        <f>IF(Z112=0,"",SUMIFS(data_num!L:L, data_num!D:D, Y112, data_num!K:K, 1)/Z112)
</f>
        <v/>
      </c>
      <c r="AD113" s="73" t="str">
        <f>IF(Z112=0,"",SUMIFS(data_num!L:L, data_num!D:D, Y112, data_num!K:K, 1)/Z112)
</f>
        <v/>
      </c>
      <c r="AE113" s="78"/>
      <c r="AF113" s="71"/>
      <c r="AG113" s="75"/>
      <c r="AH113" s="78"/>
      <c r="AI113" s="71"/>
      <c r="AJ113" s="78"/>
      <c r="AK113" s="78"/>
      <c r="AL113" s="78"/>
      <c r="AM113" s="78"/>
      <c r="AN113" s="78"/>
      <c r="AO113" s="78"/>
      <c r="AP113" s="71"/>
      <c r="AQ113" s="71"/>
      <c r="AR113" s="78"/>
      <c r="AS113" s="71"/>
      <c r="AT113" s="78"/>
      <c r="AU113" s="78"/>
      <c r="AV113" s="78"/>
      <c r="AW113" s="78"/>
      <c r="AX113" s="71"/>
      <c r="AY113" s="71"/>
    </row>
    <row r="114" ht="16.5" customHeight="1">
      <c r="A114" s="71"/>
      <c r="B114" s="78"/>
      <c r="C114" s="78"/>
      <c r="D114" s="78"/>
      <c r="E114" s="78"/>
      <c r="F114" s="73"/>
      <c r="G114" s="73"/>
      <c r="H114" s="78"/>
      <c r="I114" s="71"/>
      <c r="J114" s="78"/>
      <c r="K114" s="78"/>
      <c r="L114" s="78"/>
      <c r="M114" s="78"/>
      <c r="N114" s="78"/>
      <c r="O114" s="78"/>
      <c r="P114" s="78"/>
      <c r="Q114" s="78"/>
      <c r="R114" s="78"/>
      <c r="S114" s="78"/>
      <c r="T114" s="71"/>
      <c r="U114" s="71"/>
      <c r="V114" s="78"/>
      <c r="W114" s="78"/>
      <c r="X114" s="78"/>
      <c r="Y114" s="78"/>
      <c r="Z114" s="73"/>
      <c r="AA114" s="73" t="str">
        <f>IF(Z114=0,"",AVERAGEIFS(data_num!B:B, data_num!D:D, Y114, data_num!K:K, 1))
</f>
        <v/>
      </c>
      <c r="AB114" s="77" t="str">
        <f>IF(Z114=0,"",AVERAGEIFS(data_num!C:C, data_num!D:D, Y114, data_num!K:K, 1))
</f>
        <v/>
      </c>
      <c r="AC114" s="72" t="str">
        <f>IF(Z113=0,"",SUMIFS(data_num!L:L, data_num!D:D, Y113, data_num!K:K, 1)/Z113)
</f>
        <v/>
      </c>
      <c r="AD114" s="73" t="str">
        <f>IF(Z113=0,"",SUMIFS(data_num!L:L, data_num!D:D, Y113, data_num!K:K, 1)/Z113)
</f>
        <v/>
      </c>
      <c r="AE114" s="78"/>
      <c r="AF114" s="71"/>
      <c r="AG114" s="75"/>
      <c r="AH114" s="78"/>
      <c r="AI114" s="71"/>
      <c r="AJ114" s="78"/>
      <c r="AK114" s="78"/>
      <c r="AL114" s="78"/>
      <c r="AM114" s="78"/>
      <c r="AN114" s="78"/>
      <c r="AO114" s="78"/>
      <c r="AP114" s="71"/>
      <c r="AQ114" s="71"/>
      <c r="AR114" s="78"/>
      <c r="AS114" s="71"/>
      <c r="AT114" s="78"/>
      <c r="AU114" s="78"/>
      <c r="AV114" s="78"/>
      <c r="AW114" s="78"/>
      <c r="AX114" s="71"/>
      <c r="AY114" s="71"/>
    </row>
    <row r="115" ht="16.5" customHeight="1">
      <c r="A115" s="71"/>
      <c r="B115" s="78"/>
      <c r="C115" s="78"/>
      <c r="D115" s="78"/>
      <c r="E115" s="78"/>
      <c r="F115" s="73"/>
      <c r="G115" s="73"/>
      <c r="H115" s="78"/>
      <c r="I115" s="71"/>
      <c r="J115" s="78"/>
      <c r="K115" s="78"/>
      <c r="L115" s="78"/>
      <c r="M115" s="78"/>
      <c r="N115" s="78"/>
      <c r="O115" s="78"/>
      <c r="P115" s="78"/>
      <c r="Q115" s="78"/>
      <c r="R115" s="78"/>
      <c r="S115" s="78"/>
      <c r="T115" s="71"/>
      <c r="U115" s="71"/>
      <c r="V115" s="78"/>
      <c r="W115" s="78"/>
      <c r="X115" s="78"/>
      <c r="Y115" s="78"/>
      <c r="Z115" s="73"/>
      <c r="AA115" s="73" t="str">
        <f>IF(Z115=0,"",AVERAGEIFS(data_num!B:B, data_num!D:D, Y115, data_num!K:K, 1))
</f>
        <v/>
      </c>
      <c r="AB115" s="77" t="str">
        <f>IF(Z115=0,"",AVERAGEIFS(data_num!C:C, data_num!D:D, Y115, data_num!K:K, 1))
</f>
        <v/>
      </c>
      <c r="AC115" s="72" t="str">
        <f>IF(Z114=0,"",SUMIFS(data_num!L:L, data_num!D:D, Y114, data_num!K:K, 1)/Z114)
</f>
        <v/>
      </c>
      <c r="AD115" s="73" t="str">
        <f>IF(Z114=0,"",SUMIFS(data_num!L:L, data_num!D:D, Y114, data_num!K:K, 1)/Z114)
</f>
        <v/>
      </c>
      <c r="AE115" s="78"/>
      <c r="AF115" s="71"/>
      <c r="AG115" s="75"/>
      <c r="AH115" s="78"/>
      <c r="AI115" s="71"/>
      <c r="AJ115" s="78"/>
      <c r="AK115" s="78"/>
      <c r="AL115" s="78"/>
      <c r="AM115" s="78"/>
      <c r="AN115" s="78"/>
      <c r="AO115" s="78"/>
      <c r="AP115" s="71"/>
      <c r="AQ115" s="71"/>
      <c r="AR115" s="78"/>
      <c r="AS115" s="71"/>
      <c r="AT115" s="78"/>
      <c r="AU115" s="78"/>
      <c r="AV115" s="78"/>
      <c r="AW115" s="78"/>
      <c r="AX115" s="71"/>
      <c r="AY115" s="71"/>
    </row>
    <row r="116" ht="16.5" customHeight="1">
      <c r="A116" s="71"/>
      <c r="B116" s="78"/>
      <c r="C116" s="78"/>
      <c r="D116" s="78"/>
      <c r="E116" s="78"/>
      <c r="F116" s="73"/>
      <c r="G116" s="73"/>
      <c r="H116" s="78"/>
      <c r="I116" s="71"/>
      <c r="J116" s="78"/>
      <c r="K116" s="78"/>
      <c r="L116" s="78"/>
      <c r="M116" s="78"/>
      <c r="N116" s="78"/>
      <c r="O116" s="78"/>
      <c r="P116" s="78"/>
      <c r="Q116" s="78"/>
      <c r="R116" s="78"/>
      <c r="S116" s="78"/>
      <c r="T116" s="71"/>
      <c r="U116" s="71"/>
      <c r="V116" s="78"/>
      <c r="W116" s="78"/>
      <c r="X116" s="78"/>
      <c r="Y116" s="78"/>
      <c r="Z116" s="73"/>
      <c r="AA116" s="73" t="str">
        <f>IF(Z116=0,"",AVERAGEIFS(data_num!B:B, data_num!D:D, Y116, data_num!K:K, 1))
</f>
        <v/>
      </c>
      <c r="AB116" s="77" t="str">
        <f>IF(Z116=0,"",AVERAGEIFS(data_num!C:C, data_num!D:D, Y116, data_num!K:K, 1))
</f>
        <v/>
      </c>
      <c r="AC116" s="72" t="str">
        <f>IF(Z115=0,"",SUMIFS(data_num!L:L, data_num!D:D, Y115, data_num!K:K, 1)/Z115)
</f>
        <v/>
      </c>
      <c r="AD116" s="73" t="str">
        <f>IF(Z115=0,"",SUMIFS(data_num!L:L, data_num!D:D, Y115, data_num!K:K, 1)/Z115)
</f>
        <v/>
      </c>
      <c r="AE116" s="78"/>
      <c r="AF116" s="71"/>
      <c r="AG116" s="75"/>
      <c r="AH116" s="78"/>
      <c r="AI116" s="71"/>
      <c r="AJ116" s="78"/>
      <c r="AK116" s="78"/>
      <c r="AL116" s="78"/>
      <c r="AM116" s="78"/>
      <c r="AN116" s="78"/>
      <c r="AO116" s="78"/>
      <c r="AP116" s="71"/>
      <c r="AQ116" s="71"/>
      <c r="AR116" s="78"/>
      <c r="AS116" s="71"/>
      <c r="AT116" s="78"/>
      <c r="AU116" s="78"/>
      <c r="AV116" s="78"/>
      <c r="AW116" s="78"/>
      <c r="AX116" s="71"/>
      <c r="AY116" s="71"/>
    </row>
    <row r="117" ht="16.5" customHeight="1">
      <c r="A117" s="71"/>
      <c r="B117" s="78"/>
      <c r="C117" s="78"/>
      <c r="D117" s="78"/>
      <c r="E117" s="78"/>
      <c r="F117" s="78"/>
      <c r="G117" s="78"/>
      <c r="H117" s="78"/>
      <c r="I117" s="71"/>
      <c r="J117" s="78"/>
      <c r="K117" s="78"/>
      <c r="L117" s="78"/>
      <c r="M117" s="78"/>
      <c r="N117" s="78"/>
      <c r="O117" s="78"/>
      <c r="P117" s="78"/>
      <c r="Q117" s="78"/>
      <c r="R117" s="78"/>
      <c r="S117" s="78"/>
      <c r="T117" s="71"/>
      <c r="U117" s="71"/>
      <c r="V117" s="78"/>
      <c r="W117" s="78"/>
      <c r="X117" s="78"/>
      <c r="Y117" s="78"/>
      <c r="Z117" s="73"/>
      <c r="AA117" s="73" t="str">
        <f>IF(Z117=0,"",AVERAGEIFS(data_num!B:B, data_num!D:D, Y117, data_num!K:K, 1))
</f>
        <v/>
      </c>
      <c r="AB117" s="77" t="str">
        <f>IF(Z117=0,"",AVERAGEIFS(data_num!C:C, data_num!D:D, Y117, data_num!K:K, 1))
</f>
        <v/>
      </c>
      <c r="AC117" s="72" t="str">
        <f>IF(Z116=0,"",SUMIFS(data_num!L:L, data_num!D:D, Y116, data_num!K:K, 1)/Z116)
</f>
        <v/>
      </c>
      <c r="AD117" s="73" t="str">
        <f>IF(Z116=0,"",SUMIFS(data_num!L:L, data_num!D:D, Y116, data_num!K:K, 1)/Z116)
</f>
        <v/>
      </c>
      <c r="AE117" s="78"/>
      <c r="AF117" s="71"/>
      <c r="AG117" s="75"/>
      <c r="AH117" s="78"/>
      <c r="AI117" s="71"/>
      <c r="AJ117" s="78"/>
      <c r="AK117" s="78"/>
      <c r="AL117" s="78"/>
      <c r="AM117" s="78"/>
      <c r="AN117" s="78"/>
      <c r="AO117" s="78"/>
      <c r="AP117" s="71"/>
      <c r="AQ117" s="71"/>
      <c r="AR117" s="78"/>
      <c r="AS117" s="71"/>
      <c r="AT117" s="78"/>
      <c r="AU117" s="78"/>
      <c r="AV117" s="78"/>
      <c r="AW117" s="78"/>
      <c r="AX117" s="71"/>
      <c r="AY117" s="71"/>
    </row>
    <row r="118" ht="16.5" customHeight="1">
      <c r="A118" s="71"/>
      <c r="B118" s="78"/>
      <c r="C118" s="78"/>
      <c r="D118" s="78"/>
      <c r="E118" s="78"/>
      <c r="F118" s="78"/>
      <c r="G118" s="78"/>
      <c r="H118" s="78"/>
      <c r="I118" s="71"/>
      <c r="J118" s="78"/>
      <c r="K118" s="78"/>
      <c r="L118" s="78"/>
      <c r="M118" s="78"/>
      <c r="N118" s="78"/>
      <c r="O118" s="78"/>
      <c r="P118" s="78"/>
      <c r="Q118" s="78"/>
      <c r="R118" s="78"/>
      <c r="S118" s="78"/>
      <c r="T118" s="71"/>
      <c r="U118" s="71"/>
      <c r="V118" s="78"/>
      <c r="W118" s="78"/>
      <c r="X118" s="78"/>
      <c r="Y118" s="78"/>
      <c r="Z118" s="73"/>
      <c r="AA118" s="73" t="str">
        <f>IF(Z118=0,"",AVERAGEIFS(data_num!B:B, data_num!D:D, Y118, data_num!K:K, 1))
</f>
        <v/>
      </c>
      <c r="AB118" s="77" t="str">
        <f>IF(Z118=0,"",AVERAGEIFS(data_num!C:C, data_num!D:D, Y118, data_num!K:K, 1))
</f>
        <v/>
      </c>
      <c r="AC118" s="72" t="str">
        <f>IF(Z117=0,"",SUMIFS(data_num!L:L, data_num!D:D, Y117, data_num!K:K, 1)/Z117)
</f>
        <v/>
      </c>
      <c r="AD118" s="73" t="str">
        <f>IF(Z117=0,"",SUMIFS(data_num!L:L, data_num!D:D, Y117, data_num!K:K, 1)/Z117)
</f>
        <v/>
      </c>
      <c r="AE118" s="78"/>
      <c r="AF118" s="71"/>
      <c r="AG118" s="75"/>
      <c r="AH118" s="78"/>
      <c r="AI118" s="71"/>
      <c r="AJ118" s="78"/>
      <c r="AK118" s="78"/>
      <c r="AL118" s="78"/>
      <c r="AM118" s="78"/>
      <c r="AN118" s="78"/>
      <c r="AO118" s="78"/>
      <c r="AP118" s="71"/>
      <c r="AQ118" s="71"/>
      <c r="AR118" s="78"/>
      <c r="AS118" s="71"/>
      <c r="AT118" s="78"/>
      <c r="AU118" s="78"/>
      <c r="AV118" s="78"/>
      <c r="AW118" s="78"/>
      <c r="AX118" s="71"/>
      <c r="AY118" s="71"/>
    </row>
    <row r="119" ht="16.5" customHeight="1">
      <c r="A119" s="71"/>
      <c r="B119" s="78"/>
      <c r="C119" s="78"/>
      <c r="D119" s="78"/>
      <c r="E119" s="78"/>
      <c r="F119" s="78"/>
      <c r="G119" s="78"/>
      <c r="H119" s="78"/>
      <c r="I119" s="71"/>
      <c r="J119" s="78"/>
      <c r="K119" s="78"/>
      <c r="L119" s="78"/>
      <c r="M119" s="78"/>
      <c r="N119" s="78"/>
      <c r="O119" s="78"/>
      <c r="P119" s="78"/>
      <c r="Q119" s="78"/>
      <c r="R119" s="78"/>
      <c r="S119" s="78"/>
      <c r="T119" s="71"/>
      <c r="U119" s="71"/>
      <c r="V119" s="78"/>
      <c r="W119" s="78"/>
      <c r="X119" s="78"/>
      <c r="Y119" s="78"/>
      <c r="Z119" s="73"/>
      <c r="AA119" s="73" t="str">
        <f>IF(Z119=0,"",AVERAGEIFS(data_num!B:B, data_num!D:D, Y119, data_num!K:K, 1))
</f>
        <v/>
      </c>
      <c r="AB119" s="77" t="str">
        <f>IF(Z119=0,"",AVERAGEIFS(data_num!C:C, data_num!D:D, Y119, data_num!K:K, 1))
</f>
        <v/>
      </c>
      <c r="AC119" s="72" t="str">
        <f>IF(Z118=0,"",SUMIFS(data_num!L:L, data_num!D:D, Y118, data_num!K:K, 1)/Z118)
</f>
        <v/>
      </c>
      <c r="AD119" s="73" t="str">
        <f>IF(Z118=0,"",SUMIFS(data_num!L:L, data_num!D:D, Y118, data_num!K:K, 1)/Z118)
</f>
        <v/>
      </c>
      <c r="AE119" s="78"/>
      <c r="AF119" s="71"/>
      <c r="AG119" s="75"/>
      <c r="AH119" s="78"/>
      <c r="AI119" s="71"/>
      <c r="AJ119" s="78"/>
      <c r="AK119" s="78"/>
      <c r="AL119" s="78"/>
      <c r="AM119" s="78"/>
      <c r="AN119" s="78"/>
      <c r="AO119" s="78"/>
      <c r="AP119" s="71"/>
      <c r="AQ119" s="71"/>
      <c r="AR119" s="78"/>
      <c r="AS119" s="71"/>
      <c r="AT119" s="78"/>
      <c r="AU119" s="78"/>
      <c r="AV119" s="78"/>
      <c r="AW119" s="78"/>
      <c r="AX119" s="71"/>
      <c r="AY119" s="71"/>
    </row>
    <row r="120" ht="16.5" customHeight="1">
      <c r="A120" s="71"/>
      <c r="B120" s="78"/>
      <c r="C120" s="78"/>
      <c r="D120" s="78"/>
      <c r="E120" s="78"/>
      <c r="F120" s="78"/>
      <c r="G120" s="78"/>
      <c r="H120" s="78"/>
      <c r="I120" s="71"/>
      <c r="J120" s="78"/>
      <c r="K120" s="78"/>
      <c r="L120" s="78"/>
      <c r="M120" s="78"/>
      <c r="N120" s="78"/>
      <c r="O120" s="78"/>
      <c r="P120" s="78"/>
      <c r="Q120" s="78"/>
      <c r="R120" s="78"/>
      <c r="S120" s="78"/>
      <c r="T120" s="71"/>
      <c r="U120" s="71"/>
      <c r="V120" s="78"/>
      <c r="W120" s="78"/>
      <c r="X120" s="78"/>
      <c r="Y120" s="78"/>
      <c r="Z120" s="73"/>
      <c r="AA120" s="73" t="str">
        <f>IF(Z120=0,"",AVERAGEIFS(data_num!B:B, data_num!D:D, Y120, data_num!K:K, 1))
</f>
        <v/>
      </c>
      <c r="AB120" s="77" t="str">
        <f>IF(Z120=0,"",AVERAGEIFS(data_num!C:C, data_num!D:D, Y120, data_num!K:K, 1))
</f>
        <v/>
      </c>
      <c r="AC120" s="72" t="str">
        <f>IF(Z119=0,"",SUMIFS(data_num!L:L, data_num!D:D, Y119, data_num!K:K, 1)/Z119)
</f>
        <v/>
      </c>
      <c r="AD120" s="73" t="str">
        <f>IF(Z119=0,"",SUMIFS(data_num!L:L, data_num!D:D, Y119, data_num!K:K, 1)/Z119)
</f>
        <v/>
      </c>
      <c r="AE120" s="78"/>
      <c r="AF120" s="71"/>
      <c r="AG120" s="75"/>
      <c r="AH120" s="78"/>
      <c r="AI120" s="71"/>
      <c r="AJ120" s="78"/>
      <c r="AK120" s="78"/>
      <c r="AL120" s="78"/>
      <c r="AM120" s="78"/>
      <c r="AN120" s="78"/>
      <c r="AO120" s="78"/>
      <c r="AP120" s="71"/>
      <c r="AQ120" s="71"/>
      <c r="AR120" s="78"/>
      <c r="AS120" s="71"/>
      <c r="AT120" s="78"/>
      <c r="AU120" s="78"/>
      <c r="AV120" s="78"/>
      <c r="AW120" s="78"/>
      <c r="AX120" s="71"/>
      <c r="AY120" s="71"/>
    </row>
    <row r="121" ht="16.5" customHeight="1">
      <c r="A121" s="71"/>
      <c r="B121" s="78"/>
      <c r="C121" s="78"/>
      <c r="D121" s="78"/>
      <c r="E121" s="78"/>
      <c r="F121" s="78"/>
      <c r="G121" s="78"/>
      <c r="H121" s="78"/>
      <c r="I121" s="71"/>
      <c r="J121" s="78"/>
      <c r="K121" s="78"/>
      <c r="L121" s="78"/>
      <c r="M121" s="78"/>
      <c r="N121" s="78"/>
      <c r="O121" s="78"/>
      <c r="P121" s="78"/>
      <c r="Q121" s="78"/>
      <c r="R121" s="78"/>
      <c r="S121" s="78"/>
      <c r="T121" s="71"/>
      <c r="U121" s="71"/>
      <c r="V121" s="78"/>
      <c r="W121" s="78"/>
      <c r="X121" s="78"/>
      <c r="Y121" s="78"/>
      <c r="Z121" s="73"/>
      <c r="AA121" s="73" t="str">
        <f>IF(Z121=0,"",AVERAGEIFS(data_num!B:B, data_num!D:D, Y121, data_num!K:K, 1))
</f>
        <v/>
      </c>
      <c r="AB121" s="77" t="str">
        <f>IF(Z121=0,"",AVERAGEIFS(data_num!C:C, data_num!D:D, Y121, data_num!K:K, 1))
</f>
        <v/>
      </c>
      <c r="AC121" s="72" t="str">
        <f>IF(Z120=0,"",SUMIFS(data_num!L:L, data_num!D:D, Y120, data_num!K:K, 1)/Z120)
</f>
        <v/>
      </c>
      <c r="AD121" s="73" t="str">
        <f>IF(Z120=0,"",SUMIFS(data_num!L:L, data_num!D:D, Y120, data_num!K:K, 1)/Z120)
</f>
        <v/>
      </c>
      <c r="AE121" s="78"/>
      <c r="AF121" s="71"/>
      <c r="AG121" s="75"/>
      <c r="AH121" s="78"/>
      <c r="AI121" s="71"/>
      <c r="AJ121" s="78"/>
      <c r="AK121" s="78"/>
      <c r="AL121" s="78"/>
      <c r="AM121" s="78"/>
      <c r="AN121" s="78"/>
      <c r="AO121" s="78"/>
      <c r="AP121" s="71"/>
      <c r="AQ121" s="71"/>
      <c r="AR121" s="78"/>
      <c r="AS121" s="71"/>
      <c r="AT121" s="78"/>
      <c r="AU121" s="78"/>
      <c r="AV121" s="78"/>
      <c r="AW121" s="78"/>
      <c r="AX121" s="71"/>
      <c r="AY121" s="71"/>
    </row>
    <row r="122" ht="16.5" customHeight="1">
      <c r="A122" s="71"/>
      <c r="B122" s="78"/>
      <c r="C122" s="78"/>
      <c r="D122" s="78"/>
      <c r="E122" s="78"/>
      <c r="F122" s="78"/>
      <c r="G122" s="78"/>
      <c r="H122" s="78"/>
      <c r="I122" s="71"/>
      <c r="J122" s="78"/>
      <c r="K122" s="78"/>
      <c r="L122" s="78"/>
      <c r="M122" s="78"/>
      <c r="N122" s="78"/>
      <c r="O122" s="78"/>
      <c r="P122" s="78"/>
      <c r="Q122" s="78"/>
      <c r="R122" s="78"/>
      <c r="S122" s="78"/>
      <c r="T122" s="71"/>
      <c r="U122" s="71"/>
      <c r="V122" s="78"/>
      <c r="W122" s="78"/>
      <c r="X122" s="78"/>
      <c r="Y122" s="78"/>
      <c r="Z122" s="73"/>
      <c r="AA122" s="73" t="str">
        <f>IF(Z122=0,"",AVERAGEIFS(data_num!B:B, data_num!D:D, Y122, data_num!K:K, 1))
</f>
        <v/>
      </c>
      <c r="AB122" s="77" t="str">
        <f>IF(Z122=0,"",AVERAGEIFS(data_num!C:C, data_num!D:D, Y122, data_num!K:K, 1))
</f>
        <v/>
      </c>
      <c r="AC122" s="72" t="str">
        <f>IF(Z121=0,"",SUMIFS(data_num!L:L, data_num!D:D, Y121, data_num!K:K, 1)/Z121)
</f>
        <v/>
      </c>
      <c r="AD122" s="73" t="str">
        <f>IF(Z121=0,"",SUMIFS(data_num!L:L, data_num!D:D, Y121, data_num!K:K, 1)/Z121)
</f>
        <v/>
      </c>
      <c r="AE122" s="78"/>
      <c r="AF122" s="71"/>
      <c r="AG122" s="75"/>
      <c r="AH122" s="78"/>
      <c r="AI122" s="71"/>
      <c r="AJ122" s="78"/>
      <c r="AK122" s="78"/>
      <c r="AL122" s="78"/>
      <c r="AM122" s="78"/>
      <c r="AN122" s="78"/>
      <c r="AO122" s="78"/>
      <c r="AP122" s="71"/>
      <c r="AQ122" s="71"/>
      <c r="AR122" s="78"/>
      <c r="AS122" s="71"/>
      <c r="AT122" s="78"/>
      <c r="AU122" s="78"/>
      <c r="AV122" s="78"/>
      <c r="AW122" s="78"/>
      <c r="AX122" s="71"/>
      <c r="AY122" s="71"/>
    </row>
    <row r="123" ht="16.5" customHeight="1">
      <c r="A123" s="71"/>
      <c r="B123" s="78"/>
      <c r="C123" s="78"/>
      <c r="D123" s="78"/>
      <c r="E123" s="78"/>
      <c r="F123" s="78"/>
      <c r="G123" s="78"/>
      <c r="H123" s="78"/>
      <c r="I123" s="71"/>
      <c r="J123" s="78"/>
      <c r="K123" s="78"/>
      <c r="L123" s="78"/>
      <c r="M123" s="78"/>
      <c r="N123" s="78"/>
      <c r="O123" s="78"/>
      <c r="P123" s="78"/>
      <c r="Q123" s="78"/>
      <c r="R123" s="78"/>
      <c r="S123" s="78"/>
      <c r="T123" s="71"/>
      <c r="U123" s="71"/>
      <c r="V123" s="78"/>
      <c r="W123" s="78"/>
      <c r="X123" s="78"/>
      <c r="Y123" s="78"/>
      <c r="Z123" s="73"/>
      <c r="AA123" s="73" t="str">
        <f>IF(Z123=0,"",AVERAGEIFS(data_num!B:B, data_num!D:D, Y123, data_num!K:K, 1))
</f>
        <v/>
      </c>
      <c r="AB123" s="77" t="str">
        <f>IF(Z123=0,"",AVERAGEIFS(data_num!C:C, data_num!D:D, Y123, data_num!K:K, 1))
</f>
        <v/>
      </c>
      <c r="AC123" s="72" t="str">
        <f>IF(Z122=0,"",SUMIFS(data_num!L:L, data_num!D:D, Y122, data_num!K:K, 1)/Z122)
</f>
        <v/>
      </c>
      <c r="AD123" s="73" t="str">
        <f>IF(Z122=0,"",SUMIFS(data_num!L:L, data_num!D:D, Y122, data_num!K:K, 1)/Z122)
</f>
        <v/>
      </c>
      <c r="AE123" s="78"/>
      <c r="AF123" s="71"/>
      <c r="AG123" s="75"/>
      <c r="AH123" s="78"/>
      <c r="AI123" s="71"/>
      <c r="AJ123" s="78"/>
      <c r="AK123" s="78"/>
      <c r="AL123" s="78"/>
      <c r="AM123" s="78"/>
      <c r="AN123" s="78"/>
      <c r="AO123" s="78"/>
      <c r="AP123" s="71"/>
      <c r="AQ123" s="71"/>
      <c r="AR123" s="78"/>
      <c r="AS123" s="71"/>
      <c r="AT123" s="78"/>
      <c r="AU123" s="78"/>
      <c r="AV123" s="78"/>
      <c r="AW123" s="78"/>
      <c r="AX123" s="71"/>
      <c r="AY123" s="71"/>
    </row>
    <row r="124" ht="16.5" customHeight="1">
      <c r="A124" s="71"/>
      <c r="B124" s="78"/>
      <c r="C124" s="78"/>
      <c r="D124" s="78"/>
      <c r="E124" s="78"/>
      <c r="F124" s="78"/>
      <c r="G124" s="78"/>
      <c r="H124" s="78"/>
      <c r="I124" s="71"/>
      <c r="J124" s="78"/>
      <c r="K124" s="78"/>
      <c r="L124" s="78"/>
      <c r="M124" s="78"/>
      <c r="N124" s="78"/>
      <c r="O124" s="78"/>
      <c r="P124" s="78"/>
      <c r="Q124" s="78"/>
      <c r="R124" s="78"/>
      <c r="S124" s="78"/>
      <c r="T124" s="71"/>
      <c r="U124" s="71"/>
      <c r="V124" s="78"/>
      <c r="W124" s="78"/>
      <c r="X124" s="78"/>
      <c r="Y124" s="78"/>
      <c r="Z124" s="73"/>
      <c r="AA124" s="73" t="str">
        <f>IF(Z124=0,"",AVERAGEIFS(data_num!B:B, data_num!D:D, Y124, data_num!K:K, 1))
</f>
        <v/>
      </c>
      <c r="AB124" s="77" t="str">
        <f>IF(Z124=0,"",AVERAGEIFS(data_num!C:C, data_num!D:D, Y124, data_num!K:K, 1))
</f>
        <v/>
      </c>
      <c r="AC124" s="72" t="str">
        <f>IF(Z123=0,"",SUMIFS(data_num!L:L, data_num!D:D, Y123, data_num!K:K, 1)/Z123)
</f>
        <v/>
      </c>
      <c r="AD124" s="73" t="str">
        <f>IF(Z123=0,"",SUMIFS(data_num!L:L, data_num!D:D, Y123, data_num!K:K, 1)/Z123)
</f>
        <v/>
      </c>
      <c r="AE124" s="78"/>
      <c r="AF124" s="71"/>
      <c r="AG124" s="75"/>
      <c r="AH124" s="78"/>
      <c r="AI124" s="71"/>
      <c r="AJ124" s="78"/>
      <c r="AK124" s="78"/>
      <c r="AL124" s="78"/>
      <c r="AM124" s="78"/>
      <c r="AN124" s="78"/>
      <c r="AO124" s="78"/>
      <c r="AP124" s="71"/>
      <c r="AQ124" s="71"/>
      <c r="AR124" s="78"/>
      <c r="AS124" s="71"/>
      <c r="AT124" s="78"/>
      <c r="AU124" s="78"/>
      <c r="AV124" s="78"/>
      <c r="AW124" s="78"/>
      <c r="AX124" s="71"/>
      <c r="AY124" s="71"/>
    </row>
    <row r="125" ht="16.5" customHeight="1">
      <c r="A125" s="71"/>
      <c r="B125" s="78"/>
      <c r="C125" s="78"/>
      <c r="D125" s="78"/>
      <c r="E125" s="78"/>
      <c r="F125" s="78"/>
      <c r="G125" s="78"/>
      <c r="H125" s="78"/>
      <c r="I125" s="71"/>
      <c r="J125" s="78"/>
      <c r="K125" s="78"/>
      <c r="L125" s="78"/>
      <c r="M125" s="78"/>
      <c r="N125" s="78"/>
      <c r="O125" s="78"/>
      <c r="P125" s="78"/>
      <c r="Q125" s="78"/>
      <c r="R125" s="78"/>
      <c r="S125" s="78"/>
      <c r="T125" s="71"/>
      <c r="U125" s="71"/>
      <c r="V125" s="78"/>
      <c r="W125" s="78"/>
      <c r="X125" s="78"/>
      <c r="Y125" s="78"/>
      <c r="Z125" s="73"/>
      <c r="AA125" s="73" t="str">
        <f>IF(Z125=0,"",AVERAGEIFS(data_num!B:B, data_num!D:D, Y125, data_num!K:K, 1))
</f>
        <v/>
      </c>
      <c r="AB125" s="77" t="str">
        <f>IF(Z125=0,"",AVERAGEIFS(data_num!C:C, data_num!D:D, Y125, data_num!K:K, 1))
</f>
        <v/>
      </c>
      <c r="AC125" s="72" t="str">
        <f>IF(Z124=0,"",SUMIFS(data_num!L:L, data_num!D:D, Y124, data_num!K:K, 1)/Z124)
</f>
        <v/>
      </c>
      <c r="AD125" s="73" t="str">
        <f>IF(Z124=0,"",SUMIFS(data_num!L:L, data_num!D:D, Y124, data_num!K:K, 1)/Z124)
</f>
        <v/>
      </c>
      <c r="AE125" s="78"/>
      <c r="AF125" s="71"/>
      <c r="AG125" s="75"/>
      <c r="AH125" s="78"/>
      <c r="AI125" s="71"/>
      <c r="AJ125" s="78"/>
      <c r="AK125" s="78"/>
      <c r="AL125" s="78"/>
      <c r="AM125" s="78"/>
      <c r="AN125" s="78"/>
      <c r="AO125" s="78"/>
      <c r="AP125" s="71"/>
      <c r="AQ125" s="71"/>
      <c r="AR125" s="78"/>
      <c r="AS125" s="71"/>
      <c r="AT125" s="78"/>
      <c r="AU125" s="78"/>
      <c r="AV125" s="78"/>
      <c r="AW125" s="78"/>
      <c r="AX125" s="71"/>
      <c r="AY125" s="71"/>
    </row>
    <row r="126" ht="16.5" customHeight="1">
      <c r="A126" s="71"/>
      <c r="B126" s="78"/>
      <c r="C126" s="78"/>
      <c r="D126" s="78"/>
      <c r="E126" s="78"/>
      <c r="F126" s="78"/>
      <c r="G126" s="78"/>
      <c r="H126" s="78"/>
      <c r="I126" s="71"/>
      <c r="J126" s="78"/>
      <c r="K126" s="78"/>
      <c r="L126" s="78"/>
      <c r="M126" s="78"/>
      <c r="N126" s="78"/>
      <c r="O126" s="78"/>
      <c r="P126" s="78"/>
      <c r="Q126" s="78"/>
      <c r="R126" s="78"/>
      <c r="S126" s="78"/>
      <c r="T126" s="71"/>
      <c r="U126" s="71"/>
      <c r="V126" s="78"/>
      <c r="W126" s="78"/>
      <c r="X126" s="78"/>
      <c r="Y126" s="78"/>
      <c r="Z126" s="73"/>
      <c r="AA126" s="73" t="str">
        <f>IF(Z126=0,"",AVERAGEIFS(data_num!B:B, data_num!D:D, Y126, data_num!K:K, 1))
</f>
        <v/>
      </c>
      <c r="AB126" s="77" t="str">
        <f>IF(Z126=0,"",AVERAGEIFS(data_num!C:C, data_num!D:D, Y126, data_num!K:K, 1))
</f>
        <v/>
      </c>
      <c r="AC126" s="72" t="str">
        <f>IF(Z125=0,"",SUMIFS(data_num!L:L, data_num!D:D, Y125, data_num!K:K, 1)/Z125)
</f>
        <v/>
      </c>
      <c r="AD126" s="73" t="str">
        <f>IF(Z125=0,"",SUMIFS(data_num!L:L, data_num!D:D, Y125, data_num!K:K, 1)/Z125)
</f>
        <v/>
      </c>
      <c r="AE126" s="78"/>
      <c r="AF126" s="71"/>
      <c r="AG126" s="75"/>
      <c r="AH126" s="78"/>
      <c r="AI126" s="71"/>
      <c r="AJ126" s="78"/>
      <c r="AK126" s="78"/>
      <c r="AL126" s="78"/>
      <c r="AM126" s="78"/>
      <c r="AN126" s="78"/>
      <c r="AO126" s="78"/>
      <c r="AP126" s="71"/>
      <c r="AQ126" s="71"/>
      <c r="AR126" s="78"/>
      <c r="AS126" s="71"/>
      <c r="AT126" s="78"/>
      <c r="AU126" s="78"/>
      <c r="AV126" s="78"/>
      <c r="AW126" s="78"/>
      <c r="AX126" s="71"/>
      <c r="AY126" s="71"/>
    </row>
    <row r="127" ht="16.5" customHeight="1">
      <c r="A127" s="71"/>
      <c r="B127" s="78"/>
      <c r="C127" s="78"/>
      <c r="D127" s="78"/>
      <c r="E127" s="78"/>
      <c r="F127" s="78"/>
      <c r="G127" s="78"/>
      <c r="H127" s="78"/>
      <c r="I127" s="71"/>
      <c r="J127" s="78"/>
      <c r="K127" s="78"/>
      <c r="L127" s="78"/>
      <c r="M127" s="78"/>
      <c r="N127" s="78"/>
      <c r="O127" s="78"/>
      <c r="P127" s="78"/>
      <c r="Q127" s="78"/>
      <c r="R127" s="78"/>
      <c r="S127" s="78"/>
      <c r="T127" s="71"/>
      <c r="U127" s="71"/>
      <c r="V127" s="78"/>
      <c r="W127" s="78"/>
      <c r="X127" s="78"/>
      <c r="Y127" s="78"/>
      <c r="Z127" s="73"/>
      <c r="AA127" s="73" t="str">
        <f>IF(Z127=0,"",AVERAGEIFS(data_num!B:B, data_num!D:D, Y127, data_num!K:K, 1))
</f>
        <v/>
      </c>
      <c r="AB127" s="77" t="str">
        <f>IF(Z127=0,"",AVERAGEIFS(data_num!C:C, data_num!D:D, Y127, data_num!K:K, 1))
</f>
        <v/>
      </c>
      <c r="AC127" s="72" t="str">
        <f>IF(Z126=0,"",SUMIFS(data_num!L:L, data_num!D:D, Y126, data_num!K:K, 1)/Z126)
</f>
        <v/>
      </c>
      <c r="AD127" s="73" t="str">
        <f>IF(Z126=0,"",SUMIFS(data_num!L:L, data_num!D:D, Y126, data_num!K:K, 1)/Z126)
</f>
        <v/>
      </c>
      <c r="AE127" s="78"/>
      <c r="AF127" s="71"/>
      <c r="AG127" s="75"/>
      <c r="AH127" s="78"/>
      <c r="AI127" s="71"/>
      <c r="AJ127" s="78"/>
      <c r="AK127" s="78"/>
      <c r="AL127" s="78"/>
      <c r="AM127" s="78"/>
      <c r="AN127" s="78"/>
      <c r="AO127" s="78"/>
      <c r="AP127" s="71"/>
      <c r="AQ127" s="71"/>
      <c r="AR127" s="78"/>
      <c r="AS127" s="71"/>
      <c r="AT127" s="78"/>
      <c r="AU127" s="78"/>
      <c r="AV127" s="78"/>
      <c r="AW127" s="78"/>
      <c r="AX127" s="71"/>
      <c r="AY127" s="71"/>
    </row>
    <row r="128" ht="16.5" customHeight="1">
      <c r="A128" s="71"/>
      <c r="B128" s="78"/>
      <c r="C128" s="78"/>
      <c r="D128" s="78"/>
      <c r="E128" s="78"/>
      <c r="F128" s="78"/>
      <c r="G128" s="78"/>
      <c r="H128" s="78"/>
      <c r="I128" s="71"/>
      <c r="J128" s="78"/>
      <c r="K128" s="78"/>
      <c r="L128" s="78"/>
      <c r="M128" s="78"/>
      <c r="N128" s="78"/>
      <c r="O128" s="78"/>
      <c r="P128" s="78"/>
      <c r="Q128" s="78"/>
      <c r="R128" s="78"/>
      <c r="S128" s="78"/>
      <c r="T128" s="71"/>
      <c r="U128" s="71"/>
      <c r="V128" s="78"/>
      <c r="W128" s="78"/>
      <c r="X128" s="78"/>
      <c r="Y128" s="78"/>
      <c r="Z128" s="73"/>
      <c r="AA128" s="73" t="str">
        <f>IF(Z128=0,"",AVERAGEIFS(data_num!B:B, data_num!D:D, Y128, data_num!K:K, 1))
</f>
        <v/>
      </c>
      <c r="AB128" s="77" t="str">
        <f>IF(Z128=0,"",AVERAGEIFS(data_num!C:C, data_num!D:D, Y128, data_num!K:K, 1))
</f>
        <v/>
      </c>
      <c r="AC128" s="72" t="str">
        <f>IF(Z127=0,"",SUMIFS(data_num!L:L, data_num!D:D, Y127, data_num!K:K, 1)/Z127)
</f>
        <v/>
      </c>
      <c r="AD128" s="73" t="str">
        <f>IF(Z127=0,"",SUMIFS(data_num!L:L, data_num!D:D, Y127, data_num!K:K, 1)/Z127)
</f>
        <v/>
      </c>
      <c r="AE128" s="78"/>
      <c r="AF128" s="71"/>
      <c r="AG128" s="75"/>
      <c r="AH128" s="78"/>
      <c r="AI128" s="71"/>
      <c r="AJ128" s="78"/>
      <c r="AK128" s="78"/>
      <c r="AL128" s="78"/>
      <c r="AM128" s="78"/>
      <c r="AN128" s="78"/>
      <c r="AO128" s="78"/>
      <c r="AP128" s="71"/>
      <c r="AQ128" s="71"/>
      <c r="AR128" s="78"/>
      <c r="AS128" s="71"/>
      <c r="AT128" s="78"/>
      <c r="AU128" s="78"/>
      <c r="AV128" s="78"/>
      <c r="AW128" s="78"/>
      <c r="AX128" s="71"/>
      <c r="AY128" s="71"/>
    </row>
    <row r="129" ht="16.5" customHeight="1">
      <c r="A129" s="71"/>
      <c r="B129" s="78"/>
      <c r="C129" s="78"/>
      <c r="D129" s="78"/>
      <c r="E129" s="78"/>
      <c r="F129" s="78"/>
      <c r="G129" s="78"/>
      <c r="H129" s="78"/>
      <c r="I129" s="71"/>
      <c r="J129" s="78"/>
      <c r="K129" s="78"/>
      <c r="L129" s="78"/>
      <c r="M129" s="78"/>
      <c r="N129" s="78"/>
      <c r="O129" s="78"/>
      <c r="P129" s="78"/>
      <c r="Q129" s="78"/>
      <c r="R129" s="78"/>
      <c r="S129" s="78"/>
      <c r="T129" s="71"/>
      <c r="U129" s="71"/>
      <c r="V129" s="78"/>
      <c r="W129" s="78"/>
      <c r="X129" s="78"/>
      <c r="Y129" s="78"/>
      <c r="Z129" s="73"/>
      <c r="AA129" s="73" t="str">
        <f>IF(Z129=0,"",AVERAGEIFS(data_num!B:B, data_num!D:D, Y129, data_num!K:K, 1))
</f>
        <v/>
      </c>
      <c r="AB129" s="77" t="str">
        <f>IF(Z129=0,"",AVERAGEIFS(data_num!C:C, data_num!D:D, Y129, data_num!K:K, 1))
</f>
        <v/>
      </c>
      <c r="AC129" s="72" t="str">
        <f>IF(Z128=0,"",SUMIFS(data_num!L:L, data_num!D:D, Y128, data_num!K:K, 1)/Z128)
</f>
        <v/>
      </c>
      <c r="AD129" s="73" t="str">
        <f>IF(Z128=0,"",SUMIFS(data_num!L:L, data_num!D:D, Y128, data_num!K:K, 1)/Z128)
</f>
        <v/>
      </c>
      <c r="AE129" s="78"/>
      <c r="AF129" s="71"/>
      <c r="AG129" s="75"/>
      <c r="AH129" s="78"/>
      <c r="AI129" s="71"/>
      <c r="AJ129" s="78"/>
      <c r="AK129" s="78"/>
      <c r="AL129" s="78"/>
      <c r="AM129" s="78"/>
      <c r="AN129" s="78"/>
      <c r="AO129" s="78"/>
      <c r="AP129" s="71"/>
      <c r="AQ129" s="71"/>
      <c r="AR129" s="78"/>
      <c r="AS129" s="71"/>
      <c r="AT129" s="78"/>
      <c r="AU129" s="78"/>
      <c r="AV129" s="78"/>
      <c r="AW129" s="78"/>
      <c r="AX129" s="71"/>
      <c r="AY129" s="71"/>
    </row>
    <row r="130" ht="16.5" customHeight="1">
      <c r="A130" s="71"/>
      <c r="B130" s="78"/>
      <c r="C130" s="78"/>
      <c r="D130" s="78"/>
      <c r="E130" s="78"/>
      <c r="F130" s="78"/>
      <c r="G130" s="78"/>
      <c r="H130" s="78"/>
      <c r="I130" s="71"/>
      <c r="J130" s="78"/>
      <c r="K130" s="78"/>
      <c r="L130" s="78"/>
      <c r="M130" s="78"/>
      <c r="N130" s="78"/>
      <c r="O130" s="78"/>
      <c r="P130" s="78"/>
      <c r="Q130" s="78"/>
      <c r="R130" s="78"/>
      <c r="S130" s="78"/>
      <c r="T130" s="71"/>
      <c r="U130" s="71"/>
      <c r="V130" s="78"/>
      <c r="W130" s="78"/>
      <c r="X130" s="78"/>
      <c r="Y130" s="78"/>
      <c r="Z130" s="73"/>
      <c r="AA130" s="73" t="str">
        <f>IF(Z130=0,"",AVERAGEIFS(data_num!B:B, data_num!D:D, Y130, data_num!K:K, 1))
</f>
        <v/>
      </c>
      <c r="AB130" s="77" t="str">
        <f>IF(Z130=0,"",AVERAGEIFS(data_num!C:C, data_num!D:D, Y130, data_num!K:K, 1))
</f>
        <v/>
      </c>
      <c r="AC130" s="72" t="str">
        <f>IF(Z129=0,"",SUMIFS(data_num!L:L, data_num!D:D, Y129, data_num!K:K, 1)/Z129)
</f>
        <v/>
      </c>
      <c r="AD130" s="73" t="str">
        <f>IF(Z129=0,"",SUMIFS(data_num!L:L, data_num!D:D, Y129, data_num!K:K, 1)/Z129)
</f>
        <v/>
      </c>
      <c r="AE130" s="78"/>
      <c r="AF130" s="71"/>
      <c r="AG130" s="75"/>
      <c r="AH130" s="78"/>
      <c r="AI130" s="71"/>
      <c r="AJ130" s="78"/>
      <c r="AK130" s="78"/>
      <c r="AL130" s="78"/>
      <c r="AM130" s="78"/>
      <c r="AN130" s="78"/>
      <c r="AO130" s="78"/>
      <c r="AP130" s="71"/>
      <c r="AQ130" s="71"/>
      <c r="AR130" s="78"/>
      <c r="AS130" s="71"/>
      <c r="AT130" s="78"/>
      <c r="AU130" s="78"/>
      <c r="AV130" s="78"/>
      <c r="AW130" s="78"/>
      <c r="AX130" s="71"/>
      <c r="AY130" s="71"/>
    </row>
    <row r="131" ht="16.5" customHeight="1">
      <c r="A131" s="71"/>
      <c r="B131" s="78"/>
      <c r="C131" s="78"/>
      <c r="D131" s="78"/>
      <c r="E131" s="78"/>
      <c r="F131" s="78"/>
      <c r="G131" s="78"/>
      <c r="H131" s="78"/>
      <c r="I131" s="71"/>
      <c r="J131" s="78"/>
      <c r="K131" s="78"/>
      <c r="L131" s="78"/>
      <c r="M131" s="78"/>
      <c r="N131" s="78"/>
      <c r="O131" s="78"/>
      <c r="P131" s="78"/>
      <c r="Q131" s="78"/>
      <c r="R131" s="78"/>
      <c r="S131" s="78"/>
      <c r="T131" s="71"/>
      <c r="U131" s="71"/>
      <c r="V131" s="78"/>
      <c r="W131" s="78"/>
      <c r="X131" s="78"/>
      <c r="Y131" s="78"/>
      <c r="Z131" s="73"/>
      <c r="AA131" s="73" t="str">
        <f>IF(Z131=0,"",AVERAGEIFS(data_num!B:B, data_num!D:D, Y131, data_num!K:K, 1))
</f>
        <v/>
      </c>
      <c r="AB131" s="77" t="str">
        <f>IF(Z131=0,"",AVERAGEIFS(data_num!C:C, data_num!D:D, Y131, data_num!K:K, 1))
</f>
        <v/>
      </c>
      <c r="AC131" s="72" t="str">
        <f>IF(Z130=0,"",SUMIFS(data_num!L:L, data_num!D:D, Y130, data_num!K:K, 1)/Z130)
</f>
        <v/>
      </c>
      <c r="AD131" s="73" t="str">
        <f>IF(Z130=0,"",SUMIFS(data_num!L:L, data_num!D:D, Y130, data_num!K:K, 1)/Z130)
</f>
        <v/>
      </c>
      <c r="AE131" s="78"/>
      <c r="AF131" s="71"/>
      <c r="AG131" s="75"/>
      <c r="AH131" s="78"/>
      <c r="AI131" s="71"/>
      <c r="AJ131" s="78"/>
      <c r="AK131" s="78"/>
      <c r="AL131" s="78"/>
      <c r="AM131" s="78"/>
      <c r="AN131" s="78"/>
      <c r="AO131" s="78"/>
      <c r="AP131" s="71"/>
      <c r="AQ131" s="71"/>
      <c r="AR131" s="78"/>
      <c r="AS131" s="71"/>
      <c r="AT131" s="78"/>
      <c r="AU131" s="78"/>
      <c r="AV131" s="78"/>
      <c r="AW131" s="78"/>
      <c r="AX131" s="71"/>
      <c r="AY131" s="71"/>
    </row>
    <row r="132" ht="16.5" customHeight="1">
      <c r="A132" s="71"/>
      <c r="B132" s="78"/>
      <c r="C132" s="78"/>
      <c r="D132" s="78"/>
      <c r="E132" s="78"/>
      <c r="F132" s="78"/>
      <c r="G132" s="78"/>
      <c r="H132" s="78"/>
      <c r="I132" s="71"/>
      <c r="J132" s="78"/>
      <c r="K132" s="78"/>
      <c r="L132" s="78"/>
      <c r="M132" s="78"/>
      <c r="N132" s="78"/>
      <c r="O132" s="78"/>
      <c r="P132" s="78"/>
      <c r="Q132" s="78"/>
      <c r="R132" s="78"/>
      <c r="S132" s="78"/>
      <c r="T132" s="71"/>
      <c r="U132" s="71"/>
      <c r="V132" s="78"/>
      <c r="W132" s="78"/>
      <c r="X132" s="78"/>
      <c r="Y132" s="78"/>
      <c r="Z132" s="73"/>
      <c r="AA132" s="73" t="str">
        <f>IF(Z132=0,"",AVERAGEIFS(data_num!B:B, data_num!D:D, Y132, data_num!K:K, 1))
</f>
        <v/>
      </c>
      <c r="AB132" s="77" t="str">
        <f>IF(Z132=0,"",AVERAGEIFS(data_num!C:C, data_num!D:D, Y132, data_num!K:K, 1))
</f>
        <v/>
      </c>
      <c r="AC132" s="72" t="str">
        <f>IF(Z131=0,"",SUMIFS(data_num!L:L, data_num!D:D, Y131, data_num!K:K, 1)/Z131)
</f>
        <v/>
      </c>
      <c r="AD132" s="73" t="str">
        <f>IF(Z131=0,"",SUMIFS(data_num!L:L, data_num!D:D, Y131, data_num!K:K, 1)/Z131)
</f>
        <v/>
      </c>
      <c r="AE132" s="78"/>
      <c r="AF132" s="71"/>
      <c r="AG132" s="75"/>
      <c r="AH132" s="78"/>
      <c r="AI132" s="71"/>
      <c r="AJ132" s="78"/>
      <c r="AK132" s="78"/>
      <c r="AL132" s="78"/>
      <c r="AM132" s="78"/>
      <c r="AN132" s="78"/>
      <c r="AO132" s="78"/>
      <c r="AP132" s="71"/>
      <c r="AQ132" s="71"/>
      <c r="AR132" s="78"/>
      <c r="AS132" s="71"/>
      <c r="AT132" s="78"/>
      <c r="AU132" s="78"/>
      <c r="AV132" s="78"/>
      <c r="AW132" s="78"/>
      <c r="AX132" s="71"/>
      <c r="AY132" s="71"/>
    </row>
    <row r="133" ht="16.5" customHeight="1">
      <c r="A133" s="71"/>
      <c r="B133" s="78"/>
      <c r="C133" s="78"/>
      <c r="D133" s="78"/>
      <c r="E133" s="78"/>
      <c r="F133" s="78"/>
      <c r="G133" s="78"/>
      <c r="H133" s="78"/>
      <c r="I133" s="71"/>
      <c r="J133" s="78"/>
      <c r="K133" s="78"/>
      <c r="L133" s="78"/>
      <c r="M133" s="78"/>
      <c r="N133" s="78"/>
      <c r="O133" s="78"/>
      <c r="P133" s="78"/>
      <c r="Q133" s="78"/>
      <c r="R133" s="78"/>
      <c r="S133" s="78"/>
      <c r="T133" s="71"/>
      <c r="U133" s="71"/>
      <c r="V133" s="78"/>
      <c r="W133" s="78"/>
      <c r="X133" s="78"/>
      <c r="Y133" s="78"/>
      <c r="Z133" s="73"/>
      <c r="AA133" s="73" t="str">
        <f>IF(Z133=0,"",AVERAGEIFS(data_num!B:B, data_num!D:D, Y133, data_num!K:K, 1))
</f>
        <v/>
      </c>
      <c r="AB133" s="77" t="str">
        <f>IF(Z133=0,"",AVERAGEIFS(data_num!C:C, data_num!D:D, Y133, data_num!K:K, 1))
</f>
        <v/>
      </c>
      <c r="AC133" s="72" t="str">
        <f>IF(Z132=0,"",SUMIFS(data_num!L:L, data_num!D:D, Y132, data_num!K:K, 1)/Z132)
</f>
        <v/>
      </c>
      <c r="AD133" s="73" t="str">
        <f>IF(Z132=0,"",SUMIFS(data_num!L:L, data_num!D:D, Y132, data_num!K:K, 1)/Z132)
</f>
        <v/>
      </c>
      <c r="AE133" s="78"/>
      <c r="AF133" s="71"/>
      <c r="AG133" s="75"/>
      <c r="AH133" s="78"/>
      <c r="AI133" s="71"/>
      <c r="AJ133" s="78"/>
      <c r="AK133" s="78"/>
      <c r="AL133" s="78"/>
      <c r="AM133" s="78"/>
      <c r="AN133" s="78"/>
      <c r="AO133" s="78"/>
      <c r="AP133" s="71"/>
      <c r="AQ133" s="71"/>
      <c r="AR133" s="78"/>
      <c r="AS133" s="71"/>
      <c r="AT133" s="78"/>
      <c r="AU133" s="78"/>
      <c r="AV133" s="78"/>
      <c r="AW133" s="78"/>
      <c r="AX133" s="71"/>
      <c r="AY133" s="71"/>
    </row>
    <row r="134" ht="16.5" customHeight="1">
      <c r="A134" s="71"/>
      <c r="B134" s="78"/>
      <c r="C134" s="78"/>
      <c r="D134" s="78"/>
      <c r="E134" s="78"/>
      <c r="F134" s="78"/>
      <c r="G134" s="78"/>
      <c r="H134" s="78"/>
      <c r="I134" s="71"/>
      <c r="J134" s="78"/>
      <c r="K134" s="78"/>
      <c r="L134" s="78"/>
      <c r="M134" s="78"/>
      <c r="N134" s="78"/>
      <c r="O134" s="78"/>
      <c r="P134" s="78"/>
      <c r="Q134" s="78"/>
      <c r="R134" s="78"/>
      <c r="S134" s="78"/>
      <c r="T134" s="71"/>
      <c r="U134" s="71"/>
      <c r="V134" s="78"/>
      <c r="W134" s="78"/>
      <c r="X134" s="78"/>
      <c r="Y134" s="78"/>
      <c r="Z134" s="73"/>
      <c r="AA134" s="73" t="str">
        <f>IF(Z134=0,"",AVERAGEIFS(data_num!B:B, data_num!D:D, Y134, data_num!K:K, 1))
</f>
        <v/>
      </c>
      <c r="AB134" s="77" t="str">
        <f>IF(Z134=0,"",AVERAGEIFS(data_num!C:C, data_num!D:D, Y134, data_num!K:K, 1))
</f>
        <v/>
      </c>
      <c r="AC134" s="72" t="str">
        <f>IF(Z133=0,"",SUMIFS(data_num!L:L, data_num!D:D, Y133, data_num!K:K, 1)/Z133)
</f>
        <v/>
      </c>
      <c r="AD134" s="73" t="str">
        <f>IF(Z133=0,"",SUMIFS(data_num!L:L, data_num!D:D, Y133, data_num!K:K, 1)/Z133)
</f>
        <v/>
      </c>
      <c r="AE134" s="78"/>
      <c r="AF134" s="71"/>
      <c r="AG134" s="75"/>
      <c r="AH134" s="78"/>
      <c r="AI134" s="71"/>
      <c r="AJ134" s="78"/>
      <c r="AK134" s="78"/>
      <c r="AL134" s="78"/>
      <c r="AM134" s="78"/>
      <c r="AN134" s="78"/>
      <c r="AO134" s="78"/>
      <c r="AP134" s="71"/>
      <c r="AQ134" s="71"/>
      <c r="AR134" s="78"/>
      <c r="AS134" s="71"/>
      <c r="AT134" s="78"/>
      <c r="AU134" s="78"/>
      <c r="AV134" s="78"/>
      <c r="AW134" s="78"/>
      <c r="AX134" s="71"/>
      <c r="AY134" s="71"/>
    </row>
    <row r="135" ht="16.5" customHeight="1">
      <c r="A135" s="71"/>
      <c r="B135" s="78"/>
      <c r="C135" s="78"/>
      <c r="D135" s="78"/>
      <c r="E135" s="78"/>
      <c r="F135" s="78"/>
      <c r="G135" s="78"/>
      <c r="H135" s="78"/>
      <c r="I135" s="71"/>
      <c r="J135" s="78"/>
      <c r="K135" s="78"/>
      <c r="L135" s="78"/>
      <c r="M135" s="78"/>
      <c r="N135" s="78"/>
      <c r="O135" s="78"/>
      <c r="P135" s="78"/>
      <c r="Q135" s="78"/>
      <c r="R135" s="78"/>
      <c r="S135" s="78"/>
      <c r="T135" s="71"/>
      <c r="U135" s="71"/>
      <c r="V135" s="78"/>
      <c r="W135" s="78"/>
      <c r="X135" s="78"/>
      <c r="Y135" s="78"/>
      <c r="Z135" s="73"/>
      <c r="AA135" s="73" t="str">
        <f>IF(Z135=0,"",AVERAGEIFS(data_num!B:B, data_num!D:D, Y135, data_num!K:K, 1))
</f>
        <v/>
      </c>
      <c r="AB135" s="77" t="str">
        <f>IF(Z135=0,"",AVERAGEIFS(data_num!C:C, data_num!D:D, Y135, data_num!K:K, 1))
</f>
        <v/>
      </c>
      <c r="AC135" s="72" t="str">
        <f>IF(Z134=0,"",SUMIFS(data_num!L:L, data_num!D:D, Y134, data_num!K:K, 1)/Z134)
</f>
        <v/>
      </c>
      <c r="AD135" s="73" t="str">
        <f>IF(Z134=0,"",SUMIFS(data_num!L:L, data_num!D:D, Y134, data_num!K:K, 1)/Z134)
</f>
        <v/>
      </c>
      <c r="AE135" s="78"/>
      <c r="AF135" s="71"/>
      <c r="AG135" s="75"/>
      <c r="AH135" s="78"/>
      <c r="AI135" s="71"/>
      <c r="AJ135" s="78"/>
      <c r="AK135" s="78"/>
      <c r="AL135" s="78"/>
      <c r="AM135" s="78"/>
      <c r="AN135" s="78"/>
      <c r="AO135" s="78"/>
      <c r="AP135" s="71"/>
      <c r="AQ135" s="71"/>
      <c r="AR135" s="78"/>
      <c r="AS135" s="71"/>
      <c r="AT135" s="78"/>
      <c r="AU135" s="78"/>
      <c r="AV135" s="78"/>
      <c r="AW135" s="78"/>
      <c r="AX135" s="71"/>
      <c r="AY135" s="71"/>
    </row>
    <row r="136" ht="16.5" customHeight="1">
      <c r="A136" s="71"/>
      <c r="B136" s="78"/>
      <c r="C136" s="78"/>
      <c r="D136" s="78"/>
      <c r="E136" s="78"/>
      <c r="F136" s="78"/>
      <c r="G136" s="78"/>
      <c r="H136" s="78"/>
      <c r="I136" s="71"/>
      <c r="J136" s="78"/>
      <c r="K136" s="78"/>
      <c r="L136" s="78"/>
      <c r="M136" s="78"/>
      <c r="N136" s="78"/>
      <c r="O136" s="78"/>
      <c r="P136" s="78"/>
      <c r="Q136" s="78"/>
      <c r="R136" s="78"/>
      <c r="S136" s="78"/>
      <c r="T136" s="71"/>
      <c r="U136" s="71"/>
      <c r="V136" s="78"/>
      <c r="W136" s="78"/>
      <c r="X136" s="78"/>
      <c r="Y136" s="78"/>
      <c r="Z136" s="73"/>
      <c r="AA136" s="73" t="str">
        <f>IF(Z136=0,"",AVERAGEIFS(data_num!B:B, data_num!D:D, Y136, data_num!K:K, 1))
</f>
        <v/>
      </c>
      <c r="AB136" s="77" t="str">
        <f>IF(Z136=0,"",AVERAGEIFS(data_num!C:C, data_num!D:D, Y136, data_num!K:K, 1))
</f>
        <v/>
      </c>
      <c r="AC136" s="72" t="str">
        <f>IF(Z135=0,"",SUMIFS(data_num!L:L, data_num!D:D, Y135, data_num!K:K, 1)/Z135)
</f>
        <v/>
      </c>
      <c r="AD136" s="73" t="str">
        <f>IF(Z135=0,"",SUMIFS(data_num!L:L, data_num!D:D, Y135, data_num!K:K, 1)/Z135)
</f>
        <v/>
      </c>
      <c r="AE136" s="78"/>
      <c r="AF136" s="71"/>
      <c r="AG136" s="75"/>
      <c r="AH136" s="78"/>
      <c r="AI136" s="71"/>
      <c r="AJ136" s="78"/>
      <c r="AK136" s="78"/>
      <c r="AL136" s="78"/>
      <c r="AM136" s="78"/>
      <c r="AN136" s="78"/>
      <c r="AO136" s="78"/>
      <c r="AP136" s="71"/>
      <c r="AQ136" s="71"/>
      <c r="AR136" s="78"/>
      <c r="AS136" s="71"/>
      <c r="AT136" s="78"/>
      <c r="AU136" s="78"/>
      <c r="AV136" s="78"/>
      <c r="AW136" s="78"/>
      <c r="AX136" s="71"/>
      <c r="AY136" s="71"/>
    </row>
    <row r="137" ht="16.5" customHeight="1">
      <c r="A137" s="71"/>
      <c r="B137" s="78"/>
      <c r="C137" s="78"/>
      <c r="D137" s="78"/>
      <c r="E137" s="78"/>
      <c r="F137" s="78"/>
      <c r="G137" s="78"/>
      <c r="H137" s="78"/>
      <c r="I137" s="71"/>
      <c r="J137" s="78"/>
      <c r="K137" s="78"/>
      <c r="L137" s="78"/>
      <c r="M137" s="78"/>
      <c r="N137" s="78"/>
      <c r="O137" s="78"/>
      <c r="P137" s="78"/>
      <c r="Q137" s="78"/>
      <c r="R137" s="78"/>
      <c r="S137" s="78"/>
      <c r="T137" s="71"/>
      <c r="U137" s="71"/>
      <c r="V137" s="78"/>
      <c r="W137" s="78"/>
      <c r="X137" s="78"/>
      <c r="Y137" s="78"/>
      <c r="Z137" s="73"/>
      <c r="AA137" s="73" t="str">
        <f>IF(Z137=0,"",AVERAGEIFS(data_num!B:B, data_num!D:D, Y137, data_num!K:K, 1))
</f>
        <v/>
      </c>
      <c r="AB137" s="77" t="str">
        <f>IF(Z137=0,"",AVERAGEIFS(data_num!C:C, data_num!D:D, Y137, data_num!K:K, 1))
</f>
        <v/>
      </c>
      <c r="AC137" s="72" t="str">
        <f>IF(Z136=0,"",SUMIFS(data_num!L:L, data_num!D:D, Y136, data_num!K:K, 1)/Z136)
</f>
        <v/>
      </c>
      <c r="AD137" s="73" t="str">
        <f>IF(Z136=0,"",SUMIFS(data_num!L:L, data_num!D:D, Y136, data_num!K:K, 1)/Z136)
</f>
        <v/>
      </c>
      <c r="AE137" s="78"/>
      <c r="AF137" s="71"/>
      <c r="AG137" s="75"/>
      <c r="AH137" s="78"/>
      <c r="AI137" s="71"/>
      <c r="AJ137" s="78"/>
      <c r="AK137" s="78"/>
      <c r="AL137" s="78"/>
      <c r="AM137" s="78"/>
      <c r="AN137" s="78"/>
      <c r="AO137" s="78"/>
      <c r="AP137" s="71"/>
      <c r="AQ137" s="71"/>
      <c r="AR137" s="78"/>
      <c r="AS137" s="71"/>
      <c r="AT137" s="78"/>
      <c r="AU137" s="78"/>
      <c r="AV137" s="78"/>
      <c r="AW137" s="78"/>
      <c r="AX137" s="71"/>
      <c r="AY137" s="71"/>
    </row>
    <row r="138" ht="16.5" customHeight="1">
      <c r="A138" s="71"/>
      <c r="B138" s="78"/>
      <c r="C138" s="78"/>
      <c r="D138" s="78"/>
      <c r="E138" s="78"/>
      <c r="F138" s="78"/>
      <c r="G138" s="78"/>
      <c r="H138" s="78"/>
      <c r="I138" s="71"/>
      <c r="J138" s="78"/>
      <c r="K138" s="78"/>
      <c r="L138" s="78"/>
      <c r="M138" s="78"/>
      <c r="N138" s="78"/>
      <c r="O138" s="78"/>
      <c r="P138" s="78"/>
      <c r="Q138" s="78"/>
      <c r="R138" s="78"/>
      <c r="S138" s="78"/>
      <c r="T138" s="71"/>
      <c r="U138" s="71"/>
      <c r="V138" s="78"/>
      <c r="W138" s="78"/>
      <c r="X138" s="78"/>
      <c r="Y138" s="78"/>
      <c r="Z138" s="73"/>
      <c r="AA138" s="73" t="str">
        <f>IF(Z138=0,"",AVERAGEIFS(data_num!B:B, data_num!D:D, Y138, data_num!K:K, 1))
</f>
        <v/>
      </c>
      <c r="AB138" s="77" t="str">
        <f>IF(Z138=0,"",AVERAGEIFS(data_num!C:C, data_num!D:D, Y138, data_num!K:K, 1))
</f>
        <v/>
      </c>
      <c r="AC138" s="72" t="str">
        <f>IF(Z137=0,"",SUMIFS(data_num!L:L, data_num!D:D, Y137, data_num!K:K, 1)/Z137)
</f>
        <v/>
      </c>
      <c r="AD138" s="73" t="str">
        <f>IF(Z137=0,"",SUMIFS(data_num!L:L, data_num!D:D, Y137, data_num!K:K, 1)/Z137)
</f>
        <v/>
      </c>
      <c r="AE138" s="78"/>
      <c r="AF138" s="71"/>
      <c r="AG138" s="75"/>
      <c r="AH138" s="78"/>
      <c r="AI138" s="71"/>
      <c r="AJ138" s="78"/>
      <c r="AK138" s="78"/>
      <c r="AL138" s="78"/>
      <c r="AM138" s="78"/>
      <c r="AN138" s="78"/>
      <c r="AO138" s="78"/>
      <c r="AP138" s="71"/>
      <c r="AQ138" s="71"/>
      <c r="AR138" s="78"/>
      <c r="AS138" s="71"/>
      <c r="AT138" s="78"/>
      <c r="AU138" s="78"/>
      <c r="AV138" s="78"/>
      <c r="AW138" s="78"/>
      <c r="AX138" s="71"/>
      <c r="AY138" s="71"/>
    </row>
    <row r="139" ht="16.5" customHeight="1">
      <c r="A139" s="71"/>
      <c r="B139" s="78"/>
      <c r="C139" s="78"/>
      <c r="D139" s="78"/>
      <c r="E139" s="78"/>
      <c r="F139" s="78"/>
      <c r="G139" s="78"/>
      <c r="H139" s="78"/>
      <c r="I139" s="71"/>
      <c r="J139" s="78"/>
      <c r="K139" s="78"/>
      <c r="L139" s="78"/>
      <c r="M139" s="78"/>
      <c r="N139" s="78"/>
      <c r="O139" s="78"/>
      <c r="P139" s="78"/>
      <c r="Q139" s="78"/>
      <c r="R139" s="78"/>
      <c r="S139" s="78"/>
      <c r="T139" s="71"/>
      <c r="U139" s="71"/>
      <c r="V139" s="78"/>
      <c r="W139" s="78"/>
      <c r="X139" s="78"/>
      <c r="Y139" s="78"/>
      <c r="Z139" s="73"/>
      <c r="AA139" s="73" t="str">
        <f>IF(Z139=0,"",AVERAGEIFS(data_num!B:B, data_num!D:D, Y139, data_num!K:K, 1))
</f>
        <v/>
      </c>
      <c r="AB139" s="77" t="str">
        <f>IF(Z139=0,"",AVERAGEIFS(data_num!C:C, data_num!D:D, Y139, data_num!K:K, 1))
</f>
        <v/>
      </c>
      <c r="AC139" s="72" t="str">
        <f>IF(Z138=0,"",SUMIFS(data_num!L:L, data_num!D:D, Y138, data_num!K:K, 1)/Z138)
</f>
        <v/>
      </c>
      <c r="AD139" s="73" t="str">
        <f>IF(Z138=0,"",SUMIFS(data_num!L:L, data_num!D:D, Y138, data_num!K:K, 1)/Z138)
</f>
        <v/>
      </c>
      <c r="AE139" s="78"/>
      <c r="AF139" s="71"/>
      <c r="AG139" s="75"/>
      <c r="AH139" s="78"/>
      <c r="AI139" s="71"/>
      <c r="AJ139" s="78"/>
      <c r="AK139" s="78"/>
      <c r="AL139" s="78"/>
      <c r="AM139" s="78"/>
      <c r="AN139" s="78"/>
      <c r="AO139" s="78"/>
      <c r="AP139" s="71"/>
      <c r="AQ139" s="71"/>
      <c r="AR139" s="78"/>
      <c r="AS139" s="71"/>
      <c r="AT139" s="78"/>
      <c r="AU139" s="78"/>
      <c r="AV139" s="78"/>
      <c r="AW139" s="78"/>
      <c r="AX139" s="71"/>
      <c r="AY139" s="71"/>
    </row>
    <row r="140" ht="16.5" customHeight="1">
      <c r="A140" s="71"/>
      <c r="B140" s="78"/>
      <c r="C140" s="78"/>
      <c r="D140" s="78"/>
      <c r="E140" s="78"/>
      <c r="F140" s="78"/>
      <c r="G140" s="78"/>
      <c r="H140" s="78"/>
      <c r="I140" s="71"/>
      <c r="J140" s="78"/>
      <c r="K140" s="78"/>
      <c r="L140" s="78"/>
      <c r="M140" s="78"/>
      <c r="N140" s="78"/>
      <c r="O140" s="78"/>
      <c r="P140" s="78"/>
      <c r="Q140" s="78"/>
      <c r="R140" s="78"/>
      <c r="S140" s="78"/>
      <c r="T140" s="71"/>
      <c r="U140" s="71"/>
      <c r="V140" s="78"/>
      <c r="W140" s="78"/>
      <c r="X140" s="78"/>
      <c r="Y140" s="78"/>
      <c r="Z140" s="73"/>
      <c r="AA140" s="73" t="str">
        <f>IF(Z140=0,"",AVERAGEIFS(data_num!B:B, data_num!D:D, Y140, data_num!K:K, 1))
</f>
        <v/>
      </c>
      <c r="AB140" s="77" t="str">
        <f>IF(Z140=0,"",AVERAGEIFS(data_num!C:C, data_num!D:D, Y140, data_num!K:K, 1))
</f>
        <v/>
      </c>
      <c r="AC140" s="72" t="str">
        <f>IF(Z139=0,"",SUMIFS(data_num!L:L, data_num!D:D, Y139, data_num!K:K, 1)/Z139)
</f>
        <v/>
      </c>
      <c r="AD140" s="73" t="str">
        <f>IF(Z139=0,"",SUMIFS(data_num!L:L, data_num!D:D, Y139, data_num!K:K, 1)/Z139)
</f>
        <v/>
      </c>
      <c r="AE140" s="78"/>
      <c r="AF140" s="71"/>
      <c r="AG140" s="75"/>
      <c r="AH140" s="78"/>
      <c r="AI140" s="71"/>
      <c r="AJ140" s="78"/>
      <c r="AK140" s="78"/>
      <c r="AL140" s="78"/>
      <c r="AM140" s="78"/>
      <c r="AN140" s="78"/>
      <c r="AO140" s="78"/>
      <c r="AP140" s="71"/>
      <c r="AQ140" s="71"/>
      <c r="AR140" s="78"/>
      <c r="AS140" s="71"/>
      <c r="AT140" s="78"/>
      <c r="AU140" s="78"/>
      <c r="AV140" s="78"/>
      <c r="AW140" s="78"/>
      <c r="AX140" s="71"/>
      <c r="AY140" s="71"/>
    </row>
    <row r="141" ht="16.5" customHeight="1">
      <c r="A141" s="71"/>
      <c r="B141" s="78"/>
      <c r="C141" s="78"/>
      <c r="D141" s="78"/>
      <c r="E141" s="78"/>
      <c r="F141" s="78"/>
      <c r="G141" s="78"/>
      <c r="H141" s="78"/>
      <c r="I141" s="71"/>
      <c r="J141" s="78"/>
      <c r="K141" s="78"/>
      <c r="L141" s="78"/>
      <c r="M141" s="78"/>
      <c r="N141" s="78"/>
      <c r="O141" s="78"/>
      <c r="P141" s="78"/>
      <c r="Q141" s="78"/>
      <c r="R141" s="78"/>
      <c r="S141" s="78"/>
      <c r="T141" s="71"/>
      <c r="U141" s="71"/>
      <c r="V141" s="78"/>
      <c r="W141" s="78"/>
      <c r="X141" s="78"/>
      <c r="Y141" s="78"/>
      <c r="Z141" s="73"/>
      <c r="AA141" s="73" t="str">
        <f>IF(Z141=0,"",AVERAGEIFS(data_num!B:B, data_num!D:D, Y141, data_num!K:K, 1))
</f>
        <v/>
      </c>
      <c r="AB141" s="77" t="str">
        <f>IF(Z141=0,"",AVERAGEIFS(data_num!C:C, data_num!D:D, Y141, data_num!K:K, 1))
</f>
        <v/>
      </c>
      <c r="AC141" s="72" t="str">
        <f>IF(Z140=0,"",SUMIFS(data_num!L:L, data_num!D:D, Y140, data_num!K:K, 1)/Z140)
</f>
        <v/>
      </c>
      <c r="AD141" s="73" t="str">
        <f>IF(Z140=0,"",SUMIFS(data_num!L:L, data_num!D:D, Y140, data_num!K:K, 1)/Z140)
</f>
        <v/>
      </c>
      <c r="AE141" s="78"/>
      <c r="AF141" s="71"/>
      <c r="AG141" s="75"/>
      <c r="AH141" s="78"/>
      <c r="AI141" s="71"/>
      <c r="AJ141" s="78"/>
      <c r="AK141" s="78"/>
      <c r="AL141" s="78"/>
      <c r="AM141" s="78"/>
      <c r="AN141" s="78"/>
      <c r="AO141" s="78"/>
      <c r="AP141" s="71"/>
      <c r="AQ141" s="71"/>
      <c r="AR141" s="78"/>
      <c r="AS141" s="71"/>
      <c r="AT141" s="78"/>
      <c r="AU141" s="78"/>
      <c r="AV141" s="78"/>
      <c r="AW141" s="78"/>
      <c r="AX141" s="71"/>
      <c r="AY141" s="71"/>
    </row>
    <row r="142" ht="16.5" customHeight="1">
      <c r="A142" s="71"/>
      <c r="B142" s="78"/>
      <c r="C142" s="78"/>
      <c r="D142" s="78"/>
      <c r="E142" s="78"/>
      <c r="F142" s="78"/>
      <c r="G142" s="78"/>
      <c r="H142" s="78"/>
      <c r="I142" s="71"/>
      <c r="J142" s="78"/>
      <c r="K142" s="78"/>
      <c r="L142" s="78"/>
      <c r="M142" s="78"/>
      <c r="N142" s="78"/>
      <c r="O142" s="78"/>
      <c r="P142" s="78"/>
      <c r="Q142" s="78"/>
      <c r="R142" s="78"/>
      <c r="S142" s="78"/>
      <c r="T142" s="71"/>
      <c r="U142" s="71"/>
      <c r="V142" s="78"/>
      <c r="W142" s="78"/>
      <c r="X142" s="78"/>
      <c r="Y142" s="78"/>
      <c r="Z142" s="73"/>
      <c r="AA142" s="73" t="str">
        <f>IF(Z142=0,"",AVERAGEIFS(data_num!B:B, data_num!D:D, Y142, data_num!K:K, 1))
</f>
        <v/>
      </c>
      <c r="AB142" s="77" t="str">
        <f>IF(Z142=0,"",AVERAGEIFS(data_num!C:C, data_num!D:D, Y142, data_num!K:K, 1))
</f>
        <v/>
      </c>
      <c r="AC142" s="72" t="str">
        <f>IF(Z141=0,"",SUMIFS(data_num!L:L, data_num!D:D, Y141, data_num!K:K, 1)/Z141)
</f>
        <v/>
      </c>
      <c r="AD142" s="73" t="str">
        <f>IF(Z141=0,"",SUMIFS(data_num!L:L, data_num!D:D, Y141, data_num!K:K, 1)/Z141)
</f>
        <v/>
      </c>
      <c r="AE142" s="78"/>
      <c r="AF142" s="71"/>
      <c r="AG142" s="75"/>
      <c r="AH142" s="78"/>
      <c r="AI142" s="71"/>
      <c r="AJ142" s="78"/>
      <c r="AK142" s="78"/>
      <c r="AL142" s="78"/>
      <c r="AM142" s="78"/>
      <c r="AN142" s="78"/>
      <c r="AO142" s="78"/>
      <c r="AP142" s="71"/>
      <c r="AQ142" s="71"/>
      <c r="AR142" s="78"/>
      <c r="AS142" s="71"/>
      <c r="AT142" s="78"/>
      <c r="AU142" s="78"/>
      <c r="AV142" s="78"/>
      <c r="AW142" s="78"/>
      <c r="AX142" s="71"/>
      <c r="AY142" s="71"/>
    </row>
    <row r="143" ht="16.5" customHeight="1">
      <c r="A143" s="71"/>
      <c r="B143" s="78"/>
      <c r="C143" s="78"/>
      <c r="D143" s="78"/>
      <c r="E143" s="78"/>
      <c r="F143" s="78"/>
      <c r="G143" s="78"/>
      <c r="H143" s="78"/>
      <c r="I143" s="71"/>
      <c r="J143" s="78"/>
      <c r="K143" s="78"/>
      <c r="L143" s="78"/>
      <c r="M143" s="78"/>
      <c r="N143" s="78"/>
      <c r="O143" s="78"/>
      <c r="P143" s="78"/>
      <c r="Q143" s="78"/>
      <c r="R143" s="78"/>
      <c r="S143" s="78"/>
      <c r="T143" s="71"/>
      <c r="U143" s="71"/>
      <c r="V143" s="78"/>
      <c r="W143" s="78"/>
      <c r="X143" s="78"/>
      <c r="Y143" s="78"/>
      <c r="Z143" s="73"/>
      <c r="AA143" s="73" t="str">
        <f>IF(Z143=0,"",AVERAGEIFS(data_num!B:B, data_num!D:D, Y143, data_num!K:K, 1))
</f>
        <v/>
      </c>
      <c r="AB143" s="77" t="str">
        <f>IF(Z143=0,"",AVERAGEIFS(data_num!C:C, data_num!D:D, Y143, data_num!K:K, 1))
</f>
        <v/>
      </c>
      <c r="AC143" s="72" t="str">
        <f>IF(Z142=0,"",SUMIFS(data_num!L:L, data_num!D:D, Y142, data_num!K:K, 1)/Z142)
</f>
        <v/>
      </c>
      <c r="AD143" s="73" t="str">
        <f>IF(Z142=0,"",SUMIFS(data_num!L:L, data_num!D:D, Y142, data_num!K:K, 1)/Z142)
</f>
        <v/>
      </c>
      <c r="AE143" s="78"/>
      <c r="AF143" s="71"/>
      <c r="AG143" s="75"/>
      <c r="AH143" s="78"/>
      <c r="AI143" s="71"/>
      <c r="AJ143" s="78"/>
      <c r="AK143" s="78"/>
      <c r="AL143" s="78"/>
      <c r="AM143" s="78"/>
      <c r="AN143" s="78"/>
      <c r="AO143" s="78"/>
      <c r="AP143" s="71"/>
      <c r="AQ143" s="71"/>
      <c r="AR143" s="78"/>
      <c r="AS143" s="71"/>
      <c r="AT143" s="78"/>
      <c r="AU143" s="78"/>
      <c r="AV143" s="78"/>
      <c r="AW143" s="78"/>
      <c r="AX143" s="71"/>
      <c r="AY143" s="71"/>
    </row>
    <row r="144" ht="16.5" customHeight="1">
      <c r="A144" s="71"/>
      <c r="B144" s="78"/>
      <c r="C144" s="78"/>
      <c r="D144" s="78"/>
      <c r="E144" s="78"/>
      <c r="F144" s="78"/>
      <c r="G144" s="78"/>
      <c r="H144" s="78"/>
      <c r="I144" s="71"/>
      <c r="J144" s="78"/>
      <c r="K144" s="78"/>
      <c r="L144" s="78"/>
      <c r="M144" s="78"/>
      <c r="N144" s="78"/>
      <c r="O144" s="78"/>
      <c r="P144" s="78"/>
      <c r="Q144" s="78"/>
      <c r="R144" s="78"/>
      <c r="S144" s="78"/>
      <c r="T144" s="71"/>
      <c r="U144" s="71"/>
      <c r="V144" s="78"/>
      <c r="W144" s="78"/>
      <c r="X144" s="78"/>
      <c r="Y144" s="78"/>
      <c r="Z144" s="73"/>
      <c r="AA144" s="73" t="str">
        <f>IF(Z144=0,"",AVERAGEIFS(data_num!B:B, data_num!D:D, Y144, data_num!K:K, 1))
</f>
        <v/>
      </c>
      <c r="AB144" s="77" t="str">
        <f>IF(Z144=0,"",AVERAGEIFS(data_num!C:C, data_num!D:D, Y144, data_num!K:K, 1))
</f>
        <v/>
      </c>
      <c r="AC144" s="72" t="str">
        <f>IF(Z143=0,"",SUMIFS(data_num!L:L, data_num!D:D, Y143, data_num!K:K, 1)/Z143)
</f>
        <v/>
      </c>
      <c r="AD144" s="73" t="str">
        <f>IF(Z143=0,"",SUMIFS(data_num!L:L, data_num!D:D, Y143, data_num!K:K, 1)/Z143)
</f>
        <v/>
      </c>
      <c r="AE144" s="78"/>
      <c r="AF144" s="71"/>
      <c r="AG144" s="75"/>
      <c r="AH144" s="78"/>
      <c r="AI144" s="71"/>
      <c r="AJ144" s="78"/>
      <c r="AK144" s="78"/>
      <c r="AL144" s="78"/>
      <c r="AM144" s="78"/>
      <c r="AN144" s="78"/>
      <c r="AO144" s="78"/>
      <c r="AP144" s="71"/>
      <c r="AQ144" s="71"/>
      <c r="AR144" s="78"/>
      <c r="AS144" s="71"/>
      <c r="AT144" s="78"/>
      <c r="AU144" s="78"/>
      <c r="AV144" s="78"/>
      <c r="AW144" s="78"/>
      <c r="AX144" s="71"/>
      <c r="AY144" s="71"/>
    </row>
    <row r="145" ht="16.5" customHeight="1">
      <c r="A145" s="71"/>
      <c r="B145" s="78"/>
      <c r="C145" s="78"/>
      <c r="D145" s="78"/>
      <c r="E145" s="78"/>
      <c r="F145" s="78"/>
      <c r="G145" s="78"/>
      <c r="H145" s="78"/>
      <c r="I145" s="71"/>
      <c r="J145" s="78"/>
      <c r="K145" s="78"/>
      <c r="L145" s="78"/>
      <c r="M145" s="78"/>
      <c r="N145" s="78"/>
      <c r="O145" s="78"/>
      <c r="P145" s="78"/>
      <c r="Q145" s="78"/>
      <c r="R145" s="78"/>
      <c r="S145" s="78"/>
      <c r="T145" s="71"/>
      <c r="U145" s="71"/>
      <c r="V145" s="78"/>
      <c r="W145" s="78"/>
      <c r="X145" s="78"/>
      <c r="Y145" s="78"/>
      <c r="Z145" s="73"/>
      <c r="AA145" s="73" t="str">
        <f>IF(Z145=0,"",AVERAGEIFS(data_num!B:B, data_num!D:D, Y145, data_num!K:K, 1))
</f>
        <v/>
      </c>
      <c r="AB145" s="77" t="str">
        <f>IF(Z145=0,"",AVERAGEIFS(data_num!C:C, data_num!D:D, Y145, data_num!K:K, 1))
</f>
        <v/>
      </c>
      <c r="AC145" s="72" t="str">
        <f>IF(Z144=0,"",SUMIFS(data_num!L:L, data_num!D:D, Y144, data_num!K:K, 1)/Z144)
</f>
        <v/>
      </c>
      <c r="AD145" s="73" t="str">
        <f>IF(Z144=0,"",SUMIFS(data_num!L:L, data_num!D:D, Y144, data_num!K:K, 1)/Z144)
</f>
        <v/>
      </c>
      <c r="AE145" s="78"/>
      <c r="AF145" s="71"/>
      <c r="AG145" s="75"/>
      <c r="AH145" s="78"/>
      <c r="AI145" s="71"/>
      <c r="AJ145" s="78"/>
      <c r="AK145" s="78"/>
      <c r="AL145" s="78"/>
      <c r="AM145" s="78"/>
      <c r="AN145" s="78"/>
      <c r="AO145" s="78"/>
      <c r="AP145" s="71"/>
      <c r="AQ145" s="71"/>
      <c r="AR145" s="78"/>
      <c r="AS145" s="71"/>
      <c r="AT145" s="78"/>
      <c r="AU145" s="78"/>
      <c r="AV145" s="78"/>
      <c r="AW145" s="78"/>
      <c r="AX145" s="71"/>
      <c r="AY145" s="71"/>
    </row>
    <row r="146" ht="16.5" customHeight="1">
      <c r="A146" s="71"/>
      <c r="B146" s="78"/>
      <c r="C146" s="78"/>
      <c r="D146" s="78"/>
      <c r="E146" s="78"/>
      <c r="F146" s="78"/>
      <c r="G146" s="78"/>
      <c r="H146" s="78"/>
      <c r="I146" s="71"/>
      <c r="J146" s="78"/>
      <c r="K146" s="78"/>
      <c r="L146" s="78"/>
      <c r="M146" s="78"/>
      <c r="N146" s="78"/>
      <c r="O146" s="78"/>
      <c r="P146" s="78"/>
      <c r="Q146" s="78"/>
      <c r="R146" s="78"/>
      <c r="S146" s="78"/>
      <c r="T146" s="71"/>
      <c r="U146" s="71"/>
      <c r="V146" s="78"/>
      <c r="W146" s="78"/>
      <c r="X146" s="78"/>
      <c r="Y146" s="78"/>
      <c r="Z146" s="73"/>
      <c r="AA146" s="73" t="str">
        <f>IF(Z146=0,"",AVERAGEIFS(data_num!B:B, data_num!D:D, Y146, data_num!K:K, 1))
</f>
        <v/>
      </c>
      <c r="AB146" s="77" t="str">
        <f>IF(Z146=0,"",AVERAGEIFS(data_num!C:C, data_num!D:D, Y146, data_num!K:K, 1))
</f>
        <v/>
      </c>
      <c r="AC146" s="72" t="str">
        <f>IF(Z145=0,"",SUMIFS(data_num!L:L, data_num!D:D, Y145, data_num!K:K, 1)/Z145)
</f>
        <v/>
      </c>
      <c r="AD146" s="73" t="str">
        <f>IF(Z145=0,"",SUMIFS(data_num!L:L, data_num!D:D, Y145, data_num!K:K, 1)/Z145)
</f>
        <v/>
      </c>
      <c r="AE146" s="78"/>
      <c r="AF146" s="71"/>
      <c r="AG146" s="75"/>
      <c r="AH146" s="78"/>
      <c r="AI146" s="71"/>
      <c r="AJ146" s="78"/>
      <c r="AK146" s="78"/>
      <c r="AL146" s="78"/>
      <c r="AM146" s="78"/>
      <c r="AN146" s="78"/>
      <c r="AO146" s="78"/>
      <c r="AP146" s="71"/>
      <c r="AQ146" s="71"/>
      <c r="AR146" s="78"/>
      <c r="AS146" s="71"/>
      <c r="AT146" s="78"/>
      <c r="AU146" s="78"/>
      <c r="AV146" s="78"/>
      <c r="AW146" s="78"/>
      <c r="AX146" s="71"/>
      <c r="AY146" s="71"/>
    </row>
    <row r="147" ht="16.5" customHeight="1">
      <c r="A147" s="71"/>
      <c r="B147" s="78"/>
      <c r="C147" s="78"/>
      <c r="D147" s="78"/>
      <c r="E147" s="78"/>
      <c r="F147" s="78"/>
      <c r="G147" s="78"/>
      <c r="H147" s="78"/>
      <c r="I147" s="71"/>
      <c r="J147" s="78"/>
      <c r="K147" s="78"/>
      <c r="L147" s="78"/>
      <c r="M147" s="78"/>
      <c r="N147" s="78"/>
      <c r="O147" s="78"/>
      <c r="P147" s="78"/>
      <c r="Q147" s="78"/>
      <c r="R147" s="78"/>
      <c r="S147" s="78"/>
      <c r="T147" s="71"/>
      <c r="U147" s="71"/>
      <c r="V147" s="78"/>
      <c r="W147" s="78"/>
      <c r="X147" s="78"/>
      <c r="Y147" s="78"/>
      <c r="Z147" s="73"/>
      <c r="AA147" s="73" t="str">
        <f>IF(Z147=0,"",AVERAGEIFS(data_num!B:B, data_num!D:D, Y147, data_num!K:K, 1))
</f>
        <v/>
      </c>
      <c r="AB147" s="77" t="str">
        <f>IF(Z147=0,"",AVERAGEIFS(data_num!C:C, data_num!D:D, Y147, data_num!K:K, 1))
</f>
        <v/>
      </c>
      <c r="AC147" s="72" t="str">
        <f>IF(Z146=0,"",SUMIFS(data_num!L:L, data_num!D:D, Y146, data_num!K:K, 1)/Z146)
</f>
        <v/>
      </c>
      <c r="AD147" s="73" t="str">
        <f>IF(Z146=0,"",SUMIFS(data_num!L:L, data_num!D:D, Y146, data_num!K:K, 1)/Z146)
</f>
        <v/>
      </c>
      <c r="AE147" s="78"/>
      <c r="AF147" s="71"/>
      <c r="AG147" s="75"/>
      <c r="AH147" s="78"/>
      <c r="AI147" s="71"/>
      <c r="AJ147" s="78"/>
      <c r="AK147" s="78"/>
      <c r="AL147" s="78"/>
      <c r="AM147" s="78"/>
      <c r="AN147" s="78"/>
      <c r="AO147" s="78"/>
      <c r="AP147" s="71"/>
      <c r="AQ147" s="71"/>
      <c r="AR147" s="78"/>
      <c r="AS147" s="71"/>
      <c r="AT147" s="78"/>
      <c r="AU147" s="78"/>
      <c r="AV147" s="78"/>
      <c r="AW147" s="78"/>
      <c r="AX147" s="71"/>
      <c r="AY147" s="71"/>
    </row>
    <row r="148" ht="16.5" customHeight="1">
      <c r="A148" s="71"/>
      <c r="B148" s="78"/>
      <c r="C148" s="78"/>
      <c r="D148" s="78"/>
      <c r="E148" s="78"/>
      <c r="F148" s="78"/>
      <c r="G148" s="78"/>
      <c r="H148" s="78"/>
      <c r="I148" s="71"/>
      <c r="J148" s="78"/>
      <c r="K148" s="78"/>
      <c r="L148" s="78"/>
      <c r="M148" s="78"/>
      <c r="N148" s="78"/>
      <c r="O148" s="78"/>
      <c r="P148" s="78"/>
      <c r="Q148" s="78"/>
      <c r="R148" s="78"/>
      <c r="S148" s="78"/>
      <c r="T148" s="71"/>
      <c r="U148" s="71"/>
      <c r="V148" s="78"/>
      <c r="W148" s="78"/>
      <c r="X148" s="78"/>
      <c r="Y148" s="78"/>
      <c r="Z148" s="73"/>
      <c r="AA148" s="73" t="str">
        <f>IF(Z148=0,"",AVERAGEIFS(data_num!B:B, data_num!D:D, Y148, data_num!K:K, 1))
</f>
        <v/>
      </c>
      <c r="AB148" s="77" t="str">
        <f>IF(Z148=0,"",AVERAGEIFS(data_num!C:C, data_num!D:D, Y148, data_num!K:K, 1))
</f>
        <v/>
      </c>
      <c r="AC148" s="72" t="str">
        <f>IF(Z147=0,"",SUMIFS(data_num!L:L, data_num!D:D, Y147, data_num!K:K, 1)/Z147)
</f>
        <v/>
      </c>
      <c r="AD148" s="73" t="str">
        <f>IF(Z147=0,"",SUMIFS(data_num!L:L, data_num!D:D, Y147, data_num!K:K, 1)/Z147)
</f>
        <v/>
      </c>
      <c r="AE148" s="78"/>
      <c r="AF148" s="71"/>
      <c r="AG148" s="75"/>
      <c r="AH148" s="78"/>
      <c r="AI148" s="71"/>
      <c r="AJ148" s="78"/>
      <c r="AK148" s="78"/>
      <c r="AL148" s="78"/>
      <c r="AM148" s="78"/>
      <c r="AN148" s="78"/>
      <c r="AO148" s="78"/>
      <c r="AP148" s="71"/>
      <c r="AQ148" s="71"/>
      <c r="AR148" s="78"/>
      <c r="AS148" s="71"/>
      <c r="AT148" s="78"/>
      <c r="AU148" s="78"/>
      <c r="AV148" s="78"/>
      <c r="AW148" s="78"/>
      <c r="AX148" s="71"/>
      <c r="AY148" s="71"/>
    </row>
    <row r="149" ht="16.5" customHeight="1">
      <c r="A149" s="71"/>
      <c r="B149" s="78"/>
      <c r="C149" s="78"/>
      <c r="D149" s="78"/>
      <c r="E149" s="78"/>
      <c r="F149" s="78"/>
      <c r="G149" s="78"/>
      <c r="H149" s="78"/>
      <c r="I149" s="71"/>
      <c r="J149" s="78"/>
      <c r="K149" s="78"/>
      <c r="L149" s="78"/>
      <c r="M149" s="78"/>
      <c r="N149" s="78"/>
      <c r="O149" s="78"/>
      <c r="P149" s="78"/>
      <c r="Q149" s="78"/>
      <c r="R149" s="78"/>
      <c r="S149" s="78"/>
      <c r="T149" s="71"/>
      <c r="U149" s="71"/>
      <c r="V149" s="78"/>
      <c r="W149" s="78"/>
      <c r="X149" s="78"/>
      <c r="Y149" s="78"/>
      <c r="Z149" s="73"/>
      <c r="AA149" s="73" t="str">
        <f>IF(Z149=0,"",AVERAGEIFS(data_num!B:B, data_num!D:D, Y149, data_num!K:K, 1))
</f>
        <v/>
      </c>
      <c r="AB149" s="77" t="str">
        <f>IF(Z149=0,"",AVERAGEIFS(data_num!C:C, data_num!D:D, Y149, data_num!K:K, 1))
</f>
        <v/>
      </c>
      <c r="AC149" s="72" t="str">
        <f>IF(Z148=0,"",SUMIFS(data_num!L:L, data_num!D:D, Y148, data_num!K:K, 1)/Z148)
</f>
        <v/>
      </c>
      <c r="AD149" s="73" t="str">
        <f>IF(Z148=0,"",SUMIFS(data_num!L:L, data_num!D:D, Y148, data_num!K:K, 1)/Z148)
</f>
        <v/>
      </c>
      <c r="AE149" s="78"/>
      <c r="AF149" s="71"/>
      <c r="AG149" s="75"/>
      <c r="AH149" s="78"/>
      <c r="AI149" s="71"/>
      <c r="AJ149" s="78"/>
      <c r="AK149" s="78"/>
      <c r="AL149" s="78"/>
      <c r="AM149" s="78"/>
      <c r="AN149" s="78"/>
      <c r="AO149" s="78"/>
      <c r="AP149" s="71"/>
      <c r="AQ149" s="71"/>
      <c r="AR149" s="78"/>
      <c r="AS149" s="71"/>
      <c r="AT149" s="78"/>
      <c r="AU149" s="78"/>
      <c r="AV149" s="78"/>
      <c r="AW149" s="78"/>
      <c r="AX149" s="71"/>
      <c r="AY149" s="71"/>
    </row>
    <row r="150" ht="16.5" customHeight="1">
      <c r="A150" s="71"/>
      <c r="B150" s="78"/>
      <c r="C150" s="78"/>
      <c r="D150" s="78"/>
      <c r="E150" s="78"/>
      <c r="F150" s="78"/>
      <c r="G150" s="78"/>
      <c r="H150" s="78"/>
      <c r="I150" s="71"/>
      <c r="J150" s="78"/>
      <c r="K150" s="78"/>
      <c r="L150" s="78"/>
      <c r="M150" s="78"/>
      <c r="N150" s="78"/>
      <c r="O150" s="78"/>
      <c r="P150" s="78"/>
      <c r="Q150" s="78"/>
      <c r="R150" s="78"/>
      <c r="S150" s="78"/>
      <c r="T150" s="71"/>
      <c r="U150" s="71"/>
      <c r="V150" s="78"/>
      <c r="W150" s="78"/>
      <c r="X150" s="78"/>
      <c r="Y150" s="78"/>
      <c r="Z150" s="73"/>
      <c r="AA150" s="73" t="str">
        <f>IF(Z150=0,"",AVERAGEIFS(data_num!B:B, data_num!D:D, Y150, data_num!K:K, 1))
</f>
        <v/>
      </c>
      <c r="AB150" s="77" t="str">
        <f>IF(Z150=0,"",AVERAGEIFS(data_num!C:C, data_num!D:D, Y150, data_num!K:K, 1))
</f>
        <v/>
      </c>
      <c r="AC150" s="72" t="str">
        <f>IF(Z149=0,"",SUMIFS(data_num!L:L, data_num!D:D, Y149, data_num!K:K, 1)/Z149)
</f>
        <v/>
      </c>
      <c r="AD150" s="73" t="str">
        <f>IF(Z149=0,"",SUMIFS(data_num!L:L, data_num!D:D, Y149, data_num!K:K, 1)/Z149)
</f>
        <v/>
      </c>
      <c r="AE150" s="78"/>
      <c r="AF150" s="71"/>
      <c r="AG150" s="75"/>
      <c r="AH150" s="78"/>
      <c r="AI150" s="71"/>
      <c r="AJ150" s="78"/>
      <c r="AK150" s="78"/>
      <c r="AL150" s="78"/>
      <c r="AM150" s="78"/>
      <c r="AN150" s="78"/>
      <c r="AO150" s="78"/>
      <c r="AP150" s="71"/>
      <c r="AQ150" s="71"/>
      <c r="AR150" s="78"/>
      <c r="AS150" s="71"/>
      <c r="AT150" s="78"/>
      <c r="AU150" s="78"/>
      <c r="AV150" s="78"/>
      <c r="AW150" s="78"/>
      <c r="AX150" s="71"/>
      <c r="AY150" s="71"/>
    </row>
    <row r="151" ht="16.5" customHeight="1">
      <c r="A151" s="71"/>
      <c r="B151" s="78"/>
      <c r="C151" s="78"/>
      <c r="D151" s="78"/>
      <c r="E151" s="78"/>
      <c r="F151" s="78"/>
      <c r="G151" s="78"/>
      <c r="H151" s="78"/>
      <c r="I151" s="71"/>
      <c r="J151" s="78"/>
      <c r="K151" s="78"/>
      <c r="L151" s="78"/>
      <c r="M151" s="78"/>
      <c r="N151" s="78"/>
      <c r="O151" s="78"/>
      <c r="P151" s="78"/>
      <c r="Q151" s="78"/>
      <c r="R151" s="78"/>
      <c r="S151" s="78"/>
      <c r="T151" s="71"/>
      <c r="U151" s="71"/>
      <c r="V151" s="78"/>
      <c r="W151" s="78"/>
      <c r="X151" s="78"/>
      <c r="Y151" s="78"/>
      <c r="Z151" s="73"/>
      <c r="AA151" s="73" t="str">
        <f>IF(Z151=0,"",AVERAGEIFS(data_num!B:B, data_num!D:D, Y151, data_num!K:K, 1))
</f>
        <v/>
      </c>
      <c r="AB151" s="77" t="str">
        <f>IF(Z151=0,"",AVERAGEIFS(data_num!C:C, data_num!D:D, Y151, data_num!K:K, 1))
</f>
        <v/>
      </c>
      <c r="AC151" s="72" t="str">
        <f>IF(Z150=0,"",SUMIFS(data_num!L:L, data_num!D:D, Y150, data_num!K:K, 1)/Z150)
</f>
        <v/>
      </c>
      <c r="AD151" s="73" t="str">
        <f>IF(Z150=0,"",SUMIFS(data_num!L:L, data_num!D:D, Y150, data_num!K:K, 1)/Z150)
</f>
        <v/>
      </c>
      <c r="AE151" s="78"/>
      <c r="AF151" s="71"/>
      <c r="AG151" s="75"/>
      <c r="AH151" s="78"/>
      <c r="AI151" s="71"/>
      <c r="AJ151" s="78"/>
      <c r="AK151" s="78"/>
      <c r="AL151" s="78"/>
      <c r="AM151" s="78"/>
      <c r="AN151" s="78"/>
      <c r="AO151" s="78"/>
      <c r="AP151" s="71"/>
      <c r="AQ151" s="71"/>
      <c r="AR151" s="78"/>
      <c r="AS151" s="71"/>
      <c r="AT151" s="78"/>
      <c r="AU151" s="78"/>
      <c r="AV151" s="78"/>
      <c r="AW151" s="78"/>
      <c r="AX151" s="71"/>
      <c r="AY151" s="71"/>
    </row>
    <row r="152" ht="16.5" customHeight="1">
      <c r="A152" s="71"/>
      <c r="B152" s="78"/>
      <c r="C152" s="78"/>
      <c r="D152" s="78"/>
      <c r="E152" s="78"/>
      <c r="F152" s="78"/>
      <c r="G152" s="78"/>
      <c r="H152" s="78"/>
      <c r="I152" s="71"/>
      <c r="J152" s="78"/>
      <c r="K152" s="78"/>
      <c r="L152" s="78"/>
      <c r="M152" s="78"/>
      <c r="N152" s="78"/>
      <c r="O152" s="78"/>
      <c r="P152" s="78"/>
      <c r="Q152" s="78"/>
      <c r="R152" s="78"/>
      <c r="S152" s="78"/>
      <c r="T152" s="71"/>
      <c r="U152" s="71"/>
      <c r="V152" s="78"/>
      <c r="W152" s="78"/>
      <c r="X152" s="78"/>
      <c r="Y152" s="78"/>
      <c r="Z152" s="73"/>
      <c r="AA152" s="73" t="str">
        <f>IF(Z152=0,"",AVERAGEIFS(data_num!B:B, data_num!D:D, Y152, data_num!K:K, 1))
</f>
        <v/>
      </c>
      <c r="AB152" s="77" t="str">
        <f>IF(Z152=0,"",AVERAGEIFS(data_num!C:C, data_num!D:D, Y152, data_num!K:K, 1))
</f>
        <v/>
      </c>
      <c r="AC152" s="72" t="str">
        <f>IF(Z151=0,"",SUMIFS(data_num!L:L, data_num!D:D, Y151, data_num!K:K, 1)/Z151)
</f>
        <v/>
      </c>
      <c r="AD152" s="73" t="str">
        <f>IF(Z151=0,"",SUMIFS(data_num!L:L, data_num!D:D, Y151, data_num!K:K, 1)/Z151)
</f>
        <v/>
      </c>
      <c r="AE152" s="78"/>
      <c r="AF152" s="71"/>
      <c r="AG152" s="75"/>
      <c r="AH152" s="78"/>
      <c r="AI152" s="71"/>
      <c r="AJ152" s="78"/>
      <c r="AK152" s="78"/>
      <c r="AL152" s="78"/>
      <c r="AM152" s="78"/>
      <c r="AN152" s="78"/>
      <c r="AO152" s="78"/>
      <c r="AP152" s="71"/>
      <c r="AQ152" s="71"/>
      <c r="AR152" s="78"/>
      <c r="AS152" s="71"/>
      <c r="AT152" s="78"/>
      <c r="AU152" s="78"/>
      <c r="AV152" s="78"/>
      <c r="AW152" s="78"/>
      <c r="AX152" s="71"/>
      <c r="AY152" s="71"/>
    </row>
    <row r="153" ht="16.5" customHeight="1">
      <c r="A153" s="71"/>
      <c r="B153" s="78"/>
      <c r="C153" s="78"/>
      <c r="D153" s="78"/>
      <c r="E153" s="78"/>
      <c r="F153" s="78"/>
      <c r="G153" s="78"/>
      <c r="H153" s="78"/>
      <c r="I153" s="71"/>
      <c r="J153" s="78"/>
      <c r="K153" s="78"/>
      <c r="L153" s="78"/>
      <c r="M153" s="78"/>
      <c r="N153" s="78"/>
      <c r="O153" s="78"/>
      <c r="P153" s="78"/>
      <c r="Q153" s="78"/>
      <c r="R153" s="78"/>
      <c r="S153" s="78"/>
      <c r="T153" s="71"/>
      <c r="U153" s="71"/>
      <c r="V153" s="78"/>
      <c r="W153" s="78"/>
      <c r="X153" s="78"/>
      <c r="Y153" s="78"/>
      <c r="Z153" s="73"/>
      <c r="AA153" s="73" t="str">
        <f>IF(Z153=0,"",AVERAGEIFS(data_num!B:B, data_num!D:D, Y153, data_num!K:K, 1))
</f>
        <v/>
      </c>
      <c r="AB153" s="77" t="str">
        <f>IF(Z153=0,"",AVERAGEIFS(data_num!C:C, data_num!D:D, Y153, data_num!K:K, 1))
</f>
        <v/>
      </c>
      <c r="AC153" s="72" t="str">
        <f>IF(Z152=0,"",SUMIFS(data_num!L:L, data_num!D:D, Y152, data_num!K:K, 1)/Z152)
</f>
        <v/>
      </c>
      <c r="AD153" s="73" t="str">
        <f>IF(Z152=0,"",SUMIFS(data_num!L:L, data_num!D:D, Y152, data_num!K:K, 1)/Z152)
</f>
        <v/>
      </c>
      <c r="AE153" s="78"/>
      <c r="AF153" s="71"/>
      <c r="AG153" s="75"/>
      <c r="AH153" s="78"/>
      <c r="AI153" s="71"/>
      <c r="AJ153" s="78"/>
      <c r="AK153" s="78"/>
      <c r="AL153" s="78"/>
      <c r="AM153" s="78"/>
      <c r="AN153" s="78"/>
      <c r="AO153" s="78"/>
      <c r="AP153" s="71"/>
      <c r="AQ153" s="71"/>
      <c r="AR153" s="78"/>
      <c r="AS153" s="71"/>
      <c r="AT153" s="78"/>
      <c r="AU153" s="78"/>
      <c r="AV153" s="78"/>
      <c r="AW153" s="78"/>
      <c r="AX153" s="71"/>
      <c r="AY153" s="71"/>
    </row>
    <row r="154" ht="16.5" customHeight="1">
      <c r="A154" s="71"/>
      <c r="B154" s="78"/>
      <c r="C154" s="78"/>
      <c r="D154" s="78"/>
      <c r="E154" s="78"/>
      <c r="F154" s="78"/>
      <c r="G154" s="78"/>
      <c r="H154" s="78"/>
      <c r="I154" s="71"/>
      <c r="J154" s="78"/>
      <c r="K154" s="78"/>
      <c r="L154" s="78"/>
      <c r="M154" s="78"/>
      <c r="N154" s="78"/>
      <c r="O154" s="78"/>
      <c r="P154" s="78"/>
      <c r="Q154" s="78"/>
      <c r="R154" s="78"/>
      <c r="S154" s="78"/>
      <c r="T154" s="71"/>
      <c r="U154" s="71"/>
      <c r="V154" s="78"/>
      <c r="W154" s="78"/>
      <c r="X154" s="78"/>
      <c r="Y154" s="78"/>
      <c r="Z154" s="73"/>
      <c r="AA154" s="73" t="str">
        <f>IF(Z154=0,"",AVERAGEIFS(data_num!B:B, data_num!D:D, Y154, data_num!K:K, 1))
</f>
        <v/>
      </c>
      <c r="AB154" s="77" t="str">
        <f>IF(Z154=0,"",AVERAGEIFS(data_num!C:C, data_num!D:D, Y154, data_num!K:K, 1))
</f>
        <v/>
      </c>
      <c r="AC154" s="72" t="str">
        <f>IF(Z153=0,"",SUMIFS(data_num!L:L, data_num!D:D, Y153, data_num!K:K, 1)/Z153)
</f>
        <v/>
      </c>
      <c r="AD154" s="73" t="str">
        <f>IF(Z153=0,"",SUMIFS(data_num!L:L, data_num!D:D, Y153, data_num!K:K, 1)/Z153)
</f>
        <v/>
      </c>
      <c r="AE154" s="78"/>
      <c r="AF154" s="71"/>
      <c r="AG154" s="75"/>
      <c r="AH154" s="78"/>
      <c r="AI154" s="71"/>
      <c r="AJ154" s="78"/>
      <c r="AK154" s="78"/>
      <c r="AL154" s="78"/>
      <c r="AM154" s="78"/>
      <c r="AN154" s="78"/>
      <c r="AO154" s="78"/>
      <c r="AP154" s="71"/>
      <c r="AQ154" s="71"/>
      <c r="AR154" s="78"/>
      <c r="AS154" s="71"/>
      <c r="AT154" s="78"/>
      <c r="AU154" s="78"/>
      <c r="AV154" s="78"/>
      <c r="AW154" s="78"/>
      <c r="AX154" s="71"/>
      <c r="AY154" s="71"/>
    </row>
    <row r="155" ht="16.5" customHeight="1">
      <c r="A155" s="71"/>
      <c r="B155" s="78"/>
      <c r="C155" s="78"/>
      <c r="D155" s="78"/>
      <c r="E155" s="78"/>
      <c r="F155" s="78"/>
      <c r="G155" s="78"/>
      <c r="H155" s="78"/>
      <c r="I155" s="71"/>
      <c r="J155" s="78"/>
      <c r="K155" s="78"/>
      <c r="L155" s="78"/>
      <c r="M155" s="78"/>
      <c r="N155" s="78"/>
      <c r="O155" s="78"/>
      <c r="P155" s="78"/>
      <c r="Q155" s="78"/>
      <c r="R155" s="78"/>
      <c r="S155" s="78"/>
      <c r="T155" s="71"/>
      <c r="U155" s="71"/>
      <c r="V155" s="78"/>
      <c r="W155" s="78"/>
      <c r="X155" s="78"/>
      <c r="Y155" s="78"/>
      <c r="Z155" s="73"/>
      <c r="AA155" s="73" t="str">
        <f>IF(Z155=0,"",AVERAGEIFS(data_num!B:B, data_num!D:D, Y155, data_num!K:K, 1))
</f>
        <v/>
      </c>
      <c r="AB155" s="77" t="str">
        <f>IF(Z155=0,"",AVERAGEIFS(data_num!C:C, data_num!D:D, Y155, data_num!K:K, 1))
</f>
        <v/>
      </c>
      <c r="AC155" s="72" t="str">
        <f>IF(Z154=0,"",SUMIFS(data_num!L:L, data_num!D:D, Y154, data_num!K:K, 1)/Z154)
</f>
        <v/>
      </c>
      <c r="AD155" s="73" t="str">
        <f>IF(Z154=0,"",SUMIFS(data_num!L:L, data_num!D:D, Y154, data_num!K:K, 1)/Z154)
</f>
        <v/>
      </c>
      <c r="AE155" s="78"/>
      <c r="AF155" s="71"/>
      <c r="AG155" s="75"/>
      <c r="AH155" s="78"/>
      <c r="AI155" s="71"/>
      <c r="AJ155" s="78"/>
      <c r="AK155" s="78"/>
      <c r="AL155" s="78"/>
      <c r="AM155" s="78"/>
      <c r="AN155" s="78"/>
      <c r="AO155" s="78"/>
      <c r="AP155" s="71"/>
      <c r="AQ155" s="71"/>
      <c r="AR155" s="78"/>
      <c r="AS155" s="71"/>
      <c r="AT155" s="78"/>
      <c r="AU155" s="78"/>
      <c r="AV155" s="78"/>
      <c r="AW155" s="78"/>
      <c r="AX155" s="71"/>
      <c r="AY155" s="71"/>
    </row>
    <row r="156" ht="16.5" customHeight="1">
      <c r="A156" s="71"/>
      <c r="B156" s="78"/>
      <c r="C156" s="78"/>
      <c r="D156" s="78"/>
      <c r="E156" s="78"/>
      <c r="F156" s="78"/>
      <c r="G156" s="78"/>
      <c r="H156" s="78"/>
      <c r="I156" s="71"/>
      <c r="J156" s="78"/>
      <c r="K156" s="78"/>
      <c r="L156" s="78"/>
      <c r="M156" s="78"/>
      <c r="N156" s="78"/>
      <c r="O156" s="78"/>
      <c r="P156" s="78"/>
      <c r="Q156" s="78"/>
      <c r="R156" s="78"/>
      <c r="S156" s="78"/>
      <c r="T156" s="71"/>
      <c r="U156" s="71"/>
      <c r="V156" s="78"/>
      <c r="W156" s="78"/>
      <c r="X156" s="78"/>
      <c r="Y156" s="78"/>
      <c r="Z156" s="73"/>
      <c r="AA156" s="73" t="str">
        <f>IF(Z156=0,"",AVERAGEIFS(data_num!B:B, data_num!D:D, Y156, data_num!K:K, 1))
</f>
        <v/>
      </c>
      <c r="AB156" s="77" t="str">
        <f>IF(Z156=0,"",AVERAGEIFS(data_num!C:C, data_num!D:D, Y156, data_num!K:K, 1))
</f>
        <v/>
      </c>
      <c r="AC156" s="72" t="str">
        <f>IF(Z155=0,"",SUMIFS(data_num!L:L, data_num!D:D, Y155, data_num!K:K, 1)/Z155)
</f>
        <v/>
      </c>
      <c r="AD156" s="73" t="str">
        <f>IF(Z155=0,"",SUMIFS(data_num!L:L, data_num!D:D, Y155, data_num!K:K, 1)/Z155)
</f>
        <v/>
      </c>
      <c r="AE156" s="78"/>
      <c r="AF156" s="71"/>
      <c r="AG156" s="75"/>
      <c r="AH156" s="78"/>
      <c r="AI156" s="71"/>
      <c r="AJ156" s="78"/>
      <c r="AK156" s="78"/>
      <c r="AL156" s="78"/>
      <c r="AM156" s="78"/>
      <c r="AN156" s="78"/>
      <c r="AO156" s="78"/>
      <c r="AP156" s="71"/>
      <c r="AQ156" s="71"/>
      <c r="AR156" s="78"/>
      <c r="AS156" s="71"/>
      <c r="AT156" s="78"/>
      <c r="AU156" s="78"/>
      <c r="AV156" s="78"/>
      <c r="AW156" s="78"/>
      <c r="AX156" s="71"/>
      <c r="AY156" s="71"/>
    </row>
    <row r="157" ht="16.5" customHeight="1">
      <c r="A157" s="71"/>
      <c r="B157" s="78"/>
      <c r="C157" s="78"/>
      <c r="D157" s="78"/>
      <c r="E157" s="78"/>
      <c r="F157" s="78"/>
      <c r="G157" s="78"/>
      <c r="H157" s="78"/>
      <c r="I157" s="71"/>
      <c r="J157" s="78"/>
      <c r="K157" s="78"/>
      <c r="L157" s="78"/>
      <c r="M157" s="78"/>
      <c r="N157" s="78"/>
      <c r="O157" s="78"/>
      <c r="P157" s="78"/>
      <c r="Q157" s="78"/>
      <c r="R157" s="78"/>
      <c r="S157" s="78"/>
      <c r="T157" s="71"/>
      <c r="U157" s="71"/>
      <c r="V157" s="78"/>
      <c r="W157" s="78"/>
      <c r="X157" s="78"/>
      <c r="Y157" s="78"/>
      <c r="Z157" s="73"/>
      <c r="AA157" s="73" t="str">
        <f>IF(Z157=0,"",AVERAGEIFS(data_num!B:B, data_num!D:D, Y157, data_num!K:K, 1))
</f>
        <v/>
      </c>
      <c r="AB157" s="77" t="str">
        <f>IF(Z157=0,"",AVERAGEIFS(data_num!C:C, data_num!D:D, Y157, data_num!K:K, 1))
</f>
        <v/>
      </c>
      <c r="AC157" s="72" t="str">
        <f>IF(Z156=0,"",SUMIFS(data_num!L:L, data_num!D:D, Y156, data_num!K:K, 1)/Z156)
</f>
        <v/>
      </c>
      <c r="AD157" s="73" t="str">
        <f>IF(Z156=0,"",SUMIFS(data_num!L:L, data_num!D:D, Y156, data_num!K:K, 1)/Z156)
</f>
        <v/>
      </c>
      <c r="AE157" s="78"/>
      <c r="AF157" s="71"/>
      <c r="AG157" s="75"/>
      <c r="AH157" s="78"/>
      <c r="AI157" s="71"/>
      <c r="AJ157" s="78"/>
      <c r="AK157" s="78"/>
      <c r="AL157" s="78"/>
      <c r="AM157" s="78"/>
      <c r="AN157" s="78"/>
      <c r="AO157" s="78"/>
      <c r="AP157" s="71"/>
      <c r="AQ157" s="71"/>
      <c r="AR157" s="78"/>
      <c r="AS157" s="71"/>
      <c r="AT157" s="78"/>
      <c r="AU157" s="78"/>
      <c r="AV157" s="78"/>
      <c r="AW157" s="78"/>
      <c r="AX157" s="71"/>
      <c r="AY157" s="71"/>
    </row>
    <row r="158" ht="16.5" customHeight="1">
      <c r="A158" s="71"/>
      <c r="B158" s="78"/>
      <c r="C158" s="78"/>
      <c r="D158" s="78"/>
      <c r="E158" s="78"/>
      <c r="F158" s="78"/>
      <c r="G158" s="78"/>
      <c r="H158" s="78"/>
      <c r="I158" s="71"/>
      <c r="J158" s="78"/>
      <c r="K158" s="78"/>
      <c r="L158" s="78"/>
      <c r="M158" s="78"/>
      <c r="N158" s="78"/>
      <c r="O158" s="78"/>
      <c r="P158" s="78"/>
      <c r="Q158" s="78"/>
      <c r="R158" s="78"/>
      <c r="S158" s="78"/>
      <c r="T158" s="71"/>
      <c r="U158" s="71"/>
      <c r="V158" s="78"/>
      <c r="W158" s="78"/>
      <c r="X158" s="78"/>
      <c r="Y158" s="78"/>
      <c r="Z158" s="73"/>
      <c r="AA158" s="73" t="str">
        <f>IF(Z158=0,"",AVERAGEIFS(data_num!B:B, data_num!D:D, Y158, data_num!K:K, 1))
</f>
        <v/>
      </c>
      <c r="AB158" s="77" t="str">
        <f>IF(Z158=0,"",AVERAGEIFS(data_num!C:C, data_num!D:D, Y158, data_num!K:K, 1))
</f>
        <v/>
      </c>
      <c r="AC158" s="72" t="str">
        <f>IF(Z157=0,"",SUMIFS(data_num!L:L, data_num!D:D, Y157, data_num!K:K, 1)/Z157)
</f>
        <v/>
      </c>
      <c r="AD158" s="73" t="str">
        <f>IF(Z157=0,"",SUMIFS(data_num!L:L, data_num!D:D, Y157, data_num!K:K, 1)/Z157)
</f>
        <v/>
      </c>
      <c r="AE158" s="78"/>
      <c r="AF158" s="71"/>
      <c r="AG158" s="75"/>
      <c r="AH158" s="78"/>
      <c r="AI158" s="71"/>
      <c r="AJ158" s="78"/>
      <c r="AK158" s="78"/>
      <c r="AL158" s="78"/>
      <c r="AM158" s="78"/>
      <c r="AN158" s="78"/>
      <c r="AO158" s="78"/>
      <c r="AP158" s="71"/>
      <c r="AQ158" s="71"/>
      <c r="AR158" s="78"/>
      <c r="AS158" s="71"/>
      <c r="AT158" s="78"/>
      <c r="AU158" s="78"/>
      <c r="AV158" s="78"/>
      <c r="AW158" s="78"/>
      <c r="AX158" s="71"/>
      <c r="AY158" s="71"/>
    </row>
    <row r="159" ht="16.5" customHeight="1">
      <c r="A159" s="71"/>
      <c r="B159" s="78"/>
      <c r="C159" s="78"/>
      <c r="D159" s="78"/>
      <c r="E159" s="78"/>
      <c r="F159" s="78"/>
      <c r="G159" s="78"/>
      <c r="H159" s="78"/>
      <c r="I159" s="71"/>
      <c r="J159" s="78"/>
      <c r="K159" s="78"/>
      <c r="L159" s="78"/>
      <c r="M159" s="78"/>
      <c r="N159" s="78"/>
      <c r="O159" s="78"/>
      <c r="P159" s="78"/>
      <c r="Q159" s="78"/>
      <c r="R159" s="78"/>
      <c r="S159" s="78"/>
      <c r="T159" s="71"/>
      <c r="U159" s="71"/>
      <c r="V159" s="78"/>
      <c r="W159" s="78"/>
      <c r="X159" s="78"/>
      <c r="Y159" s="78"/>
      <c r="Z159" s="73"/>
      <c r="AA159" s="73" t="str">
        <f>IF(Z159=0,"",AVERAGEIFS(data_num!B:B, data_num!D:D, Y159, data_num!K:K, 1))
</f>
        <v/>
      </c>
      <c r="AB159" s="77" t="str">
        <f>IF(Z159=0,"",AVERAGEIFS(data_num!C:C, data_num!D:D, Y159, data_num!K:K, 1))
</f>
        <v/>
      </c>
      <c r="AC159" s="72" t="str">
        <f>IF(Z158=0,"",SUMIFS(data_num!L:L, data_num!D:D, Y158, data_num!K:K, 1)/Z158)
</f>
        <v/>
      </c>
      <c r="AD159" s="73" t="str">
        <f>IF(Z158=0,"",SUMIFS(data_num!L:L, data_num!D:D, Y158, data_num!K:K, 1)/Z158)
</f>
        <v/>
      </c>
      <c r="AE159" s="78"/>
      <c r="AF159" s="71"/>
      <c r="AG159" s="75"/>
      <c r="AH159" s="78"/>
      <c r="AI159" s="71"/>
      <c r="AJ159" s="78"/>
      <c r="AK159" s="78"/>
      <c r="AL159" s="78"/>
      <c r="AM159" s="78"/>
      <c r="AN159" s="78"/>
      <c r="AO159" s="78"/>
      <c r="AP159" s="71"/>
      <c r="AQ159" s="71"/>
      <c r="AR159" s="78"/>
      <c r="AS159" s="71"/>
      <c r="AT159" s="78"/>
      <c r="AU159" s="78"/>
      <c r="AV159" s="78"/>
      <c r="AW159" s="78"/>
      <c r="AX159" s="71"/>
      <c r="AY159" s="71"/>
    </row>
    <row r="160" ht="16.5" customHeight="1">
      <c r="A160" s="71"/>
      <c r="B160" s="78"/>
      <c r="C160" s="78"/>
      <c r="D160" s="78"/>
      <c r="E160" s="78"/>
      <c r="F160" s="78"/>
      <c r="G160" s="78"/>
      <c r="H160" s="78"/>
      <c r="I160" s="71"/>
      <c r="J160" s="78"/>
      <c r="K160" s="78"/>
      <c r="L160" s="78"/>
      <c r="M160" s="78"/>
      <c r="N160" s="78"/>
      <c r="O160" s="78"/>
      <c r="P160" s="78"/>
      <c r="Q160" s="78"/>
      <c r="R160" s="78"/>
      <c r="S160" s="78"/>
      <c r="T160" s="71"/>
      <c r="U160" s="71"/>
      <c r="V160" s="78"/>
      <c r="W160" s="78"/>
      <c r="X160" s="78"/>
      <c r="Y160" s="78"/>
      <c r="Z160" s="73"/>
      <c r="AA160" s="73" t="str">
        <f>IF(Z160=0,"",AVERAGEIFS(data_num!B:B, data_num!D:D, Y160, data_num!K:K, 1))
</f>
        <v/>
      </c>
      <c r="AB160" s="77" t="str">
        <f>IF(Z160=0,"",AVERAGEIFS(data_num!C:C, data_num!D:D, Y160, data_num!K:K, 1))
</f>
        <v/>
      </c>
      <c r="AC160" s="72" t="str">
        <f>IF(Z159=0,"",SUMIFS(data_num!L:L, data_num!D:D, Y159, data_num!K:K, 1)/Z159)
</f>
        <v/>
      </c>
      <c r="AD160" s="73" t="str">
        <f>IF(Z159=0,"",SUMIFS(data_num!L:L, data_num!D:D, Y159, data_num!K:K, 1)/Z159)
</f>
        <v/>
      </c>
      <c r="AE160" s="78"/>
      <c r="AF160" s="71"/>
      <c r="AG160" s="75"/>
      <c r="AH160" s="78"/>
      <c r="AI160" s="71"/>
      <c r="AJ160" s="78"/>
      <c r="AK160" s="78"/>
      <c r="AL160" s="78"/>
      <c r="AM160" s="78"/>
      <c r="AN160" s="78"/>
      <c r="AO160" s="78"/>
      <c r="AP160" s="71"/>
      <c r="AQ160" s="71"/>
      <c r="AR160" s="78"/>
      <c r="AS160" s="71"/>
      <c r="AT160" s="78"/>
      <c r="AU160" s="78"/>
      <c r="AV160" s="78"/>
      <c r="AW160" s="78"/>
      <c r="AX160" s="71"/>
      <c r="AY160" s="71"/>
    </row>
    <row r="161" ht="16.5" customHeight="1">
      <c r="A161" s="71"/>
      <c r="B161" s="78"/>
      <c r="C161" s="78"/>
      <c r="D161" s="78"/>
      <c r="E161" s="78"/>
      <c r="F161" s="78"/>
      <c r="G161" s="78"/>
      <c r="H161" s="78"/>
      <c r="I161" s="71"/>
      <c r="J161" s="78"/>
      <c r="K161" s="78"/>
      <c r="L161" s="78"/>
      <c r="M161" s="78"/>
      <c r="N161" s="78"/>
      <c r="O161" s="78"/>
      <c r="P161" s="78"/>
      <c r="Q161" s="78"/>
      <c r="R161" s="78"/>
      <c r="S161" s="78"/>
      <c r="T161" s="71"/>
      <c r="U161" s="71"/>
      <c r="V161" s="78"/>
      <c r="W161" s="78"/>
      <c r="X161" s="78"/>
      <c r="Y161" s="78"/>
      <c r="Z161" s="73"/>
      <c r="AA161" s="73" t="str">
        <f>IF(Z161=0,"",AVERAGEIFS(data_num!B:B, data_num!D:D, Y161, data_num!K:K, 1))
</f>
        <v/>
      </c>
      <c r="AB161" s="77" t="str">
        <f>IF(Z161=0,"",AVERAGEIFS(data_num!C:C, data_num!D:D, Y161, data_num!K:K, 1))
</f>
        <v/>
      </c>
      <c r="AC161" s="72" t="str">
        <f>IF(Z160=0,"",SUMIFS(data_num!L:L, data_num!D:D, Y160, data_num!K:K, 1)/Z160)
</f>
        <v/>
      </c>
      <c r="AD161" s="73" t="str">
        <f>IF(Z160=0,"",SUMIFS(data_num!L:L, data_num!D:D, Y160, data_num!K:K, 1)/Z160)
</f>
        <v/>
      </c>
      <c r="AE161" s="78"/>
      <c r="AF161" s="71"/>
      <c r="AG161" s="75"/>
      <c r="AH161" s="78"/>
      <c r="AI161" s="71"/>
      <c r="AJ161" s="78"/>
      <c r="AK161" s="78"/>
      <c r="AL161" s="78"/>
      <c r="AM161" s="78"/>
      <c r="AN161" s="78"/>
      <c r="AO161" s="78"/>
      <c r="AP161" s="71"/>
      <c r="AQ161" s="71"/>
      <c r="AR161" s="78"/>
      <c r="AS161" s="71"/>
      <c r="AT161" s="78"/>
      <c r="AU161" s="78"/>
      <c r="AV161" s="78"/>
      <c r="AW161" s="78"/>
      <c r="AX161" s="71"/>
      <c r="AY161" s="71"/>
    </row>
    <row r="162" ht="16.5" customHeight="1">
      <c r="A162" s="71"/>
      <c r="B162" s="78"/>
      <c r="C162" s="78"/>
      <c r="D162" s="78"/>
      <c r="E162" s="78"/>
      <c r="F162" s="78"/>
      <c r="G162" s="78"/>
      <c r="H162" s="78"/>
      <c r="I162" s="71"/>
      <c r="J162" s="78"/>
      <c r="K162" s="78"/>
      <c r="L162" s="78"/>
      <c r="M162" s="78"/>
      <c r="N162" s="78"/>
      <c r="O162" s="78"/>
      <c r="P162" s="78"/>
      <c r="Q162" s="78"/>
      <c r="R162" s="78"/>
      <c r="S162" s="78"/>
      <c r="T162" s="71"/>
      <c r="U162" s="71"/>
      <c r="V162" s="78"/>
      <c r="W162" s="78"/>
      <c r="X162" s="78"/>
      <c r="Y162" s="78"/>
      <c r="Z162" s="73"/>
      <c r="AA162" s="73" t="str">
        <f>IF(Z162=0,"",AVERAGEIFS(data_num!B:B, data_num!D:D, Y162, data_num!K:K, 1))
</f>
        <v/>
      </c>
      <c r="AB162" s="77" t="str">
        <f>IF(Z162=0,"",AVERAGEIFS(data_num!C:C, data_num!D:D, Y162, data_num!K:K, 1))
</f>
        <v/>
      </c>
      <c r="AC162" s="72" t="str">
        <f>IF(Z161=0,"",SUMIFS(data_num!L:L, data_num!D:D, Y161, data_num!K:K, 1)/Z161)
</f>
        <v/>
      </c>
      <c r="AD162" s="73" t="str">
        <f>IF(Z161=0,"",SUMIFS(data_num!L:L, data_num!D:D, Y161, data_num!K:K, 1)/Z161)
</f>
        <v/>
      </c>
      <c r="AE162" s="78"/>
      <c r="AF162" s="71"/>
      <c r="AG162" s="75"/>
      <c r="AH162" s="78"/>
      <c r="AI162" s="71"/>
      <c r="AJ162" s="78"/>
      <c r="AK162" s="78"/>
      <c r="AL162" s="78"/>
      <c r="AM162" s="78"/>
      <c r="AN162" s="78"/>
      <c r="AO162" s="78"/>
      <c r="AP162" s="71"/>
      <c r="AQ162" s="71"/>
      <c r="AR162" s="78"/>
      <c r="AS162" s="71"/>
      <c r="AT162" s="78"/>
      <c r="AU162" s="78"/>
      <c r="AV162" s="78"/>
      <c r="AW162" s="78"/>
      <c r="AX162" s="71"/>
      <c r="AY162" s="71"/>
    </row>
    <row r="163" ht="16.5" customHeight="1">
      <c r="A163" s="71"/>
      <c r="B163" s="78"/>
      <c r="C163" s="78"/>
      <c r="D163" s="78"/>
      <c r="E163" s="78"/>
      <c r="F163" s="78"/>
      <c r="G163" s="78"/>
      <c r="H163" s="78"/>
      <c r="I163" s="71"/>
      <c r="J163" s="78"/>
      <c r="K163" s="78"/>
      <c r="L163" s="78"/>
      <c r="M163" s="78"/>
      <c r="N163" s="78"/>
      <c r="O163" s="78"/>
      <c r="P163" s="78"/>
      <c r="Q163" s="78"/>
      <c r="R163" s="78"/>
      <c r="S163" s="78"/>
      <c r="T163" s="71"/>
      <c r="U163" s="71"/>
      <c r="V163" s="78"/>
      <c r="W163" s="78"/>
      <c r="X163" s="78"/>
      <c r="Y163" s="78"/>
      <c r="Z163" s="73"/>
      <c r="AA163" s="73" t="str">
        <f>IF(Z163=0,"",AVERAGEIFS(data_num!B:B, data_num!D:D, Y163, data_num!K:K, 1))
</f>
        <v/>
      </c>
      <c r="AB163" s="77" t="str">
        <f>IF(Z163=0,"",AVERAGEIFS(data_num!C:C, data_num!D:D, Y163, data_num!K:K, 1))
</f>
        <v/>
      </c>
      <c r="AC163" s="72" t="str">
        <f>IF(Z162=0,"",SUMIFS(data_num!L:L, data_num!D:D, Y162, data_num!K:K, 1)/Z162)
</f>
        <v/>
      </c>
      <c r="AD163" s="73" t="str">
        <f>IF(Z162=0,"",SUMIFS(data_num!L:L, data_num!D:D, Y162, data_num!K:K, 1)/Z162)
</f>
        <v/>
      </c>
      <c r="AE163" s="78"/>
      <c r="AF163" s="71"/>
      <c r="AG163" s="75"/>
      <c r="AH163" s="78"/>
      <c r="AI163" s="71"/>
      <c r="AJ163" s="78"/>
      <c r="AK163" s="78"/>
      <c r="AL163" s="78"/>
      <c r="AM163" s="78"/>
      <c r="AN163" s="78"/>
      <c r="AO163" s="78"/>
      <c r="AP163" s="71"/>
      <c r="AQ163" s="71"/>
      <c r="AR163" s="78"/>
      <c r="AS163" s="71"/>
      <c r="AT163" s="78"/>
      <c r="AU163" s="78"/>
      <c r="AV163" s="78"/>
      <c r="AW163" s="78"/>
      <c r="AX163" s="71"/>
      <c r="AY163" s="71"/>
    </row>
    <row r="164" ht="16.5" customHeight="1">
      <c r="A164" s="71"/>
      <c r="B164" s="78"/>
      <c r="C164" s="78"/>
      <c r="D164" s="78"/>
      <c r="E164" s="78"/>
      <c r="F164" s="78"/>
      <c r="G164" s="78"/>
      <c r="H164" s="78"/>
      <c r="I164" s="71"/>
      <c r="J164" s="78"/>
      <c r="K164" s="78"/>
      <c r="L164" s="78"/>
      <c r="M164" s="78"/>
      <c r="N164" s="78"/>
      <c r="O164" s="78"/>
      <c r="P164" s="78"/>
      <c r="Q164" s="78"/>
      <c r="R164" s="78"/>
      <c r="S164" s="78"/>
      <c r="T164" s="71"/>
      <c r="U164" s="71"/>
      <c r="V164" s="78"/>
      <c r="W164" s="78"/>
      <c r="X164" s="78"/>
      <c r="Y164" s="78"/>
      <c r="Z164" s="73"/>
      <c r="AA164" s="73" t="str">
        <f>IF(Z164=0,"",AVERAGEIFS(data_num!B:B, data_num!D:D, Y164, data_num!K:K, 1))
</f>
        <v/>
      </c>
      <c r="AB164" s="77" t="str">
        <f>IF(Z164=0,"",AVERAGEIFS(data_num!C:C, data_num!D:D, Y164, data_num!K:K, 1))
</f>
        <v/>
      </c>
      <c r="AC164" s="72" t="str">
        <f>IF(Z163=0,"",SUMIFS(data_num!L:L, data_num!D:D, Y163, data_num!K:K, 1)/Z163)
</f>
        <v/>
      </c>
      <c r="AD164" s="73" t="str">
        <f>IF(Z163=0,"",SUMIFS(data_num!L:L, data_num!D:D, Y163, data_num!K:K, 1)/Z163)
</f>
        <v/>
      </c>
      <c r="AE164" s="78"/>
      <c r="AF164" s="71"/>
      <c r="AG164" s="75"/>
      <c r="AH164" s="78"/>
      <c r="AI164" s="71"/>
      <c r="AJ164" s="78"/>
      <c r="AK164" s="78"/>
      <c r="AL164" s="78"/>
      <c r="AM164" s="78"/>
      <c r="AN164" s="78"/>
      <c r="AO164" s="78"/>
      <c r="AP164" s="71"/>
      <c r="AQ164" s="71"/>
      <c r="AR164" s="78"/>
      <c r="AS164" s="71"/>
      <c r="AT164" s="78"/>
      <c r="AU164" s="78"/>
      <c r="AV164" s="78"/>
      <c r="AW164" s="78"/>
      <c r="AX164" s="71"/>
      <c r="AY164" s="71"/>
    </row>
    <row r="165" ht="16.5" customHeight="1">
      <c r="A165" s="71"/>
      <c r="B165" s="78"/>
      <c r="C165" s="78"/>
      <c r="D165" s="78"/>
      <c r="E165" s="78"/>
      <c r="F165" s="78"/>
      <c r="G165" s="78"/>
      <c r="H165" s="78"/>
      <c r="I165" s="71"/>
      <c r="J165" s="78"/>
      <c r="K165" s="78"/>
      <c r="L165" s="78"/>
      <c r="M165" s="78"/>
      <c r="N165" s="78"/>
      <c r="O165" s="78"/>
      <c r="P165" s="78"/>
      <c r="Q165" s="78"/>
      <c r="R165" s="78"/>
      <c r="S165" s="78"/>
      <c r="T165" s="71"/>
      <c r="U165" s="71"/>
      <c r="V165" s="78"/>
      <c r="W165" s="78"/>
      <c r="X165" s="78"/>
      <c r="Y165" s="78"/>
      <c r="Z165" s="73"/>
      <c r="AA165" s="73" t="str">
        <f>IF(Z165=0,"",AVERAGEIFS(data_num!B:B, data_num!D:D, Y165, data_num!K:K, 1))
</f>
        <v/>
      </c>
      <c r="AB165" s="77" t="str">
        <f>IF(Z165=0,"",AVERAGEIFS(data_num!C:C, data_num!D:D, Y165, data_num!K:K, 1))
</f>
        <v/>
      </c>
      <c r="AC165" s="72" t="str">
        <f>IF(Z164=0,"",SUMIFS(data_num!L:L, data_num!D:D, Y164, data_num!K:K, 1)/Z164)
</f>
        <v/>
      </c>
      <c r="AD165" s="73" t="str">
        <f>IF(Z164=0,"",SUMIFS(data_num!L:L, data_num!D:D, Y164, data_num!K:K, 1)/Z164)
</f>
        <v/>
      </c>
      <c r="AE165" s="78"/>
      <c r="AF165" s="71"/>
      <c r="AG165" s="75"/>
      <c r="AH165" s="78"/>
      <c r="AI165" s="71"/>
      <c r="AJ165" s="78"/>
      <c r="AK165" s="78"/>
      <c r="AL165" s="78"/>
      <c r="AM165" s="78"/>
      <c r="AN165" s="78"/>
      <c r="AO165" s="78"/>
      <c r="AP165" s="71"/>
      <c r="AQ165" s="71"/>
      <c r="AR165" s="78"/>
      <c r="AS165" s="71"/>
      <c r="AT165" s="78"/>
      <c r="AU165" s="78"/>
      <c r="AV165" s="78"/>
      <c r="AW165" s="78"/>
      <c r="AX165" s="71"/>
      <c r="AY165" s="71"/>
    </row>
    <row r="166" ht="16.5" customHeight="1">
      <c r="A166" s="71"/>
      <c r="B166" s="78"/>
      <c r="C166" s="78"/>
      <c r="D166" s="78"/>
      <c r="E166" s="78"/>
      <c r="F166" s="78"/>
      <c r="G166" s="78"/>
      <c r="H166" s="78"/>
      <c r="I166" s="71"/>
      <c r="J166" s="78"/>
      <c r="K166" s="78"/>
      <c r="L166" s="78"/>
      <c r="M166" s="78"/>
      <c r="N166" s="78"/>
      <c r="O166" s="78"/>
      <c r="P166" s="78"/>
      <c r="Q166" s="78"/>
      <c r="R166" s="78"/>
      <c r="S166" s="78"/>
      <c r="T166" s="71"/>
      <c r="U166" s="71"/>
      <c r="V166" s="78"/>
      <c r="W166" s="78"/>
      <c r="X166" s="78"/>
      <c r="Y166" s="78"/>
      <c r="Z166" s="73"/>
      <c r="AA166" s="73" t="str">
        <f>IF(Z166=0,"",AVERAGEIFS(data_num!B:B, data_num!D:D, Y166, data_num!K:K, 1))
</f>
        <v/>
      </c>
      <c r="AB166" s="77" t="str">
        <f>IF(Z166=0,"",AVERAGEIFS(data_num!C:C, data_num!D:D, Y166, data_num!K:K, 1))
</f>
        <v/>
      </c>
      <c r="AC166" s="72" t="str">
        <f>IF(Z165=0,"",SUMIFS(data_num!L:L, data_num!D:D, Y165, data_num!K:K, 1)/Z165)
</f>
        <v/>
      </c>
      <c r="AD166" s="73" t="str">
        <f>IF(Z165=0,"",SUMIFS(data_num!L:L, data_num!D:D, Y165, data_num!K:K, 1)/Z165)
</f>
        <v/>
      </c>
      <c r="AE166" s="78"/>
      <c r="AF166" s="71"/>
      <c r="AG166" s="75"/>
      <c r="AH166" s="78"/>
      <c r="AI166" s="71"/>
      <c r="AJ166" s="78"/>
      <c r="AK166" s="78"/>
      <c r="AL166" s="78"/>
      <c r="AM166" s="78"/>
      <c r="AN166" s="78"/>
      <c r="AO166" s="78"/>
      <c r="AP166" s="71"/>
      <c r="AQ166" s="71"/>
      <c r="AR166" s="78"/>
      <c r="AS166" s="71"/>
      <c r="AT166" s="78"/>
      <c r="AU166" s="78"/>
      <c r="AV166" s="78"/>
      <c r="AW166" s="78"/>
      <c r="AX166" s="71"/>
      <c r="AY166" s="71"/>
    </row>
    <row r="167" ht="16.5" customHeight="1">
      <c r="A167" s="71"/>
      <c r="B167" s="78"/>
      <c r="C167" s="78"/>
      <c r="D167" s="78"/>
      <c r="E167" s="78"/>
      <c r="F167" s="78"/>
      <c r="G167" s="78"/>
      <c r="H167" s="78"/>
      <c r="I167" s="71"/>
      <c r="J167" s="78"/>
      <c r="K167" s="78"/>
      <c r="L167" s="78"/>
      <c r="M167" s="78"/>
      <c r="N167" s="78"/>
      <c r="O167" s="78"/>
      <c r="P167" s="78"/>
      <c r="Q167" s="78"/>
      <c r="R167" s="78"/>
      <c r="S167" s="78"/>
      <c r="T167" s="71"/>
      <c r="U167" s="71"/>
      <c r="V167" s="78"/>
      <c r="W167" s="78"/>
      <c r="X167" s="78"/>
      <c r="Y167" s="78"/>
      <c r="Z167" s="73"/>
      <c r="AA167" s="73" t="str">
        <f>IF(Z167=0,"",AVERAGEIFS(data_num!B:B, data_num!D:D, Y167, data_num!K:K, 1))
</f>
        <v/>
      </c>
      <c r="AB167" s="77" t="str">
        <f>IF(Z167=0,"",AVERAGEIFS(data_num!C:C, data_num!D:D, Y167, data_num!K:K, 1))
</f>
        <v/>
      </c>
      <c r="AC167" s="72" t="str">
        <f>IF(Z166=0,"",SUMIFS(data_num!L:L, data_num!D:D, Y166, data_num!K:K, 1)/Z166)
</f>
        <v/>
      </c>
      <c r="AD167" s="73" t="str">
        <f>IF(Z166=0,"",SUMIFS(data_num!L:L, data_num!D:D, Y166, data_num!K:K, 1)/Z166)
</f>
        <v/>
      </c>
      <c r="AE167" s="78"/>
      <c r="AF167" s="71"/>
      <c r="AG167" s="75"/>
      <c r="AH167" s="78"/>
      <c r="AI167" s="71"/>
      <c r="AJ167" s="78"/>
      <c r="AK167" s="78"/>
      <c r="AL167" s="78"/>
      <c r="AM167" s="78"/>
      <c r="AN167" s="78"/>
      <c r="AO167" s="78"/>
      <c r="AP167" s="71"/>
      <c r="AQ167" s="71"/>
      <c r="AR167" s="78"/>
      <c r="AS167" s="71"/>
      <c r="AT167" s="78"/>
      <c r="AU167" s="78"/>
      <c r="AV167" s="78"/>
      <c r="AW167" s="78"/>
      <c r="AX167" s="71"/>
      <c r="AY167" s="71"/>
    </row>
    <row r="168" ht="16.5" customHeight="1">
      <c r="A168" s="71"/>
      <c r="B168" s="78"/>
      <c r="C168" s="78"/>
      <c r="D168" s="78"/>
      <c r="E168" s="78"/>
      <c r="F168" s="78"/>
      <c r="G168" s="78"/>
      <c r="H168" s="78"/>
      <c r="I168" s="71"/>
      <c r="J168" s="78"/>
      <c r="K168" s="78"/>
      <c r="L168" s="78"/>
      <c r="M168" s="78"/>
      <c r="N168" s="78"/>
      <c r="O168" s="78"/>
      <c r="P168" s="78"/>
      <c r="Q168" s="78"/>
      <c r="R168" s="78"/>
      <c r="S168" s="78"/>
      <c r="T168" s="71"/>
      <c r="U168" s="71"/>
      <c r="V168" s="78"/>
      <c r="W168" s="78"/>
      <c r="X168" s="78"/>
      <c r="Y168" s="78"/>
      <c r="Z168" s="73"/>
      <c r="AA168" s="73" t="str">
        <f>IF(Z168=0,"",AVERAGEIFS(data_num!B:B, data_num!D:D, Y168, data_num!K:K, 1))
</f>
        <v/>
      </c>
      <c r="AB168" s="77" t="str">
        <f>IF(Z168=0,"",AVERAGEIFS(data_num!C:C, data_num!D:D, Y168, data_num!K:K, 1))
</f>
        <v/>
      </c>
      <c r="AC168" s="72" t="str">
        <f>IF(Z167=0,"",SUMIFS(data_num!L:L, data_num!D:D, Y167, data_num!K:K, 1)/Z167)
</f>
        <v/>
      </c>
      <c r="AD168" s="73" t="str">
        <f>IF(Z167=0,"",SUMIFS(data_num!L:L, data_num!D:D, Y167, data_num!K:K, 1)/Z167)
</f>
        <v/>
      </c>
      <c r="AE168" s="78"/>
      <c r="AF168" s="71"/>
      <c r="AG168" s="75"/>
      <c r="AH168" s="78"/>
      <c r="AI168" s="71"/>
      <c r="AJ168" s="78"/>
      <c r="AK168" s="78"/>
      <c r="AL168" s="78"/>
      <c r="AM168" s="78"/>
      <c r="AN168" s="78"/>
      <c r="AO168" s="78"/>
      <c r="AP168" s="71"/>
      <c r="AQ168" s="71"/>
      <c r="AR168" s="78"/>
      <c r="AS168" s="71"/>
      <c r="AT168" s="78"/>
      <c r="AU168" s="78"/>
      <c r="AV168" s="78"/>
      <c r="AW168" s="78"/>
      <c r="AX168" s="71"/>
      <c r="AY168" s="71"/>
    </row>
    <row r="169" ht="16.5" customHeight="1">
      <c r="A169" s="71"/>
      <c r="B169" s="78"/>
      <c r="C169" s="78"/>
      <c r="D169" s="78"/>
      <c r="E169" s="78"/>
      <c r="F169" s="78"/>
      <c r="G169" s="78"/>
      <c r="H169" s="78"/>
      <c r="I169" s="71"/>
      <c r="J169" s="78"/>
      <c r="K169" s="78"/>
      <c r="L169" s="78"/>
      <c r="M169" s="78"/>
      <c r="N169" s="78"/>
      <c r="O169" s="78"/>
      <c r="P169" s="78"/>
      <c r="Q169" s="78"/>
      <c r="R169" s="78"/>
      <c r="S169" s="78"/>
      <c r="T169" s="71"/>
      <c r="U169" s="71"/>
      <c r="V169" s="78"/>
      <c r="W169" s="78"/>
      <c r="X169" s="78"/>
      <c r="Y169" s="78"/>
      <c r="Z169" s="73"/>
      <c r="AA169" s="73" t="str">
        <f>IF(Z169=0,"",AVERAGEIFS(data_num!B:B, data_num!D:D, Y169, data_num!K:K, 1))
</f>
        <v/>
      </c>
      <c r="AB169" s="77" t="str">
        <f>IF(Z169=0,"",AVERAGEIFS(data_num!C:C, data_num!D:D, Y169, data_num!K:K, 1))
</f>
        <v/>
      </c>
      <c r="AC169" s="72" t="str">
        <f>IF(Z168=0,"",SUMIFS(data_num!L:L, data_num!D:D, Y168, data_num!K:K, 1)/Z168)
</f>
        <v/>
      </c>
      <c r="AD169" s="73" t="str">
        <f>IF(Z168=0,"",SUMIFS(data_num!L:L, data_num!D:D, Y168, data_num!K:K, 1)/Z168)
</f>
        <v/>
      </c>
      <c r="AE169" s="78"/>
      <c r="AF169" s="71"/>
      <c r="AG169" s="75"/>
      <c r="AH169" s="78"/>
      <c r="AI169" s="71"/>
      <c r="AJ169" s="78"/>
      <c r="AK169" s="78"/>
      <c r="AL169" s="78"/>
      <c r="AM169" s="78"/>
      <c r="AN169" s="78"/>
      <c r="AO169" s="78"/>
      <c r="AP169" s="71"/>
      <c r="AQ169" s="71"/>
      <c r="AR169" s="78"/>
      <c r="AS169" s="71"/>
      <c r="AT169" s="78"/>
      <c r="AU169" s="78"/>
      <c r="AV169" s="78"/>
      <c r="AW169" s="78"/>
      <c r="AX169" s="71"/>
      <c r="AY169" s="71"/>
    </row>
    <row r="170" ht="16.5" customHeight="1">
      <c r="A170" s="71"/>
      <c r="B170" s="78"/>
      <c r="C170" s="78"/>
      <c r="D170" s="78"/>
      <c r="E170" s="78"/>
      <c r="F170" s="78"/>
      <c r="G170" s="78"/>
      <c r="H170" s="78"/>
      <c r="I170" s="71"/>
      <c r="J170" s="78"/>
      <c r="K170" s="78"/>
      <c r="L170" s="78"/>
      <c r="M170" s="78"/>
      <c r="N170" s="78"/>
      <c r="O170" s="78"/>
      <c r="P170" s="78"/>
      <c r="Q170" s="78"/>
      <c r="R170" s="78"/>
      <c r="S170" s="78"/>
      <c r="T170" s="71"/>
      <c r="U170" s="71"/>
      <c r="V170" s="78"/>
      <c r="W170" s="78"/>
      <c r="X170" s="78"/>
      <c r="Y170" s="78"/>
      <c r="Z170" s="73"/>
      <c r="AA170" s="73" t="str">
        <f>IF(Z170=0,"",AVERAGEIFS(data_num!B:B, data_num!D:D, Y170, data_num!K:K, 1))
</f>
        <v/>
      </c>
      <c r="AB170" s="77" t="str">
        <f>IF(Z170=0,"",AVERAGEIFS(data_num!C:C, data_num!D:D, Y170, data_num!K:K, 1))
</f>
        <v/>
      </c>
      <c r="AC170" s="72" t="str">
        <f>IF(Z169=0,"",SUMIFS(data_num!L:L, data_num!D:D, Y169, data_num!K:K, 1)/Z169)
</f>
        <v/>
      </c>
      <c r="AD170" s="73" t="str">
        <f>IF(Z169=0,"",SUMIFS(data_num!L:L, data_num!D:D, Y169, data_num!K:K, 1)/Z169)
</f>
        <v/>
      </c>
      <c r="AE170" s="78"/>
      <c r="AF170" s="71"/>
      <c r="AG170" s="75"/>
      <c r="AH170" s="78"/>
      <c r="AI170" s="71"/>
      <c r="AJ170" s="78"/>
      <c r="AK170" s="78"/>
      <c r="AL170" s="78"/>
      <c r="AM170" s="78"/>
      <c r="AN170" s="78"/>
      <c r="AO170" s="78"/>
      <c r="AP170" s="71"/>
      <c r="AQ170" s="71"/>
      <c r="AR170" s="78"/>
      <c r="AS170" s="71"/>
      <c r="AT170" s="78"/>
      <c r="AU170" s="78"/>
      <c r="AV170" s="78"/>
      <c r="AW170" s="78"/>
      <c r="AX170" s="71"/>
      <c r="AY170" s="71"/>
    </row>
    <row r="171" ht="16.5" customHeight="1">
      <c r="A171" s="71"/>
      <c r="B171" s="78"/>
      <c r="C171" s="78"/>
      <c r="D171" s="78"/>
      <c r="E171" s="78"/>
      <c r="F171" s="78"/>
      <c r="G171" s="78"/>
      <c r="H171" s="78"/>
      <c r="I171" s="71"/>
      <c r="J171" s="78"/>
      <c r="K171" s="78"/>
      <c r="L171" s="78"/>
      <c r="M171" s="78"/>
      <c r="N171" s="78"/>
      <c r="O171" s="78"/>
      <c r="P171" s="78"/>
      <c r="Q171" s="78"/>
      <c r="R171" s="78"/>
      <c r="S171" s="78"/>
      <c r="T171" s="71"/>
      <c r="U171" s="71"/>
      <c r="V171" s="78"/>
      <c r="W171" s="78"/>
      <c r="X171" s="78"/>
      <c r="Y171" s="78"/>
      <c r="Z171" s="73"/>
      <c r="AA171" s="73" t="str">
        <f>IF(Z171=0,"",AVERAGEIFS(data_num!B:B, data_num!D:D, Y171, data_num!K:K, 1))
</f>
        <v/>
      </c>
      <c r="AB171" s="77" t="str">
        <f>IF(Z171=0,"",AVERAGEIFS(data_num!C:C, data_num!D:D, Y171, data_num!K:K, 1))
</f>
        <v/>
      </c>
      <c r="AC171" s="72" t="str">
        <f>IF(Z170=0,"",SUMIFS(data_num!L:L, data_num!D:D, Y170, data_num!K:K, 1)/Z170)
</f>
        <v/>
      </c>
      <c r="AD171" s="73" t="str">
        <f>IF(Z170=0,"",SUMIFS(data_num!L:L, data_num!D:D, Y170, data_num!K:K, 1)/Z170)
</f>
        <v/>
      </c>
      <c r="AE171" s="78"/>
      <c r="AF171" s="71"/>
      <c r="AG171" s="75"/>
      <c r="AH171" s="78"/>
      <c r="AI171" s="71"/>
      <c r="AJ171" s="78"/>
      <c r="AK171" s="78"/>
      <c r="AL171" s="78"/>
      <c r="AM171" s="78"/>
      <c r="AN171" s="78"/>
      <c r="AO171" s="78"/>
      <c r="AP171" s="71"/>
      <c r="AQ171" s="71"/>
      <c r="AR171" s="78"/>
      <c r="AS171" s="71"/>
      <c r="AT171" s="78"/>
      <c r="AU171" s="78"/>
      <c r="AV171" s="78"/>
      <c r="AW171" s="78"/>
      <c r="AX171" s="71"/>
      <c r="AY171" s="71"/>
    </row>
    <row r="172" ht="16.5" customHeight="1">
      <c r="A172" s="71"/>
      <c r="B172" s="78"/>
      <c r="C172" s="78"/>
      <c r="D172" s="78"/>
      <c r="E172" s="78"/>
      <c r="F172" s="78"/>
      <c r="G172" s="78"/>
      <c r="H172" s="78"/>
      <c r="I172" s="71"/>
      <c r="J172" s="78"/>
      <c r="K172" s="78"/>
      <c r="L172" s="78"/>
      <c r="M172" s="78"/>
      <c r="N172" s="78"/>
      <c r="O172" s="78"/>
      <c r="P172" s="78"/>
      <c r="Q172" s="78"/>
      <c r="R172" s="78"/>
      <c r="S172" s="78"/>
      <c r="T172" s="71"/>
      <c r="U172" s="71"/>
      <c r="V172" s="78"/>
      <c r="W172" s="78"/>
      <c r="X172" s="78"/>
      <c r="Y172" s="78"/>
      <c r="Z172" s="73"/>
      <c r="AA172" s="73" t="str">
        <f>IF(Z172=0,"",AVERAGEIFS(data_num!B:B, data_num!D:D, Y172, data_num!K:K, 1))
</f>
        <v/>
      </c>
      <c r="AB172" s="77" t="str">
        <f>IF(Z172=0,"",AVERAGEIFS(data_num!C:C, data_num!D:D, Y172, data_num!K:K, 1))
</f>
        <v/>
      </c>
      <c r="AC172" s="72" t="str">
        <f>IF(Z171=0,"",SUMIFS(data_num!L:L, data_num!D:D, Y171, data_num!K:K, 1)/Z171)
</f>
        <v/>
      </c>
      <c r="AD172" s="73" t="str">
        <f>IF(Z171=0,"",SUMIFS(data_num!L:L, data_num!D:D, Y171, data_num!K:K, 1)/Z171)
</f>
        <v/>
      </c>
      <c r="AE172" s="78"/>
      <c r="AF172" s="71"/>
      <c r="AG172" s="75"/>
      <c r="AH172" s="78"/>
      <c r="AI172" s="71"/>
      <c r="AJ172" s="78"/>
      <c r="AK172" s="78"/>
      <c r="AL172" s="78"/>
      <c r="AM172" s="78"/>
      <c r="AN172" s="78"/>
      <c r="AO172" s="78"/>
      <c r="AP172" s="71"/>
      <c r="AQ172" s="71"/>
      <c r="AR172" s="78"/>
      <c r="AS172" s="71"/>
      <c r="AT172" s="78"/>
      <c r="AU172" s="78"/>
      <c r="AV172" s="78"/>
      <c r="AW172" s="78"/>
      <c r="AX172" s="71"/>
      <c r="AY172" s="71"/>
    </row>
    <row r="173" ht="16.5" customHeight="1">
      <c r="A173" s="71"/>
      <c r="B173" s="78"/>
      <c r="C173" s="78"/>
      <c r="D173" s="78"/>
      <c r="E173" s="78"/>
      <c r="F173" s="78"/>
      <c r="G173" s="78"/>
      <c r="H173" s="78"/>
      <c r="I173" s="71"/>
      <c r="J173" s="78"/>
      <c r="K173" s="78"/>
      <c r="L173" s="78"/>
      <c r="M173" s="78"/>
      <c r="N173" s="78"/>
      <c r="O173" s="78"/>
      <c r="P173" s="78"/>
      <c r="Q173" s="78"/>
      <c r="R173" s="78"/>
      <c r="S173" s="78"/>
      <c r="T173" s="71"/>
      <c r="U173" s="71"/>
      <c r="V173" s="78"/>
      <c r="W173" s="78"/>
      <c r="X173" s="78"/>
      <c r="Y173" s="78"/>
      <c r="Z173" s="73"/>
      <c r="AA173" s="73" t="str">
        <f>IF(Z173=0,"",AVERAGEIFS(data_num!B:B, data_num!D:D, Y173, data_num!K:K, 1))
</f>
        <v/>
      </c>
      <c r="AB173" s="77" t="str">
        <f>IF(Z173=0,"",AVERAGEIFS(data_num!C:C, data_num!D:D, Y173, data_num!K:K, 1))
</f>
        <v/>
      </c>
      <c r="AC173" s="72" t="str">
        <f>IF(Z172=0,"",SUMIFS(data_num!L:L, data_num!D:D, Y172, data_num!K:K, 1)/Z172)
</f>
        <v/>
      </c>
      <c r="AD173" s="73" t="str">
        <f>IF(Z172=0,"",SUMIFS(data_num!L:L, data_num!D:D, Y172, data_num!K:K, 1)/Z172)
</f>
        <v/>
      </c>
      <c r="AE173" s="78"/>
      <c r="AF173" s="71"/>
      <c r="AG173" s="75"/>
      <c r="AH173" s="78"/>
      <c r="AI173" s="71"/>
      <c r="AJ173" s="78"/>
      <c r="AK173" s="78"/>
      <c r="AL173" s="78"/>
      <c r="AM173" s="78"/>
      <c r="AN173" s="78"/>
      <c r="AO173" s="78"/>
      <c r="AP173" s="71"/>
      <c r="AQ173" s="71"/>
      <c r="AR173" s="78"/>
      <c r="AS173" s="71"/>
      <c r="AT173" s="78"/>
      <c r="AU173" s="78"/>
      <c r="AV173" s="78"/>
      <c r="AW173" s="78"/>
      <c r="AX173" s="71"/>
      <c r="AY173" s="71"/>
    </row>
    <row r="174" ht="16.5" customHeight="1">
      <c r="A174" s="71"/>
      <c r="B174" s="78"/>
      <c r="C174" s="78"/>
      <c r="D174" s="78"/>
      <c r="E174" s="78"/>
      <c r="F174" s="78"/>
      <c r="G174" s="78"/>
      <c r="H174" s="78"/>
      <c r="I174" s="71"/>
      <c r="J174" s="78"/>
      <c r="K174" s="78"/>
      <c r="L174" s="78"/>
      <c r="M174" s="78"/>
      <c r="N174" s="78"/>
      <c r="O174" s="78"/>
      <c r="P174" s="78"/>
      <c r="Q174" s="78"/>
      <c r="R174" s="78"/>
      <c r="S174" s="78"/>
      <c r="T174" s="71"/>
      <c r="U174" s="71"/>
      <c r="V174" s="78"/>
      <c r="W174" s="78"/>
      <c r="X174" s="78"/>
      <c r="Y174" s="78"/>
      <c r="Z174" s="73"/>
      <c r="AA174" s="73" t="str">
        <f>IF(Z174=0,"",AVERAGEIFS(data_num!B:B, data_num!D:D, Y174, data_num!K:K, 1))
</f>
        <v/>
      </c>
      <c r="AB174" s="77" t="str">
        <f>IF(Z174=0,"",AVERAGEIFS(data_num!C:C, data_num!D:D, Y174, data_num!K:K, 1))
</f>
        <v/>
      </c>
      <c r="AC174" s="72" t="str">
        <f>IF(Z173=0,"",SUMIFS(data_num!L:L, data_num!D:D, Y173, data_num!K:K, 1)/Z173)
</f>
        <v/>
      </c>
      <c r="AD174" s="73" t="str">
        <f>IF(Z173=0,"",SUMIFS(data_num!L:L, data_num!D:D, Y173, data_num!K:K, 1)/Z173)
</f>
        <v/>
      </c>
      <c r="AE174" s="78"/>
      <c r="AF174" s="71"/>
      <c r="AG174" s="75"/>
      <c r="AH174" s="78"/>
      <c r="AI174" s="71"/>
      <c r="AJ174" s="78"/>
      <c r="AK174" s="78"/>
      <c r="AL174" s="78"/>
      <c r="AM174" s="78"/>
      <c r="AN174" s="78"/>
      <c r="AO174" s="78"/>
      <c r="AP174" s="71"/>
      <c r="AQ174" s="71"/>
      <c r="AR174" s="78"/>
      <c r="AS174" s="71"/>
      <c r="AT174" s="78"/>
      <c r="AU174" s="78"/>
      <c r="AV174" s="78"/>
      <c r="AW174" s="78"/>
      <c r="AX174" s="71"/>
      <c r="AY174" s="71"/>
    </row>
    <row r="175" ht="16.5" customHeight="1">
      <c r="A175" s="71"/>
      <c r="B175" s="78"/>
      <c r="C175" s="78"/>
      <c r="D175" s="78"/>
      <c r="E175" s="78"/>
      <c r="F175" s="78"/>
      <c r="G175" s="78"/>
      <c r="H175" s="78"/>
      <c r="I175" s="71"/>
      <c r="J175" s="78"/>
      <c r="K175" s="78"/>
      <c r="L175" s="78"/>
      <c r="M175" s="78"/>
      <c r="N175" s="78"/>
      <c r="O175" s="78"/>
      <c r="P175" s="78"/>
      <c r="Q175" s="78"/>
      <c r="R175" s="78"/>
      <c r="S175" s="78"/>
      <c r="T175" s="71"/>
      <c r="U175" s="71"/>
      <c r="V175" s="78"/>
      <c r="W175" s="78"/>
      <c r="X175" s="78"/>
      <c r="Y175" s="78"/>
      <c r="Z175" s="73"/>
      <c r="AA175" s="73" t="str">
        <f>IF(Z175=0,"",AVERAGEIFS(data_num!B:B, data_num!D:D, Y175, data_num!K:K, 1))
</f>
        <v/>
      </c>
      <c r="AB175" s="77" t="str">
        <f>IF(Z175=0,"",AVERAGEIFS(data_num!C:C, data_num!D:D, Y175, data_num!K:K, 1))
</f>
        <v/>
      </c>
      <c r="AC175" s="72" t="str">
        <f>IF(Z174=0,"",SUMIFS(data_num!L:L, data_num!D:D, Y174, data_num!K:K, 1)/Z174)
</f>
        <v/>
      </c>
      <c r="AD175" s="73" t="str">
        <f>IF(Z174=0,"",SUMIFS(data_num!L:L, data_num!D:D, Y174, data_num!K:K, 1)/Z174)
</f>
        <v/>
      </c>
      <c r="AE175" s="78"/>
      <c r="AF175" s="71"/>
      <c r="AG175" s="75"/>
      <c r="AH175" s="78"/>
      <c r="AI175" s="71"/>
      <c r="AJ175" s="78"/>
      <c r="AK175" s="78"/>
      <c r="AL175" s="78"/>
      <c r="AM175" s="78"/>
      <c r="AN175" s="78"/>
      <c r="AO175" s="78"/>
      <c r="AP175" s="71"/>
      <c r="AQ175" s="71"/>
      <c r="AR175" s="78"/>
      <c r="AS175" s="71"/>
      <c r="AT175" s="78"/>
      <c r="AU175" s="78"/>
      <c r="AV175" s="78"/>
      <c r="AW175" s="78"/>
      <c r="AX175" s="71"/>
      <c r="AY175" s="71"/>
    </row>
    <row r="176" ht="16.5" customHeight="1">
      <c r="A176" s="71"/>
      <c r="B176" s="78"/>
      <c r="C176" s="78"/>
      <c r="D176" s="78"/>
      <c r="E176" s="78"/>
      <c r="F176" s="78"/>
      <c r="G176" s="78"/>
      <c r="H176" s="78"/>
      <c r="I176" s="71"/>
      <c r="J176" s="78"/>
      <c r="K176" s="78"/>
      <c r="L176" s="78"/>
      <c r="M176" s="78"/>
      <c r="N176" s="78"/>
      <c r="O176" s="78"/>
      <c r="P176" s="78"/>
      <c r="Q176" s="78"/>
      <c r="R176" s="78"/>
      <c r="S176" s="78"/>
      <c r="T176" s="71"/>
      <c r="U176" s="71"/>
      <c r="V176" s="78"/>
      <c r="W176" s="78"/>
      <c r="X176" s="78"/>
      <c r="Y176" s="78"/>
      <c r="Z176" s="73"/>
      <c r="AA176" s="73" t="str">
        <f>IF(Z176=0,"",AVERAGEIFS(data_num!B:B, data_num!D:D, Y176, data_num!K:K, 1))
</f>
        <v/>
      </c>
      <c r="AB176" s="77" t="str">
        <f>IF(Z176=0,"",AVERAGEIFS(data_num!C:C, data_num!D:D, Y176, data_num!K:K, 1))
</f>
        <v/>
      </c>
      <c r="AC176" s="72" t="str">
        <f>IF(Z175=0,"",SUMIFS(data_num!L:L, data_num!D:D, Y175, data_num!K:K, 1)/Z175)
</f>
        <v/>
      </c>
      <c r="AD176" s="73" t="str">
        <f>IF(Z175=0,"",SUMIFS(data_num!L:L, data_num!D:D, Y175, data_num!K:K, 1)/Z175)
</f>
        <v/>
      </c>
      <c r="AE176" s="78"/>
      <c r="AF176" s="71"/>
      <c r="AG176" s="75"/>
      <c r="AH176" s="78"/>
      <c r="AI176" s="71"/>
      <c r="AJ176" s="78"/>
      <c r="AK176" s="78"/>
      <c r="AL176" s="78"/>
      <c r="AM176" s="78"/>
      <c r="AN176" s="78"/>
      <c r="AO176" s="78"/>
      <c r="AP176" s="71"/>
      <c r="AQ176" s="71"/>
      <c r="AR176" s="78"/>
      <c r="AS176" s="71"/>
      <c r="AT176" s="78"/>
      <c r="AU176" s="78"/>
      <c r="AV176" s="78"/>
      <c r="AW176" s="78"/>
      <c r="AX176" s="71"/>
      <c r="AY176" s="71"/>
    </row>
    <row r="177" ht="16.5" customHeight="1">
      <c r="A177" s="71"/>
      <c r="B177" s="78"/>
      <c r="C177" s="78"/>
      <c r="D177" s="78"/>
      <c r="E177" s="78"/>
      <c r="F177" s="78"/>
      <c r="G177" s="78"/>
      <c r="H177" s="78"/>
      <c r="I177" s="71"/>
      <c r="J177" s="78"/>
      <c r="K177" s="78"/>
      <c r="L177" s="78"/>
      <c r="M177" s="78"/>
      <c r="N177" s="78"/>
      <c r="O177" s="78"/>
      <c r="P177" s="78"/>
      <c r="Q177" s="78"/>
      <c r="R177" s="78"/>
      <c r="S177" s="78"/>
      <c r="T177" s="71"/>
      <c r="U177" s="71"/>
      <c r="V177" s="78"/>
      <c r="W177" s="78"/>
      <c r="X177" s="78"/>
      <c r="Y177" s="78"/>
      <c r="Z177" s="73"/>
      <c r="AA177" s="73" t="str">
        <f>IF(Z177=0,"",AVERAGEIFS(data_num!B:B, data_num!D:D, Y177, data_num!K:K, 1))
</f>
        <v/>
      </c>
      <c r="AB177" s="77" t="str">
        <f>IF(Z177=0,"",AVERAGEIFS(data_num!C:C, data_num!D:D, Y177, data_num!K:K, 1))
</f>
        <v/>
      </c>
      <c r="AC177" s="72" t="str">
        <f>IF(Z176=0,"",SUMIFS(data_num!L:L, data_num!D:D, Y176, data_num!K:K, 1)/Z176)
</f>
        <v/>
      </c>
      <c r="AD177" s="73" t="str">
        <f>IF(Z176=0,"",SUMIFS(data_num!L:L, data_num!D:D, Y176, data_num!K:K, 1)/Z176)
</f>
        <v/>
      </c>
      <c r="AE177" s="78"/>
      <c r="AF177" s="71"/>
      <c r="AG177" s="75"/>
      <c r="AH177" s="78"/>
      <c r="AI177" s="71"/>
      <c r="AJ177" s="78"/>
      <c r="AK177" s="78"/>
      <c r="AL177" s="78"/>
      <c r="AM177" s="78"/>
      <c r="AN177" s="78"/>
      <c r="AO177" s="78"/>
      <c r="AP177" s="71"/>
      <c r="AQ177" s="71"/>
      <c r="AR177" s="78"/>
      <c r="AS177" s="71"/>
      <c r="AT177" s="78"/>
      <c r="AU177" s="78"/>
      <c r="AV177" s="78"/>
      <c r="AW177" s="78"/>
      <c r="AX177" s="71"/>
      <c r="AY177" s="71"/>
    </row>
    <row r="178" ht="16.5" customHeight="1">
      <c r="A178" s="71"/>
      <c r="B178" s="78"/>
      <c r="C178" s="78"/>
      <c r="D178" s="78"/>
      <c r="E178" s="78"/>
      <c r="F178" s="78"/>
      <c r="G178" s="78"/>
      <c r="H178" s="78"/>
      <c r="I178" s="71"/>
      <c r="J178" s="78"/>
      <c r="K178" s="78"/>
      <c r="L178" s="78"/>
      <c r="M178" s="78"/>
      <c r="N178" s="78"/>
      <c r="O178" s="78"/>
      <c r="P178" s="78"/>
      <c r="Q178" s="78"/>
      <c r="R178" s="78"/>
      <c r="S178" s="78"/>
      <c r="T178" s="71"/>
      <c r="U178" s="71"/>
      <c r="V178" s="78"/>
      <c r="W178" s="78"/>
      <c r="X178" s="78"/>
      <c r="Y178" s="78"/>
      <c r="Z178" s="73"/>
      <c r="AA178" s="73" t="str">
        <f>IF(Z178=0,"",AVERAGEIFS(data_num!B:B, data_num!D:D, Y178, data_num!K:K, 1))
</f>
        <v/>
      </c>
      <c r="AB178" s="77" t="str">
        <f>IF(Z178=0,"",AVERAGEIFS(data_num!C:C, data_num!D:D, Y178, data_num!K:K, 1))
</f>
        <v/>
      </c>
      <c r="AC178" s="72" t="str">
        <f>IF(Z177=0,"",SUMIFS(data_num!L:L, data_num!D:D, Y177, data_num!K:K, 1)/Z177)
</f>
        <v/>
      </c>
      <c r="AD178" s="73" t="str">
        <f>IF(Z177=0,"",SUMIFS(data_num!L:L, data_num!D:D, Y177, data_num!K:K, 1)/Z177)
</f>
        <v/>
      </c>
      <c r="AE178" s="78"/>
      <c r="AF178" s="71"/>
      <c r="AG178" s="75"/>
      <c r="AH178" s="78"/>
      <c r="AI178" s="71"/>
      <c r="AJ178" s="78"/>
      <c r="AK178" s="78"/>
      <c r="AL178" s="78"/>
      <c r="AM178" s="78"/>
      <c r="AN178" s="78"/>
      <c r="AO178" s="78"/>
      <c r="AP178" s="71"/>
      <c r="AQ178" s="71"/>
      <c r="AR178" s="78"/>
      <c r="AS178" s="71"/>
      <c r="AT178" s="78"/>
      <c r="AU178" s="78"/>
      <c r="AV178" s="78"/>
      <c r="AW178" s="78"/>
      <c r="AX178" s="71"/>
      <c r="AY178" s="71"/>
    </row>
    <row r="179" ht="16.5" customHeight="1">
      <c r="A179" s="71"/>
      <c r="B179" s="78"/>
      <c r="C179" s="78"/>
      <c r="D179" s="78"/>
      <c r="E179" s="78"/>
      <c r="F179" s="78"/>
      <c r="G179" s="78"/>
      <c r="H179" s="78"/>
      <c r="I179" s="71"/>
      <c r="J179" s="78"/>
      <c r="K179" s="78"/>
      <c r="L179" s="78"/>
      <c r="M179" s="78"/>
      <c r="N179" s="78"/>
      <c r="O179" s="78"/>
      <c r="P179" s="78"/>
      <c r="Q179" s="78"/>
      <c r="R179" s="78"/>
      <c r="S179" s="78"/>
      <c r="T179" s="71"/>
      <c r="U179" s="71"/>
      <c r="V179" s="78"/>
      <c r="W179" s="78"/>
      <c r="X179" s="78"/>
      <c r="Y179" s="78"/>
      <c r="Z179" s="73"/>
      <c r="AA179" s="73" t="str">
        <f>IF(Z179=0,"",AVERAGEIFS(data_num!B:B, data_num!D:D, Y179, data_num!K:K, 1))
</f>
        <v/>
      </c>
      <c r="AB179" s="77" t="str">
        <f>IF(Z179=0,"",AVERAGEIFS(data_num!C:C, data_num!D:D, Y179, data_num!K:K, 1))
</f>
        <v/>
      </c>
      <c r="AC179" s="72" t="str">
        <f>IF(Z178=0,"",SUMIFS(data_num!L:L, data_num!D:D, Y178, data_num!K:K, 1)/Z178)
</f>
        <v/>
      </c>
      <c r="AD179" s="73" t="str">
        <f>IF(Z178=0,"",SUMIFS(data_num!L:L, data_num!D:D, Y178, data_num!K:K, 1)/Z178)
</f>
        <v/>
      </c>
      <c r="AE179" s="78"/>
      <c r="AF179" s="71"/>
      <c r="AG179" s="75"/>
      <c r="AH179" s="78"/>
      <c r="AI179" s="71"/>
      <c r="AJ179" s="78"/>
      <c r="AK179" s="78"/>
      <c r="AL179" s="78"/>
      <c r="AM179" s="78"/>
      <c r="AN179" s="78"/>
      <c r="AO179" s="78"/>
      <c r="AP179" s="71"/>
      <c r="AQ179" s="71"/>
      <c r="AR179" s="78"/>
      <c r="AS179" s="71"/>
      <c r="AT179" s="78"/>
      <c r="AU179" s="78"/>
      <c r="AV179" s="78"/>
      <c r="AW179" s="78"/>
      <c r="AX179" s="71"/>
      <c r="AY179" s="71"/>
    </row>
    <row r="180" ht="16.5" customHeight="1">
      <c r="A180" s="71"/>
      <c r="B180" s="78"/>
      <c r="C180" s="78"/>
      <c r="D180" s="78"/>
      <c r="E180" s="78"/>
      <c r="F180" s="78"/>
      <c r="G180" s="78"/>
      <c r="H180" s="78"/>
      <c r="I180" s="71"/>
      <c r="J180" s="78"/>
      <c r="K180" s="78"/>
      <c r="L180" s="78"/>
      <c r="M180" s="78"/>
      <c r="N180" s="78"/>
      <c r="O180" s="78"/>
      <c r="P180" s="78"/>
      <c r="Q180" s="78"/>
      <c r="R180" s="78"/>
      <c r="S180" s="78"/>
      <c r="T180" s="71"/>
      <c r="U180" s="71"/>
      <c r="V180" s="78"/>
      <c r="W180" s="78"/>
      <c r="X180" s="78"/>
      <c r="Y180" s="78"/>
      <c r="Z180" s="73"/>
      <c r="AA180" s="73" t="str">
        <f>IF(Z180=0,"",AVERAGEIFS(data_num!B:B, data_num!D:D, Y180, data_num!K:K, 1))
</f>
        <v/>
      </c>
      <c r="AB180" s="77" t="str">
        <f>IF(Z180=0,"",AVERAGEIFS(data_num!C:C, data_num!D:D, Y180, data_num!K:K, 1))
</f>
        <v/>
      </c>
      <c r="AC180" s="72" t="str">
        <f>IF(Z179=0,"",SUMIFS(data_num!L:L, data_num!D:D, Y179, data_num!K:K, 1)/Z179)
</f>
        <v/>
      </c>
      <c r="AD180" s="73" t="str">
        <f>IF(Z179=0,"",SUMIFS(data_num!L:L, data_num!D:D, Y179, data_num!K:K, 1)/Z179)
</f>
        <v/>
      </c>
      <c r="AE180" s="78"/>
      <c r="AF180" s="71"/>
      <c r="AG180" s="75"/>
      <c r="AH180" s="78"/>
      <c r="AI180" s="71"/>
      <c r="AJ180" s="78"/>
      <c r="AK180" s="78"/>
      <c r="AL180" s="78"/>
      <c r="AM180" s="78"/>
      <c r="AN180" s="78"/>
      <c r="AO180" s="78"/>
      <c r="AP180" s="71"/>
      <c r="AQ180" s="71"/>
      <c r="AR180" s="78"/>
      <c r="AS180" s="71"/>
      <c r="AT180" s="78"/>
      <c r="AU180" s="78"/>
      <c r="AV180" s="78"/>
      <c r="AW180" s="78"/>
      <c r="AX180" s="71"/>
      <c r="AY180" s="71"/>
    </row>
    <row r="181" ht="16.5" customHeight="1">
      <c r="A181" s="71"/>
      <c r="B181" s="78"/>
      <c r="C181" s="78"/>
      <c r="D181" s="78"/>
      <c r="E181" s="78"/>
      <c r="F181" s="78"/>
      <c r="G181" s="78"/>
      <c r="H181" s="78"/>
      <c r="I181" s="71"/>
      <c r="J181" s="78"/>
      <c r="K181" s="78"/>
      <c r="L181" s="78"/>
      <c r="M181" s="78"/>
      <c r="N181" s="78"/>
      <c r="O181" s="78"/>
      <c r="P181" s="78"/>
      <c r="Q181" s="78"/>
      <c r="R181" s="78"/>
      <c r="S181" s="78"/>
      <c r="T181" s="71"/>
      <c r="U181" s="71"/>
      <c r="V181" s="78"/>
      <c r="W181" s="78"/>
      <c r="X181" s="78"/>
      <c r="Y181" s="78"/>
      <c r="Z181" s="73"/>
      <c r="AA181" s="73" t="str">
        <f>IF(Z181=0,"",AVERAGEIFS(data_num!B:B, data_num!D:D, Y181, data_num!K:K, 1))
</f>
        <v/>
      </c>
      <c r="AB181" s="77" t="str">
        <f>IF(Z181=0,"",AVERAGEIFS(data_num!C:C, data_num!D:D, Y181, data_num!K:K, 1))
</f>
        <v/>
      </c>
      <c r="AC181" s="72" t="str">
        <f>IF(Z180=0,"",SUMIFS(data_num!L:L, data_num!D:D, Y180, data_num!K:K, 1)/Z180)
</f>
        <v/>
      </c>
      <c r="AD181" s="73" t="str">
        <f>IF(Z180=0,"",SUMIFS(data_num!L:L, data_num!D:D, Y180, data_num!K:K, 1)/Z180)
</f>
        <v/>
      </c>
      <c r="AE181" s="78"/>
      <c r="AF181" s="71"/>
      <c r="AG181" s="75"/>
      <c r="AH181" s="78"/>
      <c r="AI181" s="71"/>
      <c r="AJ181" s="78"/>
      <c r="AK181" s="78"/>
      <c r="AL181" s="78"/>
      <c r="AM181" s="78"/>
      <c r="AN181" s="78"/>
      <c r="AO181" s="78"/>
      <c r="AP181" s="71"/>
      <c r="AQ181" s="71"/>
      <c r="AR181" s="78"/>
      <c r="AS181" s="71"/>
      <c r="AT181" s="78"/>
      <c r="AU181" s="78"/>
      <c r="AV181" s="78"/>
      <c r="AW181" s="78"/>
      <c r="AX181" s="71"/>
      <c r="AY181" s="71"/>
    </row>
    <row r="182" ht="16.5" customHeight="1">
      <c r="A182" s="71"/>
      <c r="B182" s="78"/>
      <c r="C182" s="78"/>
      <c r="D182" s="78"/>
      <c r="E182" s="78"/>
      <c r="F182" s="78"/>
      <c r="G182" s="78"/>
      <c r="H182" s="78"/>
      <c r="I182" s="71"/>
      <c r="J182" s="78"/>
      <c r="K182" s="78"/>
      <c r="L182" s="78"/>
      <c r="M182" s="78"/>
      <c r="N182" s="78"/>
      <c r="O182" s="78"/>
      <c r="P182" s="78"/>
      <c r="Q182" s="78"/>
      <c r="R182" s="78"/>
      <c r="S182" s="78"/>
      <c r="T182" s="71"/>
      <c r="U182" s="71"/>
      <c r="V182" s="78"/>
      <c r="W182" s="78"/>
      <c r="X182" s="78"/>
      <c r="Y182" s="78"/>
      <c r="Z182" s="73"/>
      <c r="AA182" s="73" t="str">
        <f>IF(Z182=0,"",AVERAGEIFS(data_num!B:B, data_num!D:D, Y182, data_num!K:K, 1))
</f>
        <v/>
      </c>
      <c r="AB182" s="77" t="str">
        <f>IF(Z182=0,"",AVERAGEIFS(data_num!C:C, data_num!D:D, Y182, data_num!K:K, 1))
</f>
        <v/>
      </c>
      <c r="AC182" s="72" t="str">
        <f>IF(Z181=0,"",SUMIFS(data_num!L:L, data_num!D:D, Y181, data_num!K:K, 1)/Z181)
</f>
        <v/>
      </c>
      <c r="AD182" s="73" t="str">
        <f>IF(Z181=0,"",SUMIFS(data_num!L:L, data_num!D:D, Y181, data_num!K:K, 1)/Z181)
</f>
        <v/>
      </c>
      <c r="AE182" s="78"/>
      <c r="AF182" s="71"/>
      <c r="AG182" s="75"/>
      <c r="AH182" s="78"/>
      <c r="AI182" s="71"/>
      <c r="AJ182" s="78"/>
      <c r="AK182" s="78"/>
      <c r="AL182" s="78"/>
      <c r="AM182" s="78"/>
      <c r="AN182" s="78"/>
      <c r="AO182" s="78"/>
      <c r="AP182" s="71"/>
      <c r="AQ182" s="71"/>
      <c r="AR182" s="78"/>
      <c r="AS182" s="71"/>
      <c r="AT182" s="78"/>
      <c r="AU182" s="78"/>
      <c r="AV182" s="78"/>
      <c r="AW182" s="78"/>
      <c r="AX182" s="71"/>
      <c r="AY182" s="71"/>
    </row>
    <row r="183" ht="16.5" customHeight="1">
      <c r="A183" s="71"/>
      <c r="B183" s="78"/>
      <c r="C183" s="78"/>
      <c r="D183" s="78"/>
      <c r="E183" s="78"/>
      <c r="F183" s="78"/>
      <c r="G183" s="78"/>
      <c r="H183" s="78"/>
      <c r="I183" s="71"/>
      <c r="J183" s="78"/>
      <c r="K183" s="78"/>
      <c r="L183" s="78"/>
      <c r="M183" s="78"/>
      <c r="N183" s="78"/>
      <c r="O183" s="78"/>
      <c r="P183" s="78"/>
      <c r="Q183" s="78"/>
      <c r="R183" s="78"/>
      <c r="S183" s="78"/>
      <c r="T183" s="71"/>
      <c r="U183" s="71"/>
      <c r="V183" s="78"/>
      <c r="W183" s="78"/>
      <c r="X183" s="78"/>
      <c r="Y183" s="78"/>
      <c r="Z183" s="73"/>
      <c r="AA183" s="73" t="str">
        <f>IF(Z183=0,"",AVERAGEIFS(data_num!B:B, data_num!D:D, Y183, data_num!K:K, 1))
</f>
        <v/>
      </c>
      <c r="AB183" s="77" t="str">
        <f>IF(Z183=0,"",AVERAGEIFS(data_num!C:C, data_num!D:D, Y183, data_num!K:K, 1))
</f>
        <v/>
      </c>
      <c r="AC183" s="72" t="str">
        <f>IF(Z182=0,"",SUMIFS(data_num!L:L, data_num!D:D, Y182, data_num!K:K, 1)/Z182)
</f>
        <v/>
      </c>
      <c r="AD183" s="73" t="str">
        <f>IF(Z182=0,"",SUMIFS(data_num!L:L, data_num!D:D, Y182, data_num!K:K, 1)/Z182)
</f>
        <v/>
      </c>
      <c r="AE183" s="78"/>
      <c r="AF183" s="71"/>
      <c r="AG183" s="75"/>
      <c r="AH183" s="78"/>
      <c r="AI183" s="71"/>
      <c r="AJ183" s="78"/>
      <c r="AK183" s="78"/>
      <c r="AL183" s="78"/>
      <c r="AM183" s="78"/>
      <c r="AN183" s="78"/>
      <c r="AO183" s="78"/>
      <c r="AP183" s="71"/>
      <c r="AQ183" s="71"/>
      <c r="AR183" s="78"/>
      <c r="AS183" s="71"/>
      <c r="AT183" s="78"/>
      <c r="AU183" s="78"/>
      <c r="AV183" s="78"/>
      <c r="AW183" s="78"/>
      <c r="AX183" s="71"/>
      <c r="AY183" s="71"/>
    </row>
    <row r="184" ht="16.5" customHeight="1">
      <c r="A184" s="71"/>
      <c r="B184" s="78"/>
      <c r="C184" s="78"/>
      <c r="D184" s="78"/>
      <c r="E184" s="78"/>
      <c r="F184" s="78"/>
      <c r="G184" s="78"/>
      <c r="H184" s="78"/>
      <c r="I184" s="71"/>
      <c r="J184" s="78"/>
      <c r="K184" s="78"/>
      <c r="L184" s="78"/>
      <c r="M184" s="78"/>
      <c r="N184" s="78"/>
      <c r="O184" s="78"/>
      <c r="P184" s="78"/>
      <c r="Q184" s="78"/>
      <c r="R184" s="78"/>
      <c r="S184" s="78"/>
      <c r="T184" s="71"/>
      <c r="U184" s="71"/>
      <c r="V184" s="78"/>
      <c r="W184" s="78"/>
      <c r="X184" s="78"/>
      <c r="Y184" s="78"/>
      <c r="Z184" s="73"/>
      <c r="AA184" s="73" t="str">
        <f>IF(Z184=0,"",AVERAGEIFS(data_num!B:B, data_num!D:D, Y184, data_num!K:K, 1))
</f>
        <v/>
      </c>
      <c r="AB184" s="77" t="str">
        <f>IF(Z184=0,"",AVERAGEIFS(data_num!C:C, data_num!D:D, Y184, data_num!K:K, 1))
</f>
        <v/>
      </c>
      <c r="AC184" s="72" t="str">
        <f>IF(Z183=0,"",SUMIFS(data_num!L:L, data_num!D:D, Y183, data_num!K:K, 1)/Z183)
</f>
        <v/>
      </c>
      <c r="AD184" s="73" t="str">
        <f>IF(Z183=0,"",SUMIFS(data_num!L:L, data_num!D:D, Y183, data_num!K:K, 1)/Z183)
</f>
        <v/>
      </c>
      <c r="AE184" s="78"/>
      <c r="AF184" s="71"/>
      <c r="AG184" s="75"/>
      <c r="AH184" s="78"/>
      <c r="AI184" s="71"/>
      <c r="AJ184" s="78"/>
      <c r="AK184" s="78"/>
      <c r="AL184" s="78"/>
      <c r="AM184" s="78"/>
      <c r="AN184" s="78"/>
      <c r="AO184" s="78"/>
      <c r="AP184" s="71"/>
      <c r="AQ184" s="71"/>
      <c r="AR184" s="78"/>
      <c r="AS184" s="71"/>
      <c r="AT184" s="78"/>
      <c r="AU184" s="78"/>
      <c r="AV184" s="78"/>
      <c r="AW184" s="78"/>
      <c r="AX184" s="71"/>
      <c r="AY184" s="71"/>
    </row>
    <row r="185" ht="16.5" customHeight="1">
      <c r="A185" s="71"/>
      <c r="B185" s="78"/>
      <c r="C185" s="78"/>
      <c r="D185" s="78"/>
      <c r="E185" s="78"/>
      <c r="F185" s="78"/>
      <c r="G185" s="78"/>
      <c r="H185" s="78"/>
      <c r="I185" s="71"/>
      <c r="J185" s="78"/>
      <c r="K185" s="78"/>
      <c r="L185" s="78"/>
      <c r="M185" s="78"/>
      <c r="N185" s="78"/>
      <c r="O185" s="78"/>
      <c r="P185" s="78"/>
      <c r="Q185" s="78"/>
      <c r="R185" s="78"/>
      <c r="S185" s="78"/>
      <c r="T185" s="71"/>
      <c r="U185" s="71"/>
      <c r="V185" s="78"/>
      <c r="W185" s="78"/>
      <c r="X185" s="78"/>
      <c r="Y185" s="78"/>
      <c r="Z185" s="73"/>
      <c r="AA185" s="73" t="str">
        <f>IF(Z185=0,"",AVERAGEIFS(data_num!B:B, data_num!D:D, Y185, data_num!K:K, 1))
</f>
        <v/>
      </c>
      <c r="AB185" s="77" t="str">
        <f>IF(Z185=0,"",AVERAGEIFS(data_num!C:C, data_num!D:D, Y185, data_num!K:K, 1))
</f>
        <v/>
      </c>
      <c r="AC185" s="72" t="str">
        <f>IF(Z184=0,"",SUMIFS(data_num!L:L, data_num!D:D, Y184, data_num!K:K, 1)/Z184)
</f>
        <v/>
      </c>
      <c r="AD185" s="73" t="str">
        <f>IF(Z184=0,"",SUMIFS(data_num!L:L, data_num!D:D, Y184, data_num!K:K, 1)/Z184)
</f>
        <v/>
      </c>
      <c r="AE185" s="78"/>
      <c r="AF185" s="71"/>
      <c r="AG185" s="75"/>
      <c r="AH185" s="78"/>
      <c r="AI185" s="71"/>
      <c r="AJ185" s="78"/>
      <c r="AK185" s="78"/>
      <c r="AL185" s="78"/>
      <c r="AM185" s="78"/>
      <c r="AN185" s="78"/>
      <c r="AO185" s="78"/>
      <c r="AP185" s="71"/>
      <c r="AQ185" s="71"/>
      <c r="AR185" s="78"/>
      <c r="AS185" s="71"/>
      <c r="AT185" s="78"/>
      <c r="AU185" s="78"/>
      <c r="AV185" s="78"/>
      <c r="AW185" s="78"/>
      <c r="AX185" s="71"/>
      <c r="AY185" s="71"/>
    </row>
    <row r="186" ht="16.5" customHeight="1">
      <c r="A186" s="71"/>
      <c r="B186" s="78"/>
      <c r="C186" s="78"/>
      <c r="D186" s="78"/>
      <c r="E186" s="78"/>
      <c r="F186" s="78"/>
      <c r="G186" s="78"/>
      <c r="H186" s="78"/>
      <c r="I186" s="71"/>
      <c r="J186" s="78"/>
      <c r="K186" s="78"/>
      <c r="L186" s="78"/>
      <c r="M186" s="78"/>
      <c r="N186" s="78"/>
      <c r="O186" s="78"/>
      <c r="P186" s="78"/>
      <c r="Q186" s="78"/>
      <c r="R186" s="78"/>
      <c r="S186" s="78"/>
      <c r="T186" s="71"/>
      <c r="U186" s="71"/>
      <c r="V186" s="78"/>
      <c r="W186" s="78"/>
      <c r="X186" s="78"/>
      <c r="Y186" s="78"/>
      <c r="Z186" s="73"/>
      <c r="AA186" s="73" t="str">
        <f>IF(Z186=0,"",AVERAGEIFS(data_num!B:B, data_num!D:D, Y186, data_num!K:K, 1))
</f>
        <v/>
      </c>
      <c r="AB186" s="77" t="str">
        <f>IF(Z186=0,"",AVERAGEIFS(data_num!C:C, data_num!D:D, Y186, data_num!K:K, 1))
</f>
        <v/>
      </c>
      <c r="AC186" s="72" t="str">
        <f>IF(Z185=0,"",SUMIFS(data_num!L:L, data_num!D:D, Y185, data_num!K:K, 1)/Z185)
</f>
        <v/>
      </c>
      <c r="AD186" s="73" t="str">
        <f>IF(Z185=0,"",SUMIFS(data_num!L:L, data_num!D:D, Y185, data_num!K:K, 1)/Z185)
</f>
        <v/>
      </c>
      <c r="AE186" s="78"/>
      <c r="AF186" s="71"/>
      <c r="AG186" s="75"/>
      <c r="AH186" s="78"/>
      <c r="AI186" s="71"/>
      <c r="AJ186" s="78"/>
      <c r="AK186" s="78"/>
      <c r="AL186" s="78"/>
      <c r="AM186" s="78"/>
      <c r="AN186" s="78"/>
      <c r="AO186" s="78"/>
      <c r="AP186" s="71"/>
      <c r="AQ186" s="71"/>
      <c r="AR186" s="78"/>
      <c r="AS186" s="71"/>
      <c r="AT186" s="78"/>
      <c r="AU186" s="78"/>
      <c r="AV186" s="78"/>
      <c r="AW186" s="78"/>
      <c r="AX186" s="71"/>
      <c r="AY186" s="71"/>
    </row>
    <row r="187" ht="16.5" customHeight="1">
      <c r="A187" s="71"/>
      <c r="B187" s="78"/>
      <c r="C187" s="78"/>
      <c r="D187" s="78"/>
      <c r="E187" s="78"/>
      <c r="F187" s="78"/>
      <c r="G187" s="78"/>
      <c r="H187" s="78"/>
      <c r="I187" s="71"/>
      <c r="J187" s="78"/>
      <c r="K187" s="78"/>
      <c r="L187" s="78"/>
      <c r="M187" s="78"/>
      <c r="N187" s="78"/>
      <c r="O187" s="78"/>
      <c r="P187" s="78"/>
      <c r="Q187" s="78"/>
      <c r="R187" s="78"/>
      <c r="S187" s="78"/>
      <c r="T187" s="71"/>
      <c r="U187" s="71"/>
      <c r="V187" s="78"/>
      <c r="W187" s="78"/>
      <c r="X187" s="78"/>
      <c r="Y187" s="78"/>
      <c r="Z187" s="73"/>
      <c r="AA187" s="73" t="str">
        <f>IF(Z187=0,"",AVERAGEIFS(data_num!B:B, data_num!D:D, Y187, data_num!K:K, 1))
</f>
        <v/>
      </c>
      <c r="AB187" s="77" t="str">
        <f>IF(Z187=0,"",AVERAGEIFS(data_num!C:C, data_num!D:D, Y187, data_num!K:K, 1))
</f>
        <v/>
      </c>
      <c r="AC187" s="72" t="str">
        <f>IF(Z186=0,"",SUMIFS(data_num!L:L, data_num!D:D, Y186, data_num!K:K, 1)/Z186)
</f>
        <v/>
      </c>
      <c r="AD187" s="73" t="str">
        <f>IF(Z186=0,"",SUMIFS(data_num!L:L, data_num!D:D, Y186, data_num!K:K, 1)/Z186)
</f>
        <v/>
      </c>
      <c r="AE187" s="78"/>
      <c r="AF187" s="71"/>
      <c r="AG187" s="75"/>
      <c r="AH187" s="78"/>
      <c r="AI187" s="71"/>
      <c r="AJ187" s="78"/>
      <c r="AK187" s="78"/>
      <c r="AL187" s="78"/>
      <c r="AM187" s="78"/>
      <c r="AN187" s="78"/>
      <c r="AO187" s="78"/>
      <c r="AP187" s="71"/>
      <c r="AQ187" s="71"/>
      <c r="AR187" s="78"/>
      <c r="AS187" s="71"/>
      <c r="AT187" s="78"/>
      <c r="AU187" s="78"/>
      <c r="AV187" s="78"/>
      <c r="AW187" s="78"/>
      <c r="AX187" s="71"/>
      <c r="AY187" s="71"/>
    </row>
    <row r="188" ht="16.5" customHeight="1">
      <c r="A188" s="71"/>
      <c r="B188" s="78"/>
      <c r="C188" s="78"/>
      <c r="D188" s="78"/>
      <c r="E188" s="78"/>
      <c r="F188" s="78"/>
      <c r="G188" s="78"/>
      <c r="H188" s="78"/>
      <c r="I188" s="71"/>
      <c r="J188" s="78"/>
      <c r="K188" s="78"/>
      <c r="L188" s="78"/>
      <c r="M188" s="78"/>
      <c r="N188" s="78"/>
      <c r="O188" s="78"/>
      <c r="P188" s="78"/>
      <c r="Q188" s="78"/>
      <c r="R188" s="78"/>
      <c r="S188" s="78"/>
      <c r="T188" s="71"/>
      <c r="U188" s="71"/>
      <c r="V188" s="78"/>
      <c r="W188" s="78"/>
      <c r="X188" s="78"/>
      <c r="Y188" s="78"/>
      <c r="Z188" s="73"/>
      <c r="AA188" s="73" t="str">
        <f>IF(Z188=0,"",AVERAGEIFS(data_num!B:B, data_num!D:D, Y188, data_num!K:K, 1))
</f>
        <v/>
      </c>
      <c r="AB188" s="77" t="str">
        <f>IF(Z188=0,"",AVERAGEIFS(data_num!C:C, data_num!D:D, Y188, data_num!K:K, 1))
</f>
        <v/>
      </c>
      <c r="AC188" s="72" t="str">
        <f>IF(Z187=0,"",SUMIFS(data_num!L:L, data_num!D:D, Y187, data_num!K:K, 1)/Z187)
</f>
        <v/>
      </c>
      <c r="AD188" s="73" t="str">
        <f>IF(Z187=0,"",SUMIFS(data_num!L:L, data_num!D:D, Y187, data_num!K:K, 1)/Z187)
</f>
        <v/>
      </c>
      <c r="AE188" s="78"/>
      <c r="AF188" s="71"/>
      <c r="AG188" s="75"/>
      <c r="AH188" s="78"/>
      <c r="AI188" s="71"/>
      <c r="AJ188" s="78"/>
      <c r="AK188" s="78"/>
      <c r="AL188" s="78"/>
      <c r="AM188" s="78"/>
      <c r="AN188" s="78"/>
      <c r="AO188" s="78"/>
      <c r="AP188" s="71"/>
      <c r="AQ188" s="71"/>
      <c r="AR188" s="78"/>
      <c r="AS188" s="71"/>
      <c r="AT188" s="78"/>
      <c r="AU188" s="78"/>
      <c r="AV188" s="78"/>
      <c r="AW188" s="78"/>
      <c r="AX188" s="71"/>
      <c r="AY188" s="71"/>
    </row>
    <row r="189" ht="16.5" customHeight="1">
      <c r="A189" s="71"/>
      <c r="B189" s="78"/>
      <c r="C189" s="78"/>
      <c r="D189" s="78"/>
      <c r="E189" s="78"/>
      <c r="F189" s="78"/>
      <c r="G189" s="78"/>
      <c r="H189" s="78"/>
      <c r="I189" s="71"/>
      <c r="J189" s="78"/>
      <c r="K189" s="78"/>
      <c r="L189" s="78"/>
      <c r="M189" s="78"/>
      <c r="N189" s="78"/>
      <c r="O189" s="78"/>
      <c r="P189" s="78"/>
      <c r="Q189" s="78"/>
      <c r="R189" s="78"/>
      <c r="S189" s="78"/>
      <c r="T189" s="71"/>
      <c r="U189" s="71"/>
      <c r="V189" s="78"/>
      <c r="W189" s="78"/>
      <c r="X189" s="78"/>
      <c r="Y189" s="78"/>
      <c r="Z189" s="73"/>
      <c r="AA189" s="73" t="str">
        <f>IF(Z189=0,"",AVERAGEIFS(data_num!B:B, data_num!D:D, Y189, data_num!K:K, 1))
</f>
        <v/>
      </c>
      <c r="AB189" s="77" t="str">
        <f>IF(Z189=0,"",AVERAGEIFS(data_num!C:C, data_num!D:D, Y189, data_num!K:K, 1))
</f>
        <v/>
      </c>
      <c r="AC189" s="72" t="str">
        <f>IF(Z188=0,"",SUMIFS(data_num!L:L, data_num!D:D, Y188, data_num!K:K, 1)/Z188)
</f>
        <v/>
      </c>
      <c r="AD189" s="73" t="str">
        <f>IF(Z188=0,"",SUMIFS(data_num!L:L, data_num!D:D, Y188, data_num!K:K, 1)/Z188)
</f>
        <v/>
      </c>
      <c r="AE189" s="78"/>
      <c r="AF189" s="71"/>
      <c r="AG189" s="75"/>
      <c r="AH189" s="78"/>
      <c r="AI189" s="71"/>
      <c r="AJ189" s="78"/>
      <c r="AK189" s="78"/>
      <c r="AL189" s="78"/>
      <c r="AM189" s="78"/>
      <c r="AN189" s="78"/>
      <c r="AO189" s="78"/>
      <c r="AP189" s="71"/>
      <c r="AQ189" s="71"/>
      <c r="AR189" s="78"/>
      <c r="AS189" s="71"/>
      <c r="AT189" s="78"/>
      <c r="AU189" s="78"/>
      <c r="AV189" s="78"/>
      <c r="AW189" s="78"/>
      <c r="AX189" s="71"/>
      <c r="AY189" s="71"/>
    </row>
    <row r="190" ht="16.5" customHeight="1">
      <c r="A190" s="71"/>
      <c r="B190" s="78"/>
      <c r="C190" s="78"/>
      <c r="D190" s="78"/>
      <c r="E190" s="78"/>
      <c r="F190" s="78"/>
      <c r="G190" s="78"/>
      <c r="H190" s="78"/>
      <c r="I190" s="71"/>
      <c r="J190" s="78"/>
      <c r="K190" s="78"/>
      <c r="L190" s="78"/>
      <c r="M190" s="78"/>
      <c r="N190" s="78"/>
      <c r="O190" s="78"/>
      <c r="P190" s="78"/>
      <c r="Q190" s="78"/>
      <c r="R190" s="78"/>
      <c r="S190" s="78"/>
      <c r="T190" s="71"/>
      <c r="U190" s="71"/>
      <c r="V190" s="78"/>
      <c r="W190" s="78"/>
      <c r="X190" s="78"/>
      <c r="Y190" s="78"/>
      <c r="Z190" s="73"/>
      <c r="AA190" s="73" t="str">
        <f>IF(Z190=0,"",AVERAGEIFS(data_num!B:B, data_num!D:D, Y190, data_num!K:K, 1))
</f>
        <v/>
      </c>
      <c r="AB190" s="77" t="str">
        <f>IF(Z190=0,"",AVERAGEIFS(data_num!C:C, data_num!D:D, Y190, data_num!K:K, 1))
</f>
        <v/>
      </c>
      <c r="AC190" s="72" t="str">
        <f>IF(Z189=0,"",SUMIFS(data_num!L:L, data_num!D:D, Y189, data_num!K:K, 1)/Z189)
</f>
        <v/>
      </c>
      <c r="AD190" s="73" t="str">
        <f>IF(Z189=0,"",SUMIFS(data_num!L:L, data_num!D:D, Y189, data_num!K:K, 1)/Z189)
</f>
        <v/>
      </c>
      <c r="AE190" s="78"/>
      <c r="AF190" s="71"/>
      <c r="AG190" s="75"/>
      <c r="AH190" s="78"/>
      <c r="AI190" s="71"/>
      <c r="AJ190" s="78"/>
      <c r="AK190" s="78"/>
      <c r="AL190" s="78"/>
      <c r="AM190" s="78"/>
      <c r="AN190" s="78"/>
      <c r="AO190" s="78"/>
      <c r="AP190" s="71"/>
      <c r="AQ190" s="71"/>
      <c r="AR190" s="78"/>
      <c r="AS190" s="71"/>
      <c r="AT190" s="78"/>
      <c r="AU190" s="78"/>
      <c r="AV190" s="78"/>
      <c r="AW190" s="78"/>
      <c r="AX190" s="71"/>
      <c r="AY190" s="71"/>
    </row>
    <row r="191" ht="16.5" customHeight="1">
      <c r="A191" s="71"/>
      <c r="B191" s="78"/>
      <c r="C191" s="78"/>
      <c r="D191" s="78"/>
      <c r="E191" s="78"/>
      <c r="F191" s="78"/>
      <c r="G191" s="78"/>
      <c r="H191" s="78"/>
      <c r="I191" s="71"/>
      <c r="J191" s="78"/>
      <c r="K191" s="78"/>
      <c r="L191" s="78"/>
      <c r="M191" s="78"/>
      <c r="N191" s="78"/>
      <c r="O191" s="78"/>
      <c r="P191" s="78"/>
      <c r="Q191" s="78"/>
      <c r="R191" s="78"/>
      <c r="S191" s="78"/>
      <c r="T191" s="71"/>
      <c r="U191" s="71"/>
      <c r="V191" s="78"/>
      <c r="W191" s="78"/>
      <c r="X191" s="78"/>
      <c r="Y191" s="78"/>
      <c r="Z191" s="73"/>
      <c r="AA191" s="73" t="str">
        <f>IF(Z191=0,"",AVERAGEIFS(data_num!B:B, data_num!D:D, Y191, data_num!K:K, 1))
</f>
        <v/>
      </c>
      <c r="AB191" s="77" t="str">
        <f>IF(Z191=0,"",AVERAGEIFS(data_num!C:C, data_num!D:D, Y191, data_num!K:K, 1))
</f>
        <v/>
      </c>
      <c r="AC191" s="72" t="str">
        <f>IF(Z190=0,"",SUMIFS(data_num!L:L, data_num!D:D, Y190, data_num!K:K, 1)/Z190)
</f>
        <v/>
      </c>
      <c r="AD191" s="73" t="str">
        <f>IF(Z190=0,"",SUMIFS(data_num!L:L, data_num!D:D, Y190, data_num!K:K, 1)/Z190)
</f>
        <v/>
      </c>
      <c r="AE191" s="78"/>
      <c r="AF191" s="71"/>
      <c r="AG191" s="75"/>
      <c r="AH191" s="78"/>
      <c r="AI191" s="71"/>
      <c r="AJ191" s="78"/>
      <c r="AK191" s="78"/>
      <c r="AL191" s="78"/>
      <c r="AM191" s="78"/>
      <c r="AN191" s="78"/>
      <c r="AO191" s="78"/>
      <c r="AP191" s="71"/>
      <c r="AQ191" s="71"/>
      <c r="AR191" s="78"/>
      <c r="AS191" s="71"/>
      <c r="AT191" s="78"/>
      <c r="AU191" s="78"/>
      <c r="AV191" s="78"/>
      <c r="AW191" s="78"/>
      <c r="AX191" s="71"/>
      <c r="AY191" s="71"/>
    </row>
    <row r="192" ht="16.5" customHeight="1">
      <c r="A192" s="71"/>
      <c r="B192" s="78"/>
      <c r="C192" s="78"/>
      <c r="D192" s="78"/>
      <c r="E192" s="78"/>
      <c r="F192" s="78"/>
      <c r="G192" s="78"/>
      <c r="H192" s="78"/>
      <c r="I192" s="71"/>
      <c r="J192" s="78"/>
      <c r="K192" s="78"/>
      <c r="L192" s="78"/>
      <c r="M192" s="78"/>
      <c r="N192" s="78"/>
      <c r="O192" s="78"/>
      <c r="P192" s="78"/>
      <c r="Q192" s="78"/>
      <c r="R192" s="78"/>
      <c r="S192" s="78"/>
      <c r="T192" s="71"/>
      <c r="U192" s="71"/>
      <c r="V192" s="78"/>
      <c r="W192" s="78"/>
      <c r="X192" s="78"/>
      <c r="Y192" s="78"/>
      <c r="Z192" s="73"/>
      <c r="AA192" s="73" t="str">
        <f>IF(Z192=0,"",AVERAGEIFS(data_num!B:B, data_num!D:D, Y192, data_num!K:K, 1))
</f>
        <v/>
      </c>
      <c r="AB192" s="77" t="str">
        <f>IF(Z192=0,"",AVERAGEIFS(data_num!C:C, data_num!D:D, Y192, data_num!K:K, 1))
</f>
        <v/>
      </c>
      <c r="AC192" s="72" t="str">
        <f>IF(Z191=0,"",SUMIFS(data_num!L:L, data_num!D:D, Y191, data_num!K:K, 1)/Z191)
</f>
        <v/>
      </c>
      <c r="AD192" s="73" t="str">
        <f>IF(Z191=0,"",SUMIFS(data_num!L:L, data_num!D:D, Y191, data_num!K:K, 1)/Z191)
</f>
        <v/>
      </c>
      <c r="AE192" s="78"/>
      <c r="AF192" s="71"/>
      <c r="AG192" s="75"/>
      <c r="AH192" s="78"/>
      <c r="AI192" s="71"/>
      <c r="AJ192" s="78"/>
      <c r="AK192" s="78"/>
      <c r="AL192" s="78"/>
      <c r="AM192" s="78"/>
      <c r="AN192" s="78"/>
      <c r="AO192" s="78"/>
      <c r="AP192" s="71"/>
      <c r="AQ192" s="71"/>
      <c r="AR192" s="78"/>
      <c r="AS192" s="71"/>
      <c r="AT192" s="78"/>
      <c r="AU192" s="78"/>
      <c r="AV192" s="78"/>
      <c r="AW192" s="78"/>
      <c r="AX192" s="71"/>
      <c r="AY192" s="71"/>
    </row>
    <row r="193" ht="16.5" customHeight="1">
      <c r="A193" s="71"/>
      <c r="B193" s="78"/>
      <c r="C193" s="78"/>
      <c r="D193" s="78"/>
      <c r="E193" s="78"/>
      <c r="F193" s="78"/>
      <c r="G193" s="78"/>
      <c r="H193" s="78"/>
      <c r="I193" s="71"/>
      <c r="J193" s="78"/>
      <c r="K193" s="78"/>
      <c r="L193" s="78"/>
      <c r="M193" s="78"/>
      <c r="N193" s="78"/>
      <c r="O193" s="78"/>
      <c r="P193" s="78"/>
      <c r="Q193" s="78"/>
      <c r="R193" s="78"/>
      <c r="S193" s="78"/>
      <c r="T193" s="71"/>
      <c r="U193" s="71"/>
      <c r="V193" s="78"/>
      <c r="W193" s="78"/>
      <c r="X193" s="78"/>
      <c r="Y193" s="78"/>
      <c r="Z193" s="73"/>
      <c r="AA193" s="73" t="str">
        <f>IF(Z193=0,"",AVERAGEIFS(data_num!B:B, data_num!D:D, Y193, data_num!K:K, 1))
</f>
        <v/>
      </c>
      <c r="AB193" s="77" t="str">
        <f>IF(Z193=0,"",AVERAGEIFS(data_num!C:C, data_num!D:D, Y193, data_num!K:K, 1))
</f>
        <v/>
      </c>
      <c r="AC193" s="72" t="str">
        <f>IF(Z192=0,"",SUMIFS(data_num!L:L, data_num!D:D, Y192, data_num!K:K, 1)/Z192)
</f>
        <v/>
      </c>
      <c r="AD193" s="73" t="str">
        <f>IF(Z192=0,"",SUMIFS(data_num!L:L, data_num!D:D, Y192, data_num!K:K, 1)/Z192)
</f>
        <v/>
      </c>
      <c r="AE193" s="78"/>
      <c r="AF193" s="71"/>
      <c r="AG193" s="75"/>
      <c r="AH193" s="78"/>
      <c r="AI193" s="71"/>
      <c r="AJ193" s="78"/>
      <c r="AK193" s="78"/>
      <c r="AL193" s="78"/>
      <c r="AM193" s="78"/>
      <c r="AN193" s="78"/>
      <c r="AO193" s="78"/>
      <c r="AP193" s="71"/>
      <c r="AQ193" s="71"/>
      <c r="AR193" s="78"/>
      <c r="AS193" s="71"/>
      <c r="AT193" s="78"/>
      <c r="AU193" s="78"/>
      <c r="AV193" s="78"/>
      <c r="AW193" s="78"/>
      <c r="AX193" s="71"/>
      <c r="AY193" s="71"/>
    </row>
    <row r="194" ht="16.5" customHeight="1">
      <c r="A194" s="71"/>
      <c r="B194" s="78"/>
      <c r="C194" s="78"/>
      <c r="D194" s="78"/>
      <c r="E194" s="78"/>
      <c r="F194" s="78"/>
      <c r="G194" s="78"/>
      <c r="H194" s="78"/>
      <c r="I194" s="71"/>
      <c r="J194" s="78"/>
      <c r="K194" s="78"/>
      <c r="L194" s="78"/>
      <c r="M194" s="78"/>
      <c r="N194" s="78"/>
      <c r="O194" s="78"/>
      <c r="P194" s="78"/>
      <c r="Q194" s="78"/>
      <c r="R194" s="78"/>
      <c r="S194" s="78"/>
      <c r="T194" s="71"/>
      <c r="U194" s="71"/>
      <c r="V194" s="78"/>
      <c r="W194" s="78"/>
      <c r="X194" s="78"/>
      <c r="Y194" s="78"/>
      <c r="Z194" s="73"/>
      <c r="AA194" s="73" t="str">
        <f>IF(Z194=0,"",AVERAGEIFS(data_num!B:B, data_num!D:D, Y194, data_num!K:K, 1))
</f>
        <v/>
      </c>
      <c r="AB194" s="77" t="str">
        <f>IF(Z194=0,"",AVERAGEIFS(data_num!C:C, data_num!D:D, Y194, data_num!K:K, 1))
</f>
        <v/>
      </c>
      <c r="AC194" s="72" t="str">
        <f>IF(Z193=0,"",SUMIFS(data_num!L:L, data_num!D:D, Y193, data_num!K:K, 1)/Z193)
</f>
        <v/>
      </c>
      <c r="AD194" s="73" t="str">
        <f>IF(Z193=0,"",SUMIFS(data_num!L:L, data_num!D:D, Y193, data_num!K:K, 1)/Z193)
</f>
        <v/>
      </c>
      <c r="AE194" s="78"/>
      <c r="AF194" s="71"/>
      <c r="AG194" s="75"/>
      <c r="AH194" s="78"/>
      <c r="AI194" s="71"/>
      <c r="AJ194" s="78"/>
      <c r="AK194" s="78"/>
      <c r="AL194" s="78"/>
      <c r="AM194" s="78"/>
      <c r="AN194" s="78"/>
      <c r="AO194" s="78"/>
      <c r="AP194" s="71"/>
      <c r="AQ194" s="71"/>
      <c r="AR194" s="78"/>
      <c r="AS194" s="71"/>
      <c r="AT194" s="78"/>
      <c r="AU194" s="78"/>
      <c r="AV194" s="78"/>
      <c r="AW194" s="78"/>
      <c r="AX194" s="71"/>
      <c r="AY194" s="71"/>
    </row>
    <row r="195" ht="16.5" customHeight="1">
      <c r="A195" s="71"/>
      <c r="B195" s="78"/>
      <c r="C195" s="78"/>
      <c r="D195" s="78"/>
      <c r="E195" s="78"/>
      <c r="F195" s="78"/>
      <c r="G195" s="78"/>
      <c r="H195" s="78"/>
      <c r="I195" s="71"/>
      <c r="J195" s="78"/>
      <c r="K195" s="78"/>
      <c r="L195" s="78"/>
      <c r="M195" s="78"/>
      <c r="N195" s="78"/>
      <c r="O195" s="78"/>
      <c r="P195" s="78"/>
      <c r="Q195" s="78"/>
      <c r="R195" s="78"/>
      <c r="S195" s="78"/>
      <c r="T195" s="71"/>
      <c r="U195" s="71"/>
      <c r="V195" s="78"/>
      <c r="W195" s="78"/>
      <c r="X195" s="78"/>
      <c r="Y195" s="78"/>
      <c r="Z195" s="73"/>
      <c r="AA195" s="73" t="str">
        <f>IF(Z195=0,"",AVERAGEIFS(data_num!B:B, data_num!D:D, Y195, data_num!K:K, 1))
</f>
        <v/>
      </c>
      <c r="AB195" s="77" t="str">
        <f>IF(Z195=0,"",AVERAGEIFS(data_num!C:C, data_num!D:D, Y195, data_num!K:K, 1))
</f>
        <v/>
      </c>
      <c r="AC195" s="72" t="str">
        <f>IF(Z194=0,"",SUMIFS(data_num!L:L, data_num!D:D, Y194, data_num!K:K, 1)/Z194)
</f>
        <v/>
      </c>
      <c r="AD195" s="73" t="str">
        <f>IF(Z194=0,"",SUMIFS(data_num!L:L, data_num!D:D, Y194, data_num!K:K, 1)/Z194)
</f>
        <v/>
      </c>
      <c r="AE195" s="78"/>
      <c r="AF195" s="71"/>
      <c r="AG195" s="75"/>
      <c r="AH195" s="78"/>
      <c r="AI195" s="71"/>
      <c r="AJ195" s="78"/>
      <c r="AK195" s="78"/>
      <c r="AL195" s="78"/>
      <c r="AM195" s="78"/>
      <c r="AN195" s="78"/>
      <c r="AO195" s="78"/>
      <c r="AP195" s="71"/>
      <c r="AQ195" s="71"/>
      <c r="AR195" s="78"/>
      <c r="AS195" s="71"/>
      <c r="AT195" s="78"/>
      <c r="AU195" s="78"/>
      <c r="AV195" s="78"/>
      <c r="AW195" s="78"/>
      <c r="AX195" s="71"/>
      <c r="AY195" s="71"/>
    </row>
    <row r="196" ht="16.5" customHeight="1">
      <c r="A196" s="71"/>
      <c r="B196" s="78"/>
      <c r="C196" s="78"/>
      <c r="D196" s="78"/>
      <c r="E196" s="78"/>
      <c r="F196" s="78"/>
      <c r="G196" s="78"/>
      <c r="H196" s="78"/>
      <c r="I196" s="71"/>
      <c r="J196" s="78"/>
      <c r="K196" s="78"/>
      <c r="L196" s="78"/>
      <c r="M196" s="78"/>
      <c r="N196" s="78"/>
      <c r="O196" s="78"/>
      <c r="P196" s="78"/>
      <c r="Q196" s="78"/>
      <c r="R196" s="78"/>
      <c r="S196" s="78"/>
      <c r="T196" s="71"/>
      <c r="U196" s="71"/>
      <c r="V196" s="78"/>
      <c r="W196" s="78"/>
      <c r="X196" s="78"/>
      <c r="Y196" s="78"/>
      <c r="Z196" s="73"/>
      <c r="AA196" s="73" t="str">
        <f>IF(Z196=0,"",AVERAGEIFS(data_num!B:B, data_num!D:D, Y196, data_num!K:K, 1))
</f>
        <v/>
      </c>
      <c r="AB196" s="77" t="str">
        <f>IF(Z196=0,"",AVERAGEIFS(data_num!C:C, data_num!D:D, Y196, data_num!K:K, 1))
</f>
        <v/>
      </c>
      <c r="AC196" s="72" t="str">
        <f>IF(Z195=0,"",SUMIFS(data_num!L:L, data_num!D:D, Y195, data_num!K:K, 1)/Z195)
</f>
        <v/>
      </c>
      <c r="AD196" s="73" t="str">
        <f>IF(Z195=0,"",SUMIFS(data_num!L:L, data_num!D:D, Y195, data_num!K:K, 1)/Z195)
</f>
        <v/>
      </c>
      <c r="AE196" s="78"/>
      <c r="AF196" s="71"/>
      <c r="AG196" s="75"/>
      <c r="AH196" s="78"/>
      <c r="AI196" s="71"/>
      <c r="AJ196" s="78"/>
      <c r="AK196" s="78"/>
      <c r="AL196" s="78"/>
      <c r="AM196" s="78"/>
      <c r="AN196" s="78"/>
      <c r="AO196" s="78"/>
      <c r="AP196" s="71"/>
      <c r="AQ196" s="71"/>
      <c r="AR196" s="78"/>
      <c r="AS196" s="71"/>
      <c r="AT196" s="78"/>
      <c r="AU196" s="78"/>
      <c r="AV196" s="78"/>
      <c r="AW196" s="78"/>
      <c r="AX196" s="71"/>
      <c r="AY196" s="71"/>
    </row>
    <row r="197" ht="16.5" customHeight="1">
      <c r="A197" s="71"/>
      <c r="B197" s="78"/>
      <c r="C197" s="78"/>
      <c r="D197" s="78"/>
      <c r="E197" s="78"/>
      <c r="F197" s="78"/>
      <c r="G197" s="78"/>
      <c r="H197" s="78"/>
      <c r="I197" s="71"/>
      <c r="J197" s="78"/>
      <c r="K197" s="78"/>
      <c r="L197" s="78"/>
      <c r="M197" s="78"/>
      <c r="N197" s="78"/>
      <c r="O197" s="78"/>
      <c r="P197" s="78"/>
      <c r="Q197" s="78"/>
      <c r="R197" s="78"/>
      <c r="S197" s="78"/>
      <c r="T197" s="71"/>
      <c r="U197" s="71"/>
      <c r="V197" s="78"/>
      <c r="W197" s="78"/>
      <c r="X197" s="78"/>
      <c r="Y197" s="78"/>
      <c r="Z197" s="73"/>
      <c r="AA197" s="73" t="str">
        <f>IF(Z197=0,"",AVERAGEIFS(data_num!B:B, data_num!D:D, Y197, data_num!K:K, 1))
</f>
        <v/>
      </c>
      <c r="AB197" s="77" t="str">
        <f>IF(Z197=0,"",AVERAGEIFS(data_num!C:C, data_num!D:D, Y197, data_num!K:K, 1))
</f>
        <v/>
      </c>
      <c r="AC197" s="72" t="str">
        <f>IF(Z196=0,"",SUMIFS(data_num!L:L, data_num!D:D, Y196, data_num!K:K, 1)/Z196)
</f>
        <v/>
      </c>
      <c r="AD197" s="73" t="str">
        <f>IF(Z196=0,"",SUMIFS(data_num!L:L, data_num!D:D, Y196, data_num!K:K, 1)/Z196)
</f>
        <v/>
      </c>
      <c r="AE197" s="78"/>
      <c r="AF197" s="71"/>
      <c r="AG197" s="75"/>
      <c r="AH197" s="78"/>
      <c r="AI197" s="71"/>
      <c r="AJ197" s="78"/>
      <c r="AK197" s="78"/>
      <c r="AL197" s="78"/>
      <c r="AM197" s="78"/>
      <c r="AN197" s="78"/>
      <c r="AO197" s="78"/>
      <c r="AP197" s="71"/>
      <c r="AQ197" s="71"/>
      <c r="AR197" s="78"/>
      <c r="AS197" s="71"/>
      <c r="AT197" s="78"/>
      <c r="AU197" s="78"/>
      <c r="AV197" s="78"/>
      <c r="AW197" s="78"/>
      <c r="AX197" s="71"/>
      <c r="AY197" s="71"/>
    </row>
    <row r="198" ht="16.5" customHeight="1">
      <c r="A198" s="71"/>
      <c r="B198" s="78"/>
      <c r="C198" s="78"/>
      <c r="D198" s="78"/>
      <c r="E198" s="78"/>
      <c r="F198" s="78"/>
      <c r="G198" s="78"/>
      <c r="H198" s="78"/>
      <c r="I198" s="71"/>
      <c r="J198" s="78"/>
      <c r="K198" s="78"/>
      <c r="L198" s="78"/>
      <c r="M198" s="78"/>
      <c r="N198" s="78"/>
      <c r="O198" s="78"/>
      <c r="P198" s="78"/>
      <c r="Q198" s="78"/>
      <c r="R198" s="78"/>
      <c r="S198" s="78"/>
      <c r="T198" s="71"/>
      <c r="U198" s="71"/>
      <c r="V198" s="78"/>
      <c r="W198" s="78"/>
      <c r="X198" s="78"/>
      <c r="Y198" s="78"/>
      <c r="Z198" s="73"/>
      <c r="AA198" s="73" t="str">
        <f>IF(Z198=0,"",AVERAGEIFS(data_num!B:B, data_num!D:D, Y198, data_num!K:K, 1))
</f>
        <v/>
      </c>
      <c r="AB198" s="77" t="str">
        <f>IF(Z198=0,"",AVERAGEIFS(data_num!C:C, data_num!D:D, Y198, data_num!K:K, 1))
</f>
        <v/>
      </c>
      <c r="AC198" s="72" t="str">
        <f>IF(Z197=0,"",SUMIFS(data_num!L:L, data_num!D:D, Y197, data_num!K:K, 1)/Z197)
</f>
        <v/>
      </c>
      <c r="AD198" s="73" t="str">
        <f>IF(Z197=0,"",SUMIFS(data_num!L:L, data_num!D:D, Y197, data_num!K:K, 1)/Z197)
</f>
        <v/>
      </c>
      <c r="AE198" s="78"/>
      <c r="AF198" s="71"/>
      <c r="AG198" s="75"/>
      <c r="AH198" s="78"/>
      <c r="AI198" s="71"/>
      <c r="AJ198" s="78"/>
      <c r="AK198" s="78"/>
      <c r="AL198" s="78"/>
      <c r="AM198" s="78"/>
      <c r="AN198" s="78"/>
      <c r="AO198" s="78"/>
      <c r="AP198" s="71"/>
      <c r="AQ198" s="71"/>
      <c r="AR198" s="78"/>
      <c r="AS198" s="71"/>
      <c r="AT198" s="78"/>
      <c r="AU198" s="78"/>
      <c r="AV198" s="78"/>
      <c r="AW198" s="78"/>
      <c r="AX198" s="71"/>
      <c r="AY198" s="71"/>
    </row>
    <row r="199" ht="16.5" customHeight="1">
      <c r="A199" s="71"/>
      <c r="B199" s="78"/>
      <c r="C199" s="78"/>
      <c r="D199" s="78"/>
      <c r="E199" s="78"/>
      <c r="F199" s="78"/>
      <c r="G199" s="78"/>
      <c r="H199" s="78"/>
      <c r="I199" s="71"/>
      <c r="J199" s="78"/>
      <c r="K199" s="78"/>
      <c r="L199" s="78"/>
      <c r="M199" s="78"/>
      <c r="N199" s="78"/>
      <c r="O199" s="78"/>
      <c r="P199" s="78"/>
      <c r="Q199" s="78"/>
      <c r="R199" s="78"/>
      <c r="S199" s="78"/>
      <c r="T199" s="71"/>
      <c r="U199" s="71"/>
      <c r="V199" s="78"/>
      <c r="W199" s="78"/>
      <c r="X199" s="78"/>
      <c r="Y199" s="78"/>
      <c r="Z199" s="73"/>
      <c r="AA199" s="73" t="str">
        <f>IF(Z199=0,"",AVERAGEIFS(data_num!B:B, data_num!D:D, Y199, data_num!K:K, 1))
</f>
        <v/>
      </c>
      <c r="AB199" s="77" t="str">
        <f>IF(Z199=0,"",AVERAGEIFS(data_num!C:C, data_num!D:D, Y199, data_num!K:K, 1))
</f>
        <v/>
      </c>
      <c r="AC199" s="72" t="str">
        <f>IF(Z198=0,"",SUMIFS(data_num!L:L, data_num!D:D, Y198, data_num!K:K, 1)/Z198)
</f>
        <v/>
      </c>
      <c r="AD199" s="73" t="str">
        <f>IF(Z198=0,"",SUMIFS(data_num!L:L, data_num!D:D, Y198, data_num!K:K, 1)/Z198)
</f>
        <v/>
      </c>
      <c r="AE199" s="78"/>
      <c r="AF199" s="71"/>
      <c r="AG199" s="75"/>
      <c r="AH199" s="78"/>
      <c r="AI199" s="71"/>
      <c r="AJ199" s="78"/>
      <c r="AK199" s="78"/>
      <c r="AL199" s="78"/>
      <c r="AM199" s="78"/>
      <c r="AN199" s="78"/>
      <c r="AO199" s="78"/>
      <c r="AP199" s="71"/>
      <c r="AQ199" s="71"/>
      <c r="AR199" s="78"/>
      <c r="AS199" s="71"/>
      <c r="AT199" s="78"/>
      <c r="AU199" s="78"/>
      <c r="AV199" s="78"/>
      <c r="AW199" s="78"/>
      <c r="AX199" s="71"/>
      <c r="AY199" s="71"/>
    </row>
    <row r="200" ht="16.5" customHeight="1">
      <c r="A200" s="71"/>
      <c r="B200" s="78"/>
      <c r="C200" s="78"/>
      <c r="D200" s="78"/>
      <c r="E200" s="78"/>
      <c r="F200" s="78"/>
      <c r="G200" s="78"/>
      <c r="H200" s="78"/>
      <c r="I200" s="71"/>
      <c r="J200" s="78"/>
      <c r="K200" s="78"/>
      <c r="L200" s="78"/>
      <c r="M200" s="78"/>
      <c r="N200" s="78"/>
      <c r="O200" s="78"/>
      <c r="P200" s="78"/>
      <c r="Q200" s="78"/>
      <c r="R200" s="78"/>
      <c r="S200" s="78"/>
      <c r="T200" s="71"/>
      <c r="U200" s="71"/>
      <c r="V200" s="78"/>
      <c r="W200" s="78"/>
      <c r="X200" s="78"/>
      <c r="Y200" s="78"/>
      <c r="Z200" s="73"/>
      <c r="AA200" s="73" t="str">
        <f>IF(Z200=0,"",AVERAGEIFS(data_num!B:B, data_num!D:D, Y200, data_num!K:K, 1))
</f>
        <v/>
      </c>
      <c r="AB200" s="77" t="str">
        <f>IF(Z200=0,"",AVERAGEIFS(data_num!C:C, data_num!D:D, Y200, data_num!K:K, 1))
</f>
        <v/>
      </c>
      <c r="AC200" s="72" t="str">
        <f>IF(Z199=0,"",SUMIFS(data_num!L:L, data_num!D:D, Y199, data_num!K:K, 1)/Z199)
</f>
        <v/>
      </c>
      <c r="AD200" s="73" t="str">
        <f>IF(Z199=0,"",SUMIFS(data_num!L:L, data_num!D:D, Y199, data_num!K:K, 1)/Z199)
</f>
        <v/>
      </c>
      <c r="AE200" s="78"/>
      <c r="AF200" s="71"/>
      <c r="AG200" s="75"/>
      <c r="AH200" s="78"/>
      <c r="AI200" s="71"/>
      <c r="AJ200" s="78"/>
      <c r="AK200" s="78"/>
      <c r="AL200" s="78"/>
      <c r="AM200" s="78"/>
      <c r="AN200" s="78"/>
      <c r="AO200" s="78"/>
      <c r="AP200" s="71"/>
      <c r="AQ200" s="71"/>
      <c r="AR200" s="78"/>
      <c r="AS200" s="71"/>
      <c r="AT200" s="78"/>
      <c r="AU200" s="78"/>
      <c r="AV200" s="78"/>
      <c r="AW200" s="78"/>
      <c r="AX200" s="71"/>
      <c r="AY200" s="71"/>
    </row>
    <row r="201" ht="16.5" customHeight="1">
      <c r="A201" s="71"/>
      <c r="B201" s="78"/>
      <c r="C201" s="78"/>
      <c r="D201" s="78"/>
      <c r="E201" s="78"/>
      <c r="F201" s="78"/>
      <c r="G201" s="78"/>
      <c r="H201" s="78"/>
      <c r="I201" s="71"/>
      <c r="J201" s="78"/>
      <c r="K201" s="78"/>
      <c r="L201" s="78"/>
      <c r="M201" s="78"/>
      <c r="N201" s="78"/>
      <c r="O201" s="78"/>
      <c r="P201" s="78"/>
      <c r="Q201" s="78"/>
      <c r="R201" s="78"/>
      <c r="S201" s="78"/>
      <c r="T201" s="71"/>
      <c r="U201" s="71"/>
      <c r="V201" s="78"/>
      <c r="W201" s="78"/>
      <c r="X201" s="78"/>
      <c r="Y201" s="78"/>
      <c r="Z201" s="73"/>
      <c r="AA201" s="73" t="str">
        <f>IF(Z201=0,"",AVERAGEIFS(data_num!B:B, data_num!D:D, Y201, data_num!K:K, 1))
</f>
        <v/>
      </c>
      <c r="AB201" s="77" t="str">
        <f>IF(Z201=0,"",AVERAGEIFS(data_num!C:C, data_num!D:D, Y201, data_num!K:K, 1))
</f>
        <v/>
      </c>
      <c r="AC201" s="72" t="str">
        <f>IF(Z200=0,"",SUMIFS(data_num!L:L, data_num!D:D, Y200, data_num!K:K, 1)/Z200)
</f>
        <v/>
      </c>
      <c r="AD201" s="73" t="str">
        <f>IF(Z200=0,"",SUMIFS(data_num!L:L, data_num!D:D, Y200, data_num!K:K, 1)/Z200)
</f>
        <v/>
      </c>
      <c r="AE201" s="78"/>
      <c r="AF201" s="71"/>
      <c r="AG201" s="75"/>
      <c r="AH201" s="78"/>
      <c r="AI201" s="71"/>
      <c r="AJ201" s="78"/>
      <c r="AK201" s="78"/>
      <c r="AL201" s="78"/>
      <c r="AM201" s="78"/>
      <c r="AN201" s="78"/>
      <c r="AO201" s="78"/>
      <c r="AP201" s="71"/>
      <c r="AQ201" s="71"/>
      <c r="AR201" s="78"/>
      <c r="AS201" s="71"/>
      <c r="AT201" s="78"/>
      <c r="AU201" s="78"/>
      <c r="AV201" s="78"/>
      <c r="AW201" s="78"/>
      <c r="AX201" s="71"/>
      <c r="AY201" s="71"/>
    </row>
    <row r="202" ht="16.5" customHeight="1">
      <c r="A202" s="71"/>
      <c r="B202" s="78"/>
      <c r="C202" s="78"/>
      <c r="D202" s="78"/>
      <c r="E202" s="78"/>
      <c r="F202" s="78"/>
      <c r="G202" s="78"/>
      <c r="H202" s="78"/>
      <c r="I202" s="71"/>
      <c r="J202" s="78"/>
      <c r="K202" s="78"/>
      <c r="L202" s="78"/>
      <c r="M202" s="78"/>
      <c r="N202" s="78"/>
      <c r="O202" s="78"/>
      <c r="P202" s="78"/>
      <c r="Q202" s="78"/>
      <c r="R202" s="78"/>
      <c r="S202" s="78"/>
      <c r="T202" s="71"/>
      <c r="U202" s="71"/>
      <c r="V202" s="78"/>
      <c r="W202" s="78"/>
      <c r="X202" s="78"/>
      <c r="Y202" s="78"/>
      <c r="Z202" s="73"/>
      <c r="AA202" s="73" t="str">
        <f>IF(Z202=0,"",AVERAGEIFS(data_num!B:B, data_num!D:D, Y202, data_num!K:K, 1))
</f>
        <v/>
      </c>
      <c r="AB202" s="77" t="str">
        <f>IF(Z202=0,"",AVERAGEIFS(data_num!C:C, data_num!D:D, Y202, data_num!K:K, 1))
</f>
        <v/>
      </c>
      <c r="AC202" s="72" t="str">
        <f>IF(Z201=0,"",SUMIFS(data_num!L:L, data_num!D:D, Y201, data_num!K:K, 1)/Z201)
</f>
        <v/>
      </c>
      <c r="AD202" s="73" t="str">
        <f>IF(Z201=0,"",SUMIFS(data_num!L:L, data_num!D:D, Y201, data_num!K:K, 1)/Z201)
</f>
        <v/>
      </c>
      <c r="AE202" s="78"/>
      <c r="AF202" s="71"/>
      <c r="AG202" s="75"/>
      <c r="AH202" s="78"/>
      <c r="AI202" s="71"/>
      <c r="AJ202" s="78"/>
      <c r="AK202" s="78"/>
      <c r="AL202" s="78"/>
      <c r="AM202" s="78"/>
      <c r="AN202" s="78"/>
      <c r="AO202" s="78"/>
      <c r="AP202" s="71"/>
      <c r="AQ202" s="71"/>
      <c r="AR202" s="78"/>
      <c r="AS202" s="71"/>
      <c r="AT202" s="78"/>
      <c r="AU202" s="78"/>
      <c r="AV202" s="78"/>
      <c r="AW202" s="78"/>
      <c r="AX202" s="71"/>
      <c r="AY202" s="71"/>
    </row>
    <row r="203" ht="16.5" customHeight="1">
      <c r="A203" s="71"/>
      <c r="B203" s="78"/>
      <c r="C203" s="78"/>
      <c r="D203" s="78"/>
      <c r="E203" s="78"/>
      <c r="F203" s="78"/>
      <c r="G203" s="78"/>
      <c r="H203" s="78"/>
      <c r="I203" s="71"/>
      <c r="J203" s="78"/>
      <c r="K203" s="78"/>
      <c r="L203" s="78"/>
      <c r="M203" s="78"/>
      <c r="N203" s="78"/>
      <c r="O203" s="78"/>
      <c r="P203" s="78"/>
      <c r="Q203" s="78"/>
      <c r="R203" s="78"/>
      <c r="S203" s="78"/>
      <c r="T203" s="71"/>
      <c r="U203" s="71"/>
      <c r="V203" s="78"/>
      <c r="W203" s="78"/>
      <c r="X203" s="78"/>
      <c r="Y203" s="78"/>
      <c r="Z203" s="73"/>
      <c r="AA203" s="73" t="str">
        <f>IF(Z203=0,"",AVERAGEIFS(data_num!B:B, data_num!D:D, Y203, data_num!K:K, 1))
</f>
        <v/>
      </c>
      <c r="AB203" s="77" t="str">
        <f>IF(Z203=0,"",AVERAGEIFS(data_num!C:C, data_num!D:D, Y203, data_num!K:K, 1))
</f>
        <v/>
      </c>
      <c r="AC203" s="72" t="str">
        <f>IF(Z202=0,"",SUMIFS(data_num!L:L, data_num!D:D, Y202, data_num!K:K, 1)/Z202)
</f>
        <v/>
      </c>
      <c r="AD203" s="73" t="str">
        <f>IF(Z202=0,"",SUMIFS(data_num!L:L, data_num!D:D, Y202, data_num!K:K, 1)/Z202)
</f>
        <v/>
      </c>
      <c r="AE203" s="78"/>
      <c r="AF203" s="71"/>
      <c r="AG203" s="75"/>
      <c r="AH203" s="78"/>
      <c r="AI203" s="71"/>
      <c r="AJ203" s="78"/>
      <c r="AK203" s="78"/>
      <c r="AL203" s="78"/>
      <c r="AM203" s="78"/>
      <c r="AN203" s="78"/>
      <c r="AO203" s="78"/>
      <c r="AP203" s="71"/>
      <c r="AQ203" s="71"/>
      <c r="AR203" s="78"/>
      <c r="AS203" s="71"/>
      <c r="AT203" s="78"/>
      <c r="AU203" s="78"/>
      <c r="AV203" s="78"/>
      <c r="AW203" s="78"/>
      <c r="AX203" s="71"/>
      <c r="AY203" s="71"/>
    </row>
    <row r="204" ht="16.5" customHeight="1">
      <c r="A204" s="71"/>
      <c r="B204" s="78"/>
      <c r="C204" s="78"/>
      <c r="D204" s="78"/>
      <c r="E204" s="78"/>
      <c r="F204" s="78"/>
      <c r="G204" s="78"/>
      <c r="H204" s="78"/>
      <c r="I204" s="71"/>
      <c r="J204" s="78"/>
      <c r="K204" s="78"/>
      <c r="L204" s="78"/>
      <c r="M204" s="78"/>
      <c r="N204" s="78"/>
      <c r="O204" s="78"/>
      <c r="P204" s="78"/>
      <c r="Q204" s="78"/>
      <c r="R204" s="78"/>
      <c r="S204" s="78"/>
      <c r="T204" s="71"/>
      <c r="U204" s="71"/>
      <c r="V204" s="78"/>
      <c r="W204" s="78"/>
      <c r="X204" s="78"/>
      <c r="Y204" s="78"/>
      <c r="Z204" s="73"/>
      <c r="AA204" s="73" t="str">
        <f>IF(Z204=0,"",AVERAGEIFS(data_num!B:B, data_num!D:D, Y204, data_num!K:K, 1))
</f>
        <v/>
      </c>
      <c r="AB204" s="77" t="str">
        <f>IF(Z204=0,"",AVERAGEIFS(data_num!C:C, data_num!D:D, Y204, data_num!K:K, 1))
</f>
        <v/>
      </c>
      <c r="AC204" s="72" t="str">
        <f>IF(Z203=0,"",SUMIFS(data_num!L:L, data_num!D:D, Y203, data_num!K:K, 1)/Z203)
</f>
        <v/>
      </c>
      <c r="AD204" s="73" t="str">
        <f>IF(Z203=0,"",SUMIFS(data_num!L:L, data_num!D:D, Y203, data_num!K:K, 1)/Z203)
</f>
        <v/>
      </c>
      <c r="AE204" s="78"/>
      <c r="AF204" s="71"/>
      <c r="AG204" s="75"/>
      <c r="AH204" s="78"/>
      <c r="AI204" s="71"/>
      <c r="AJ204" s="78"/>
      <c r="AK204" s="78"/>
      <c r="AL204" s="78"/>
      <c r="AM204" s="78"/>
      <c r="AN204" s="78"/>
      <c r="AO204" s="78"/>
      <c r="AP204" s="71"/>
      <c r="AQ204" s="71"/>
      <c r="AR204" s="78"/>
      <c r="AS204" s="71"/>
      <c r="AT204" s="78"/>
      <c r="AU204" s="78"/>
      <c r="AV204" s="78"/>
      <c r="AW204" s="78"/>
      <c r="AX204" s="71"/>
      <c r="AY204" s="71"/>
    </row>
    <row r="205" ht="16.5" customHeight="1">
      <c r="A205" s="71"/>
      <c r="B205" s="78"/>
      <c r="C205" s="78"/>
      <c r="D205" s="78"/>
      <c r="E205" s="78"/>
      <c r="F205" s="78"/>
      <c r="G205" s="78"/>
      <c r="H205" s="78"/>
      <c r="I205" s="71"/>
      <c r="J205" s="78"/>
      <c r="K205" s="78"/>
      <c r="L205" s="78"/>
      <c r="M205" s="78"/>
      <c r="N205" s="78"/>
      <c r="O205" s="78"/>
      <c r="P205" s="78"/>
      <c r="Q205" s="78"/>
      <c r="R205" s="78"/>
      <c r="S205" s="78"/>
      <c r="T205" s="71"/>
      <c r="U205" s="71"/>
      <c r="V205" s="78"/>
      <c r="W205" s="78"/>
      <c r="X205" s="78"/>
      <c r="Y205" s="78"/>
      <c r="Z205" s="73"/>
      <c r="AA205" s="73" t="str">
        <f>IF(Z205=0,"",AVERAGEIFS(data_num!B:B, data_num!D:D, Y205, data_num!K:K, 1))
</f>
        <v/>
      </c>
      <c r="AB205" s="77" t="str">
        <f>IF(Z205=0,"",AVERAGEIFS(data_num!C:C, data_num!D:D, Y205, data_num!K:K, 1))
</f>
        <v/>
      </c>
      <c r="AC205" s="72" t="str">
        <f>IF(Z204=0,"",SUMIFS(data_num!L:L, data_num!D:D, Y204, data_num!K:K, 1)/Z204)
</f>
        <v/>
      </c>
      <c r="AD205" s="73" t="str">
        <f>IF(Z204=0,"",SUMIFS(data_num!L:L, data_num!D:D, Y204, data_num!K:K, 1)/Z204)
</f>
        <v/>
      </c>
      <c r="AE205" s="78"/>
      <c r="AF205" s="71"/>
      <c r="AG205" s="75"/>
      <c r="AH205" s="78"/>
      <c r="AI205" s="71"/>
      <c r="AJ205" s="78"/>
      <c r="AK205" s="78"/>
      <c r="AL205" s="78"/>
      <c r="AM205" s="78"/>
      <c r="AN205" s="78"/>
      <c r="AO205" s="78"/>
      <c r="AP205" s="71"/>
      <c r="AQ205" s="71"/>
      <c r="AR205" s="78"/>
      <c r="AS205" s="71"/>
      <c r="AT205" s="78"/>
      <c r="AU205" s="78"/>
      <c r="AV205" s="78"/>
      <c r="AW205" s="78"/>
      <c r="AX205" s="71"/>
      <c r="AY205" s="71"/>
    </row>
    <row r="206" ht="16.5" customHeight="1">
      <c r="A206" s="71"/>
      <c r="B206" s="78"/>
      <c r="C206" s="78"/>
      <c r="D206" s="78"/>
      <c r="E206" s="78"/>
      <c r="F206" s="78"/>
      <c r="G206" s="78"/>
      <c r="H206" s="78"/>
      <c r="I206" s="71"/>
      <c r="J206" s="78"/>
      <c r="K206" s="78"/>
      <c r="L206" s="78"/>
      <c r="M206" s="78"/>
      <c r="N206" s="78"/>
      <c r="O206" s="78"/>
      <c r="P206" s="78"/>
      <c r="Q206" s="78"/>
      <c r="R206" s="78"/>
      <c r="S206" s="78"/>
      <c r="T206" s="71"/>
      <c r="U206" s="71"/>
      <c r="V206" s="78"/>
      <c r="W206" s="78"/>
      <c r="X206" s="78"/>
      <c r="Y206" s="78"/>
      <c r="Z206" s="73"/>
      <c r="AA206" s="73" t="str">
        <f>IF(Z206=0,"",AVERAGEIFS(data_num!B:B, data_num!D:D, Y206, data_num!K:K, 1))
</f>
        <v/>
      </c>
      <c r="AB206" s="77" t="str">
        <f>IF(Z206=0,"",AVERAGEIFS(data_num!C:C, data_num!D:D, Y206, data_num!K:K, 1))
</f>
        <v/>
      </c>
      <c r="AC206" s="72" t="str">
        <f>IF(Z205=0,"",SUMIFS(data_num!L:L, data_num!D:D, Y205, data_num!K:K, 1)/Z205)
</f>
        <v/>
      </c>
      <c r="AD206" s="73" t="str">
        <f>IF(Z205=0,"",SUMIFS(data_num!L:L, data_num!D:D, Y205, data_num!K:K, 1)/Z205)
</f>
        <v/>
      </c>
      <c r="AE206" s="78"/>
      <c r="AF206" s="71"/>
      <c r="AG206" s="75"/>
      <c r="AH206" s="78"/>
      <c r="AI206" s="71"/>
      <c r="AJ206" s="78"/>
      <c r="AK206" s="78"/>
      <c r="AL206" s="78"/>
      <c r="AM206" s="78"/>
      <c r="AN206" s="78"/>
      <c r="AO206" s="78"/>
      <c r="AP206" s="71"/>
      <c r="AQ206" s="71"/>
      <c r="AR206" s="78"/>
      <c r="AS206" s="71"/>
      <c r="AT206" s="78"/>
      <c r="AU206" s="78"/>
      <c r="AV206" s="78"/>
      <c r="AW206" s="78"/>
      <c r="AX206" s="71"/>
      <c r="AY206" s="71"/>
    </row>
    <row r="207" ht="16.5" customHeight="1">
      <c r="A207" s="71"/>
      <c r="B207" s="78"/>
      <c r="C207" s="78"/>
      <c r="D207" s="78"/>
      <c r="E207" s="78"/>
      <c r="F207" s="78"/>
      <c r="G207" s="78"/>
      <c r="H207" s="78"/>
      <c r="I207" s="71"/>
      <c r="J207" s="78"/>
      <c r="K207" s="78"/>
      <c r="L207" s="78"/>
      <c r="M207" s="78"/>
      <c r="N207" s="78"/>
      <c r="O207" s="78"/>
      <c r="P207" s="78"/>
      <c r="Q207" s="78"/>
      <c r="R207" s="78"/>
      <c r="S207" s="78"/>
      <c r="T207" s="71"/>
      <c r="U207" s="71"/>
      <c r="V207" s="78"/>
      <c r="W207" s="78"/>
      <c r="X207" s="78"/>
      <c r="Y207" s="78"/>
      <c r="Z207" s="73"/>
      <c r="AA207" s="73" t="str">
        <f>IF(Z207=0,"",AVERAGEIFS(data_num!B:B, data_num!D:D, Y207, data_num!K:K, 1))
</f>
        <v/>
      </c>
      <c r="AB207" s="77" t="str">
        <f>IF(Z207=0,"",AVERAGEIFS(data_num!C:C, data_num!D:D, Y207, data_num!K:K, 1))
</f>
        <v/>
      </c>
      <c r="AC207" s="72" t="str">
        <f>IF(Z206=0,"",SUMIFS(data_num!L:L, data_num!D:D, Y206, data_num!K:K, 1)/Z206)
</f>
        <v/>
      </c>
      <c r="AD207" s="73" t="str">
        <f>IF(Z206=0,"",SUMIFS(data_num!L:L, data_num!D:D, Y206, data_num!K:K, 1)/Z206)
</f>
        <v/>
      </c>
      <c r="AE207" s="78"/>
      <c r="AF207" s="71"/>
      <c r="AG207" s="75"/>
      <c r="AH207" s="78"/>
      <c r="AI207" s="71"/>
      <c r="AJ207" s="78"/>
      <c r="AK207" s="78"/>
      <c r="AL207" s="78"/>
      <c r="AM207" s="78"/>
      <c r="AN207" s="78"/>
      <c r="AO207" s="78"/>
      <c r="AP207" s="71"/>
      <c r="AQ207" s="71"/>
      <c r="AR207" s="78"/>
      <c r="AS207" s="71"/>
      <c r="AT207" s="78"/>
      <c r="AU207" s="78"/>
      <c r="AV207" s="78"/>
      <c r="AW207" s="78"/>
      <c r="AX207" s="71"/>
      <c r="AY207" s="71"/>
    </row>
    <row r="208" ht="16.5" customHeight="1">
      <c r="A208" s="71"/>
      <c r="B208" s="78"/>
      <c r="C208" s="78"/>
      <c r="D208" s="78"/>
      <c r="E208" s="78"/>
      <c r="F208" s="78"/>
      <c r="G208" s="78"/>
      <c r="H208" s="78"/>
      <c r="I208" s="71"/>
      <c r="J208" s="78"/>
      <c r="K208" s="78"/>
      <c r="L208" s="78"/>
      <c r="M208" s="78"/>
      <c r="N208" s="78"/>
      <c r="O208" s="78"/>
      <c r="P208" s="78"/>
      <c r="Q208" s="78"/>
      <c r="R208" s="78"/>
      <c r="S208" s="78"/>
      <c r="T208" s="71"/>
      <c r="U208" s="71"/>
      <c r="V208" s="78"/>
      <c r="W208" s="78"/>
      <c r="X208" s="78"/>
      <c r="Y208" s="78"/>
      <c r="Z208" s="73"/>
      <c r="AA208" s="73" t="str">
        <f>IF(Z208=0,"",AVERAGEIFS(data_num!B:B, data_num!D:D, Y208, data_num!K:K, 1))
</f>
        <v/>
      </c>
      <c r="AB208" s="77" t="str">
        <f>IF(Z208=0,"",AVERAGEIFS(data_num!C:C, data_num!D:D, Y208, data_num!K:K, 1))
</f>
        <v/>
      </c>
      <c r="AC208" s="72" t="str">
        <f>IF(Z207=0,"",SUMIFS(data_num!L:L, data_num!D:D, Y207, data_num!K:K, 1)/Z207)
</f>
        <v/>
      </c>
      <c r="AD208" s="73" t="str">
        <f>IF(Z207=0,"",SUMIFS(data_num!L:L, data_num!D:D, Y207, data_num!K:K, 1)/Z207)
</f>
        <v/>
      </c>
      <c r="AE208" s="78"/>
      <c r="AF208" s="71"/>
      <c r="AG208" s="75"/>
      <c r="AH208" s="78"/>
      <c r="AI208" s="71"/>
      <c r="AJ208" s="78"/>
      <c r="AK208" s="78"/>
      <c r="AL208" s="78"/>
      <c r="AM208" s="78"/>
      <c r="AN208" s="78"/>
      <c r="AO208" s="78"/>
      <c r="AP208" s="71"/>
      <c r="AQ208" s="71"/>
      <c r="AR208" s="78"/>
      <c r="AS208" s="71"/>
      <c r="AT208" s="78"/>
      <c r="AU208" s="78"/>
      <c r="AV208" s="78"/>
      <c r="AW208" s="78"/>
      <c r="AX208" s="71"/>
      <c r="AY208" s="71"/>
    </row>
    <row r="209" ht="16.5" customHeight="1">
      <c r="A209" s="71"/>
      <c r="B209" s="78"/>
      <c r="C209" s="78"/>
      <c r="D209" s="78"/>
      <c r="E209" s="78"/>
      <c r="F209" s="78"/>
      <c r="G209" s="78"/>
      <c r="H209" s="78"/>
      <c r="I209" s="71"/>
      <c r="J209" s="78"/>
      <c r="K209" s="78"/>
      <c r="L209" s="78"/>
      <c r="M209" s="78"/>
      <c r="N209" s="78"/>
      <c r="O209" s="78"/>
      <c r="P209" s="78"/>
      <c r="Q209" s="78"/>
      <c r="R209" s="78"/>
      <c r="S209" s="78"/>
      <c r="T209" s="71"/>
      <c r="U209" s="71"/>
      <c r="V209" s="78"/>
      <c r="W209" s="78"/>
      <c r="X209" s="78"/>
      <c r="Y209" s="78"/>
      <c r="Z209" s="73"/>
      <c r="AA209" s="73" t="str">
        <f>IF(Z209=0,"",AVERAGEIFS(data_num!B:B, data_num!D:D, Y209, data_num!K:K, 1))
</f>
        <v/>
      </c>
      <c r="AB209" s="77" t="str">
        <f>IF(Z209=0,"",AVERAGEIFS(data_num!C:C, data_num!D:D, Y209, data_num!K:K, 1))
</f>
        <v/>
      </c>
      <c r="AC209" s="72" t="str">
        <f>IF(Z208=0,"",SUMIFS(data_num!L:L, data_num!D:D, Y208, data_num!K:K, 1)/Z208)
</f>
        <v/>
      </c>
      <c r="AD209" s="73" t="str">
        <f>IF(Z208=0,"",SUMIFS(data_num!L:L, data_num!D:D, Y208, data_num!K:K, 1)/Z208)
</f>
        <v/>
      </c>
      <c r="AE209" s="78"/>
      <c r="AF209" s="71"/>
      <c r="AG209" s="75"/>
      <c r="AH209" s="78"/>
      <c r="AI209" s="71"/>
      <c r="AJ209" s="78"/>
      <c r="AK209" s="78"/>
      <c r="AL209" s="78"/>
      <c r="AM209" s="78"/>
      <c r="AN209" s="78"/>
      <c r="AO209" s="78"/>
      <c r="AP209" s="71"/>
      <c r="AQ209" s="71"/>
      <c r="AR209" s="78"/>
      <c r="AS209" s="71"/>
      <c r="AT209" s="78"/>
      <c r="AU209" s="78"/>
      <c r="AV209" s="78"/>
      <c r="AW209" s="78"/>
      <c r="AX209" s="71"/>
      <c r="AY209" s="71"/>
    </row>
    <row r="210" ht="16.5" customHeight="1">
      <c r="A210" s="71"/>
      <c r="B210" s="78"/>
      <c r="C210" s="78"/>
      <c r="D210" s="78"/>
      <c r="E210" s="78"/>
      <c r="F210" s="78"/>
      <c r="G210" s="78"/>
      <c r="H210" s="78"/>
      <c r="I210" s="71"/>
      <c r="J210" s="78"/>
      <c r="K210" s="78"/>
      <c r="L210" s="78"/>
      <c r="M210" s="78"/>
      <c r="N210" s="78"/>
      <c r="O210" s="78"/>
      <c r="P210" s="78"/>
      <c r="Q210" s="78"/>
      <c r="R210" s="78"/>
      <c r="S210" s="78"/>
      <c r="T210" s="71"/>
      <c r="U210" s="71"/>
      <c r="V210" s="78"/>
      <c r="W210" s="78"/>
      <c r="X210" s="78"/>
      <c r="Y210" s="78"/>
      <c r="Z210" s="73"/>
      <c r="AA210" s="73" t="str">
        <f>IF(Z210=0,"",AVERAGEIFS(data_num!B:B, data_num!D:D, Y210, data_num!K:K, 1))
</f>
        <v/>
      </c>
      <c r="AB210" s="77" t="str">
        <f>IF(Z210=0,"",AVERAGEIFS(data_num!C:C, data_num!D:D, Y210, data_num!K:K, 1))
</f>
        <v/>
      </c>
      <c r="AC210" s="72" t="str">
        <f>IF(Z209=0,"",SUMIFS(data_num!L:L, data_num!D:D, Y209, data_num!K:K, 1)/Z209)
</f>
        <v/>
      </c>
      <c r="AD210" s="73" t="str">
        <f>IF(Z209=0,"",SUMIFS(data_num!L:L, data_num!D:D, Y209, data_num!K:K, 1)/Z209)
</f>
        <v/>
      </c>
      <c r="AE210" s="78"/>
      <c r="AF210" s="71"/>
      <c r="AG210" s="75"/>
      <c r="AH210" s="78"/>
      <c r="AI210" s="71"/>
      <c r="AJ210" s="78"/>
      <c r="AK210" s="78"/>
      <c r="AL210" s="78"/>
      <c r="AM210" s="78"/>
      <c r="AN210" s="78"/>
      <c r="AO210" s="78"/>
      <c r="AP210" s="71"/>
      <c r="AQ210" s="71"/>
      <c r="AR210" s="78"/>
      <c r="AS210" s="71"/>
      <c r="AT210" s="78"/>
      <c r="AU210" s="78"/>
      <c r="AV210" s="78"/>
      <c r="AW210" s="78"/>
      <c r="AX210" s="71"/>
      <c r="AY210" s="71"/>
    </row>
    <row r="211" ht="16.5" customHeight="1">
      <c r="A211" s="71"/>
      <c r="B211" s="78"/>
      <c r="C211" s="78"/>
      <c r="D211" s="78"/>
      <c r="E211" s="78"/>
      <c r="F211" s="78"/>
      <c r="G211" s="78"/>
      <c r="H211" s="78"/>
      <c r="I211" s="71"/>
      <c r="J211" s="78"/>
      <c r="K211" s="78"/>
      <c r="L211" s="78"/>
      <c r="M211" s="78"/>
      <c r="N211" s="78"/>
      <c r="O211" s="78"/>
      <c r="P211" s="78"/>
      <c r="Q211" s="78"/>
      <c r="R211" s="78"/>
      <c r="S211" s="78"/>
      <c r="T211" s="71"/>
      <c r="U211" s="71"/>
      <c r="V211" s="78"/>
      <c r="W211" s="78"/>
      <c r="X211" s="78"/>
      <c r="Y211" s="78"/>
      <c r="Z211" s="73"/>
      <c r="AA211" s="73" t="str">
        <f>IF(Z211=0,"",AVERAGEIFS(data_num!B:B, data_num!D:D, Y211, data_num!K:K, 1))
</f>
        <v/>
      </c>
      <c r="AB211" s="77" t="str">
        <f>IF(Z211=0,"",AVERAGEIFS(data_num!C:C, data_num!D:D, Y211, data_num!K:K, 1))
</f>
        <v/>
      </c>
      <c r="AC211" s="72" t="str">
        <f>IF(Z210=0,"",SUMIFS(data_num!L:L, data_num!D:D, Y210, data_num!K:K, 1)/Z210)
</f>
        <v/>
      </c>
      <c r="AD211" s="73" t="str">
        <f>IF(Z210=0,"",SUMIFS(data_num!L:L, data_num!D:D, Y210, data_num!K:K, 1)/Z210)
</f>
        <v/>
      </c>
      <c r="AE211" s="78"/>
      <c r="AF211" s="71"/>
      <c r="AG211" s="75"/>
      <c r="AH211" s="78"/>
      <c r="AI211" s="71"/>
      <c r="AJ211" s="78"/>
      <c r="AK211" s="78"/>
      <c r="AL211" s="78"/>
      <c r="AM211" s="78"/>
      <c r="AN211" s="78"/>
      <c r="AO211" s="78"/>
      <c r="AP211" s="71"/>
      <c r="AQ211" s="71"/>
      <c r="AR211" s="78"/>
      <c r="AS211" s="71"/>
      <c r="AT211" s="78"/>
      <c r="AU211" s="78"/>
      <c r="AV211" s="78"/>
      <c r="AW211" s="78"/>
      <c r="AX211" s="71"/>
      <c r="AY211" s="71"/>
    </row>
    <row r="212" ht="16.5" customHeight="1">
      <c r="A212" s="71"/>
      <c r="B212" s="78"/>
      <c r="C212" s="78"/>
      <c r="D212" s="78"/>
      <c r="E212" s="78"/>
      <c r="F212" s="78"/>
      <c r="G212" s="78"/>
      <c r="H212" s="78"/>
      <c r="I212" s="71"/>
      <c r="J212" s="78"/>
      <c r="K212" s="78"/>
      <c r="L212" s="78"/>
      <c r="M212" s="78"/>
      <c r="N212" s="78"/>
      <c r="O212" s="78"/>
      <c r="P212" s="78"/>
      <c r="Q212" s="78"/>
      <c r="R212" s="78"/>
      <c r="S212" s="78"/>
      <c r="T212" s="71"/>
      <c r="U212" s="71"/>
      <c r="V212" s="78"/>
      <c r="W212" s="78"/>
      <c r="X212" s="78"/>
      <c r="Y212" s="78"/>
      <c r="Z212" s="73"/>
      <c r="AA212" s="73" t="str">
        <f>IF(Z212=0,"",AVERAGEIFS(data_num!B:B, data_num!D:D, Y212, data_num!K:K, 1))
</f>
        <v/>
      </c>
      <c r="AB212" s="77" t="str">
        <f>IF(Z212=0,"",AVERAGEIFS(data_num!C:C, data_num!D:D, Y212, data_num!K:K, 1))
</f>
        <v/>
      </c>
      <c r="AC212" s="72" t="str">
        <f>IF(Z211=0,"",SUMIFS(data_num!L:L, data_num!D:D, Y211, data_num!K:K, 1)/Z211)
</f>
        <v/>
      </c>
      <c r="AD212" s="73" t="str">
        <f>IF(Z211=0,"",SUMIFS(data_num!L:L, data_num!D:D, Y211, data_num!K:K, 1)/Z211)
</f>
        <v/>
      </c>
      <c r="AE212" s="78"/>
      <c r="AF212" s="71"/>
      <c r="AG212" s="75"/>
      <c r="AH212" s="78"/>
      <c r="AI212" s="71"/>
      <c r="AJ212" s="78"/>
      <c r="AK212" s="78"/>
      <c r="AL212" s="78"/>
      <c r="AM212" s="78"/>
      <c r="AN212" s="78"/>
      <c r="AO212" s="78"/>
      <c r="AP212" s="71"/>
      <c r="AQ212" s="71"/>
      <c r="AR212" s="78"/>
      <c r="AS212" s="71"/>
      <c r="AT212" s="78"/>
      <c r="AU212" s="78"/>
      <c r="AV212" s="78"/>
      <c r="AW212" s="78"/>
      <c r="AX212" s="71"/>
      <c r="AY212" s="71"/>
    </row>
    <row r="213" ht="16.5" customHeight="1">
      <c r="A213" s="71"/>
      <c r="B213" s="78"/>
      <c r="C213" s="78"/>
      <c r="D213" s="78"/>
      <c r="E213" s="78"/>
      <c r="F213" s="78"/>
      <c r="G213" s="78"/>
      <c r="H213" s="78"/>
      <c r="I213" s="71"/>
      <c r="J213" s="78"/>
      <c r="K213" s="78"/>
      <c r="L213" s="78"/>
      <c r="M213" s="78"/>
      <c r="N213" s="78"/>
      <c r="O213" s="78"/>
      <c r="P213" s="78"/>
      <c r="Q213" s="78"/>
      <c r="R213" s="78"/>
      <c r="S213" s="78"/>
      <c r="T213" s="71"/>
      <c r="U213" s="71"/>
      <c r="V213" s="78"/>
      <c r="W213" s="78"/>
      <c r="X213" s="78"/>
      <c r="Y213" s="78"/>
      <c r="Z213" s="73"/>
      <c r="AA213" s="73" t="str">
        <f>IF(Z213=0,"",AVERAGEIFS(data_num!B:B, data_num!D:D, Y213, data_num!K:K, 1))
</f>
        <v/>
      </c>
      <c r="AB213" s="77" t="str">
        <f>IF(Z213=0,"",AVERAGEIFS(data_num!C:C, data_num!D:D, Y213, data_num!K:K, 1))
</f>
        <v/>
      </c>
      <c r="AC213" s="72" t="str">
        <f>IF(Z212=0,"",SUMIFS(data_num!L:L, data_num!D:D, Y212, data_num!K:K, 1)/Z212)
</f>
        <v/>
      </c>
      <c r="AD213" s="73" t="str">
        <f>IF(Z212=0,"",SUMIFS(data_num!L:L, data_num!D:D, Y212, data_num!K:K, 1)/Z212)
</f>
        <v/>
      </c>
      <c r="AE213" s="78"/>
      <c r="AF213" s="71"/>
      <c r="AG213" s="75"/>
      <c r="AH213" s="78"/>
      <c r="AI213" s="71"/>
      <c r="AJ213" s="78"/>
      <c r="AK213" s="78"/>
      <c r="AL213" s="78"/>
      <c r="AM213" s="78"/>
      <c r="AN213" s="78"/>
      <c r="AO213" s="78"/>
      <c r="AP213" s="71"/>
      <c r="AQ213" s="71"/>
      <c r="AR213" s="78"/>
      <c r="AS213" s="71"/>
      <c r="AT213" s="78"/>
      <c r="AU213" s="78"/>
      <c r="AV213" s="78"/>
      <c r="AW213" s="78"/>
      <c r="AX213" s="71"/>
      <c r="AY213" s="71"/>
    </row>
    <row r="214" ht="16.5" customHeight="1">
      <c r="A214" s="71"/>
      <c r="B214" s="78"/>
      <c r="C214" s="78"/>
      <c r="D214" s="78"/>
      <c r="E214" s="78"/>
      <c r="F214" s="78"/>
      <c r="G214" s="78"/>
      <c r="H214" s="78"/>
      <c r="I214" s="71"/>
      <c r="J214" s="78"/>
      <c r="K214" s="78"/>
      <c r="L214" s="78"/>
      <c r="M214" s="78"/>
      <c r="N214" s="78"/>
      <c r="O214" s="78"/>
      <c r="P214" s="78"/>
      <c r="Q214" s="78"/>
      <c r="R214" s="78"/>
      <c r="S214" s="78"/>
      <c r="T214" s="71"/>
      <c r="U214" s="71"/>
      <c r="V214" s="78"/>
      <c r="W214" s="78"/>
      <c r="X214" s="78"/>
      <c r="Y214" s="78"/>
      <c r="Z214" s="73"/>
      <c r="AA214" s="73" t="str">
        <f>IF(Z214=0,"",AVERAGEIFS(data_num!B:B, data_num!D:D, Y214, data_num!K:K, 1))
</f>
        <v/>
      </c>
      <c r="AB214" s="77" t="str">
        <f>IF(Z214=0,"",AVERAGEIFS(data_num!C:C, data_num!D:D, Y214, data_num!K:K, 1))
</f>
        <v/>
      </c>
      <c r="AC214" s="72" t="str">
        <f>IF(Z213=0,"",SUMIFS(data_num!L:L, data_num!D:D, Y213, data_num!K:K, 1)/Z213)
</f>
        <v/>
      </c>
      <c r="AD214" s="73" t="str">
        <f>IF(Z213=0,"",SUMIFS(data_num!L:L, data_num!D:D, Y213, data_num!K:K, 1)/Z213)
</f>
        <v/>
      </c>
      <c r="AE214" s="78"/>
      <c r="AF214" s="71"/>
      <c r="AG214" s="75"/>
      <c r="AH214" s="78"/>
      <c r="AI214" s="71"/>
      <c r="AJ214" s="78"/>
      <c r="AK214" s="78"/>
      <c r="AL214" s="78"/>
      <c r="AM214" s="78"/>
      <c r="AN214" s="78"/>
      <c r="AO214" s="78"/>
      <c r="AP214" s="71"/>
      <c r="AQ214" s="71"/>
      <c r="AR214" s="78"/>
      <c r="AS214" s="71"/>
      <c r="AT214" s="78"/>
      <c r="AU214" s="78"/>
      <c r="AV214" s="78"/>
      <c r="AW214" s="78"/>
      <c r="AX214" s="71"/>
      <c r="AY214" s="71"/>
    </row>
    <row r="215" ht="16.5" customHeight="1">
      <c r="A215" s="71"/>
      <c r="B215" s="78"/>
      <c r="C215" s="78"/>
      <c r="D215" s="78"/>
      <c r="E215" s="78"/>
      <c r="F215" s="78"/>
      <c r="G215" s="78"/>
      <c r="H215" s="78"/>
      <c r="I215" s="71"/>
      <c r="J215" s="78"/>
      <c r="K215" s="78"/>
      <c r="L215" s="78"/>
      <c r="M215" s="78"/>
      <c r="N215" s="78"/>
      <c r="O215" s="78"/>
      <c r="P215" s="78"/>
      <c r="Q215" s="78"/>
      <c r="R215" s="78"/>
      <c r="S215" s="78"/>
      <c r="T215" s="71"/>
      <c r="U215" s="71"/>
      <c r="V215" s="78"/>
      <c r="W215" s="78"/>
      <c r="X215" s="78"/>
      <c r="Y215" s="78"/>
      <c r="Z215" s="73"/>
      <c r="AA215" s="73" t="str">
        <f>IF(Z215=0,"",AVERAGEIFS(data_num!B:B, data_num!D:D, Y215, data_num!K:K, 1))
</f>
        <v/>
      </c>
      <c r="AB215" s="77" t="str">
        <f>IF(Z215=0,"",AVERAGEIFS(data_num!C:C, data_num!D:D, Y215, data_num!K:K, 1))
</f>
        <v/>
      </c>
      <c r="AC215" s="72" t="str">
        <f>IF(Z214=0,"",SUMIFS(data_num!L:L, data_num!D:D, Y214, data_num!K:K, 1)/Z214)
</f>
        <v/>
      </c>
      <c r="AD215" s="73" t="str">
        <f>IF(Z214=0,"",SUMIFS(data_num!L:L, data_num!D:D, Y214, data_num!K:K, 1)/Z214)
</f>
        <v/>
      </c>
      <c r="AE215" s="78"/>
      <c r="AF215" s="71"/>
      <c r="AG215" s="75"/>
      <c r="AH215" s="78"/>
      <c r="AI215" s="71"/>
      <c r="AJ215" s="78"/>
      <c r="AK215" s="78"/>
      <c r="AL215" s="78"/>
      <c r="AM215" s="78"/>
      <c r="AN215" s="78"/>
      <c r="AO215" s="78"/>
      <c r="AP215" s="71"/>
      <c r="AQ215" s="71"/>
      <c r="AR215" s="78"/>
      <c r="AS215" s="71"/>
      <c r="AT215" s="78"/>
      <c r="AU215" s="78"/>
      <c r="AV215" s="78"/>
      <c r="AW215" s="78"/>
      <c r="AX215" s="71"/>
      <c r="AY215" s="71"/>
    </row>
    <row r="216" ht="16.5" customHeight="1">
      <c r="A216" s="71"/>
      <c r="B216" s="78"/>
      <c r="C216" s="78"/>
      <c r="D216" s="78"/>
      <c r="E216" s="78"/>
      <c r="F216" s="78"/>
      <c r="G216" s="78"/>
      <c r="H216" s="78"/>
      <c r="I216" s="71"/>
      <c r="J216" s="78"/>
      <c r="K216" s="78"/>
      <c r="L216" s="78"/>
      <c r="M216" s="78"/>
      <c r="N216" s="78"/>
      <c r="O216" s="78"/>
      <c r="P216" s="78"/>
      <c r="Q216" s="78"/>
      <c r="R216" s="78"/>
      <c r="S216" s="78"/>
      <c r="T216" s="71"/>
      <c r="U216" s="71"/>
      <c r="V216" s="78"/>
      <c r="W216" s="78"/>
      <c r="X216" s="78"/>
      <c r="Y216" s="78"/>
      <c r="Z216" s="73"/>
      <c r="AA216" s="73" t="str">
        <f>IF(Z216=0,"",AVERAGEIFS(data_num!B:B, data_num!D:D, Y216, data_num!K:K, 1))
</f>
        <v/>
      </c>
      <c r="AB216" s="77" t="str">
        <f>IF(Z216=0,"",AVERAGEIFS(data_num!C:C, data_num!D:D, Y216, data_num!K:K, 1))
</f>
        <v/>
      </c>
      <c r="AC216" s="72" t="str">
        <f>IF(Z215=0,"",SUMIFS(data_num!L:L, data_num!D:D, Y215, data_num!K:K, 1)/Z215)
</f>
        <v/>
      </c>
      <c r="AD216" s="73" t="str">
        <f>IF(Z215=0,"",SUMIFS(data_num!L:L, data_num!D:D, Y215, data_num!K:K, 1)/Z215)
</f>
        <v/>
      </c>
      <c r="AE216" s="78"/>
      <c r="AF216" s="71"/>
      <c r="AG216" s="75"/>
      <c r="AH216" s="78"/>
      <c r="AI216" s="71"/>
      <c r="AJ216" s="78"/>
      <c r="AK216" s="78"/>
      <c r="AL216" s="78"/>
      <c r="AM216" s="78"/>
      <c r="AN216" s="78"/>
      <c r="AO216" s="78"/>
      <c r="AP216" s="71"/>
      <c r="AQ216" s="71"/>
      <c r="AR216" s="78"/>
      <c r="AS216" s="71"/>
      <c r="AT216" s="78"/>
      <c r="AU216" s="78"/>
      <c r="AV216" s="78"/>
      <c r="AW216" s="78"/>
      <c r="AX216" s="71"/>
      <c r="AY216" s="71"/>
    </row>
    <row r="217" ht="16.5" customHeight="1">
      <c r="A217" s="71"/>
      <c r="B217" s="78"/>
      <c r="C217" s="78"/>
      <c r="D217" s="78"/>
      <c r="E217" s="78"/>
      <c r="F217" s="78"/>
      <c r="G217" s="78"/>
      <c r="H217" s="78"/>
      <c r="I217" s="71"/>
      <c r="J217" s="78"/>
      <c r="K217" s="78"/>
      <c r="L217" s="78"/>
      <c r="M217" s="78"/>
      <c r="N217" s="78"/>
      <c r="O217" s="78"/>
      <c r="P217" s="78"/>
      <c r="Q217" s="78"/>
      <c r="R217" s="78"/>
      <c r="S217" s="78"/>
      <c r="T217" s="71"/>
      <c r="U217" s="71"/>
      <c r="V217" s="78"/>
      <c r="W217" s="78"/>
      <c r="X217" s="78"/>
      <c r="Y217" s="78"/>
      <c r="Z217" s="73"/>
      <c r="AA217" s="73" t="str">
        <f>IF(Z217=0,"",AVERAGEIFS(data_num!B:B, data_num!D:D, Y217, data_num!K:K, 1))
</f>
        <v/>
      </c>
      <c r="AB217" s="77" t="str">
        <f>IF(Z217=0,"",AVERAGEIFS(data_num!C:C, data_num!D:D, Y217, data_num!K:K, 1))
</f>
        <v/>
      </c>
      <c r="AC217" s="72" t="str">
        <f>IF(Z216=0,"",SUMIFS(data_num!L:L, data_num!D:D, Y216, data_num!K:K, 1)/Z216)
</f>
        <v/>
      </c>
      <c r="AD217" s="73" t="str">
        <f>IF(Z216=0,"",SUMIFS(data_num!L:L, data_num!D:D, Y216, data_num!K:K, 1)/Z216)
</f>
        <v/>
      </c>
      <c r="AE217" s="78"/>
      <c r="AF217" s="71"/>
      <c r="AG217" s="75"/>
      <c r="AH217" s="78"/>
      <c r="AI217" s="71"/>
      <c r="AJ217" s="78"/>
      <c r="AK217" s="78"/>
      <c r="AL217" s="78"/>
      <c r="AM217" s="78"/>
      <c r="AN217" s="78"/>
      <c r="AO217" s="78"/>
      <c r="AP217" s="71"/>
      <c r="AQ217" s="71"/>
      <c r="AR217" s="78"/>
      <c r="AS217" s="71"/>
      <c r="AT217" s="78"/>
      <c r="AU217" s="78"/>
      <c r="AV217" s="78"/>
      <c r="AW217" s="78"/>
      <c r="AX217" s="71"/>
      <c r="AY217" s="71"/>
    </row>
    <row r="218" ht="16.5" customHeight="1">
      <c r="A218" s="71"/>
      <c r="B218" s="78"/>
      <c r="C218" s="78"/>
      <c r="D218" s="78"/>
      <c r="E218" s="78"/>
      <c r="F218" s="78"/>
      <c r="G218" s="78"/>
      <c r="H218" s="78"/>
      <c r="I218" s="71"/>
      <c r="J218" s="78"/>
      <c r="K218" s="78"/>
      <c r="L218" s="78"/>
      <c r="M218" s="78"/>
      <c r="N218" s="78"/>
      <c r="O218" s="78"/>
      <c r="P218" s="78"/>
      <c r="Q218" s="78"/>
      <c r="R218" s="78"/>
      <c r="S218" s="78"/>
      <c r="T218" s="71"/>
      <c r="U218" s="71"/>
      <c r="V218" s="78"/>
      <c r="W218" s="78"/>
      <c r="X218" s="78"/>
      <c r="Y218" s="78"/>
      <c r="Z218" s="73"/>
      <c r="AA218" s="73" t="str">
        <f>IF(Z218=0,"",AVERAGEIFS(data_num!B:B, data_num!D:D, Y218, data_num!K:K, 1))
</f>
        <v/>
      </c>
      <c r="AB218" s="77" t="str">
        <f>IF(Z218=0,"",AVERAGEIFS(data_num!C:C, data_num!D:D, Y218, data_num!K:K, 1))
</f>
        <v/>
      </c>
      <c r="AC218" s="72" t="str">
        <f>IF(Z217=0,"",SUMIFS(data_num!L:L, data_num!D:D, Y217, data_num!K:K, 1)/Z217)
</f>
        <v/>
      </c>
      <c r="AD218" s="73" t="str">
        <f>IF(Z217=0,"",SUMIFS(data_num!L:L, data_num!D:D, Y217, data_num!K:K, 1)/Z217)
</f>
        <v/>
      </c>
      <c r="AE218" s="78"/>
      <c r="AF218" s="71"/>
      <c r="AG218" s="75"/>
      <c r="AH218" s="78"/>
      <c r="AI218" s="71"/>
      <c r="AJ218" s="78"/>
      <c r="AK218" s="78"/>
      <c r="AL218" s="78"/>
      <c r="AM218" s="78"/>
      <c r="AN218" s="78"/>
      <c r="AO218" s="78"/>
      <c r="AP218" s="71"/>
      <c r="AQ218" s="71"/>
      <c r="AR218" s="78"/>
      <c r="AS218" s="71"/>
      <c r="AT218" s="78"/>
      <c r="AU218" s="78"/>
      <c r="AV218" s="78"/>
      <c r="AW218" s="78"/>
      <c r="AX218" s="71"/>
      <c r="AY218" s="71"/>
    </row>
    <row r="219" ht="16.5" customHeight="1">
      <c r="A219" s="71"/>
      <c r="B219" s="78"/>
      <c r="C219" s="78"/>
      <c r="D219" s="78"/>
      <c r="E219" s="78"/>
      <c r="F219" s="78"/>
      <c r="G219" s="78"/>
      <c r="H219" s="78"/>
      <c r="I219" s="71"/>
      <c r="J219" s="78"/>
      <c r="K219" s="78"/>
      <c r="L219" s="78"/>
      <c r="M219" s="78"/>
      <c r="N219" s="78"/>
      <c r="O219" s="78"/>
      <c r="P219" s="78"/>
      <c r="Q219" s="78"/>
      <c r="R219" s="78"/>
      <c r="S219" s="78"/>
      <c r="T219" s="71"/>
      <c r="U219" s="71"/>
      <c r="V219" s="78"/>
      <c r="W219" s="78"/>
      <c r="X219" s="78"/>
      <c r="Y219" s="78"/>
      <c r="Z219" s="73"/>
      <c r="AA219" s="73" t="str">
        <f>IF(Z219=0,"",AVERAGEIFS(data_num!B:B, data_num!D:D, Y219, data_num!K:K, 1))
</f>
        <v/>
      </c>
      <c r="AB219" s="77" t="str">
        <f>IF(Z219=0,"",AVERAGEIFS(data_num!C:C, data_num!D:D, Y219, data_num!K:K, 1))
</f>
        <v/>
      </c>
      <c r="AC219" s="72" t="str">
        <f>IF(Z218=0,"",SUMIFS(data_num!L:L, data_num!D:D, Y218, data_num!K:K, 1)/Z218)
</f>
        <v/>
      </c>
      <c r="AD219" s="73" t="str">
        <f>IF(Z218=0,"",SUMIFS(data_num!L:L, data_num!D:D, Y218, data_num!K:K, 1)/Z218)
</f>
        <v/>
      </c>
      <c r="AE219" s="78"/>
      <c r="AF219" s="71"/>
      <c r="AG219" s="75"/>
      <c r="AH219" s="78"/>
      <c r="AI219" s="71"/>
      <c r="AJ219" s="78"/>
      <c r="AK219" s="78"/>
      <c r="AL219" s="78"/>
      <c r="AM219" s="78"/>
      <c r="AN219" s="78"/>
      <c r="AO219" s="78"/>
      <c r="AP219" s="71"/>
      <c r="AQ219" s="71"/>
      <c r="AR219" s="78"/>
      <c r="AS219" s="71"/>
      <c r="AT219" s="78"/>
      <c r="AU219" s="78"/>
      <c r="AV219" s="78"/>
      <c r="AW219" s="78"/>
      <c r="AX219" s="71"/>
      <c r="AY219" s="71"/>
    </row>
    <row r="220" ht="16.5" customHeight="1">
      <c r="A220" s="71"/>
      <c r="B220" s="78"/>
      <c r="C220" s="78"/>
      <c r="D220" s="78"/>
      <c r="E220" s="78"/>
      <c r="F220" s="78"/>
      <c r="G220" s="78"/>
      <c r="H220" s="78"/>
      <c r="I220" s="71"/>
      <c r="J220" s="78"/>
      <c r="K220" s="78"/>
      <c r="L220" s="78"/>
      <c r="M220" s="78"/>
      <c r="N220" s="78"/>
      <c r="O220" s="78"/>
      <c r="P220" s="78"/>
      <c r="Q220" s="78"/>
      <c r="R220" s="78"/>
      <c r="S220" s="78"/>
      <c r="T220" s="71"/>
      <c r="U220" s="71"/>
      <c r="V220" s="78"/>
      <c r="W220" s="78"/>
      <c r="X220" s="78"/>
      <c r="Y220" s="78"/>
      <c r="Z220" s="73"/>
      <c r="AA220" s="73" t="str">
        <f>IF(Z220=0,"",AVERAGEIFS(data_num!B:B, data_num!D:D, Y220, data_num!K:K, 1))
</f>
        <v/>
      </c>
      <c r="AB220" s="77" t="str">
        <f>IF(Z220=0,"",AVERAGEIFS(data_num!C:C, data_num!D:D, Y220, data_num!K:K, 1))
</f>
        <v/>
      </c>
      <c r="AC220" s="72" t="str">
        <f>IF(Z219=0,"",SUMIFS(data_num!L:L, data_num!D:D, Y219, data_num!K:K, 1)/Z219)
</f>
        <v/>
      </c>
      <c r="AD220" s="73" t="str">
        <f>IF(Z219=0,"",SUMIFS(data_num!L:L, data_num!D:D, Y219, data_num!K:K, 1)/Z219)
</f>
        <v/>
      </c>
      <c r="AE220" s="78"/>
      <c r="AF220" s="71"/>
      <c r="AG220" s="75"/>
      <c r="AH220" s="78"/>
      <c r="AI220" s="71"/>
      <c r="AJ220" s="78"/>
      <c r="AK220" s="78"/>
      <c r="AL220" s="78"/>
      <c r="AM220" s="78"/>
      <c r="AN220" s="78"/>
      <c r="AO220" s="78"/>
      <c r="AP220" s="71"/>
      <c r="AQ220" s="71"/>
      <c r="AR220" s="78"/>
      <c r="AS220" s="71"/>
      <c r="AT220" s="78"/>
      <c r="AU220" s="78"/>
      <c r="AV220" s="78"/>
      <c r="AW220" s="78"/>
      <c r="AX220" s="71"/>
      <c r="AY220" s="71"/>
    </row>
    <row r="221" ht="16.5" customHeight="1">
      <c r="A221" s="71"/>
      <c r="B221" s="78"/>
      <c r="C221" s="78"/>
      <c r="D221" s="78"/>
      <c r="E221" s="78"/>
      <c r="F221" s="78"/>
      <c r="G221" s="78"/>
      <c r="H221" s="78"/>
      <c r="I221" s="71"/>
      <c r="J221" s="78"/>
      <c r="K221" s="78"/>
      <c r="L221" s="78"/>
      <c r="M221" s="78"/>
      <c r="N221" s="78"/>
      <c r="O221" s="78"/>
      <c r="P221" s="78"/>
      <c r="Q221" s="78"/>
      <c r="R221" s="78"/>
      <c r="S221" s="78"/>
      <c r="T221" s="71"/>
      <c r="U221" s="71"/>
      <c r="V221" s="78"/>
      <c r="W221" s="78"/>
      <c r="X221" s="78"/>
      <c r="Y221" s="78"/>
      <c r="Z221" s="73"/>
      <c r="AA221" s="73" t="str">
        <f>IF(Z221=0,"",AVERAGEIFS(data_num!B:B, data_num!D:D, Y221, data_num!K:K, 1))
</f>
        <v/>
      </c>
      <c r="AB221" s="77" t="str">
        <f>IF(Z221=0,"",AVERAGEIFS(data_num!C:C, data_num!D:D, Y221, data_num!K:K, 1))
</f>
        <v/>
      </c>
      <c r="AC221" s="72" t="str">
        <f>IF(Z220=0,"",SUMIFS(data_num!L:L, data_num!D:D, Y220, data_num!K:K, 1)/Z220)
</f>
        <v/>
      </c>
      <c r="AD221" s="73" t="str">
        <f>IF(Z220=0,"",SUMIFS(data_num!L:L, data_num!D:D, Y220, data_num!K:K, 1)/Z220)
</f>
        <v/>
      </c>
      <c r="AE221" s="78"/>
      <c r="AF221" s="71"/>
      <c r="AG221" s="75"/>
      <c r="AH221" s="78"/>
      <c r="AI221" s="71"/>
      <c r="AJ221" s="78"/>
      <c r="AK221" s="78"/>
      <c r="AL221" s="78"/>
      <c r="AM221" s="78"/>
      <c r="AN221" s="78"/>
      <c r="AO221" s="78"/>
      <c r="AP221" s="71"/>
      <c r="AQ221" s="71"/>
      <c r="AR221" s="78"/>
      <c r="AS221" s="71"/>
      <c r="AT221" s="78"/>
      <c r="AU221" s="78"/>
      <c r="AV221" s="78"/>
      <c r="AW221" s="78"/>
      <c r="AX221" s="71"/>
      <c r="AY221" s="71"/>
    </row>
    <row r="222" ht="16.5" customHeight="1">
      <c r="A222" s="71"/>
      <c r="B222" s="78"/>
      <c r="C222" s="78"/>
      <c r="D222" s="78"/>
      <c r="E222" s="78"/>
      <c r="F222" s="78"/>
      <c r="G222" s="78"/>
      <c r="H222" s="78"/>
      <c r="I222" s="71"/>
      <c r="J222" s="78"/>
      <c r="K222" s="78"/>
      <c r="L222" s="78"/>
      <c r="M222" s="78"/>
      <c r="N222" s="78"/>
      <c r="O222" s="78"/>
      <c r="P222" s="78"/>
      <c r="Q222" s="78"/>
      <c r="R222" s="78"/>
      <c r="S222" s="78"/>
      <c r="T222" s="71"/>
      <c r="U222" s="71"/>
      <c r="V222" s="78"/>
      <c r="W222" s="78"/>
      <c r="X222" s="78"/>
      <c r="Y222" s="78"/>
      <c r="Z222" s="73"/>
      <c r="AA222" s="73" t="str">
        <f>IF(Z222=0,"",AVERAGEIFS(data_num!B:B, data_num!D:D, Y222, data_num!K:K, 1))
</f>
        <v/>
      </c>
      <c r="AB222" s="77" t="str">
        <f>IF(Z222=0,"",AVERAGEIFS(data_num!C:C, data_num!D:D, Y222, data_num!K:K, 1))
</f>
        <v/>
      </c>
      <c r="AC222" s="72" t="str">
        <f>IF(Z221=0,"",SUMIFS(data_num!L:L, data_num!D:D, Y221, data_num!K:K, 1)/Z221)
</f>
        <v/>
      </c>
      <c r="AD222" s="73" t="str">
        <f>IF(Z221=0,"",SUMIFS(data_num!L:L, data_num!D:D, Y221, data_num!K:K, 1)/Z221)
</f>
        <v/>
      </c>
      <c r="AE222" s="78"/>
      <c r="AF222" s="71"/>
      <c r="AG222" s="75"/>
      <c r="AH222" s="78"/>
      <c r="AI222" s="71"/>
      <c r="AJ222" s="78"/>
      <c r="AK222" s="78"/>
      <c r="AL222" s="78"/>
      <c r="AM222" s="78"/>
      <c r="AN222" s="78"/>
      <c r="AO222" s="78"/>
      <c r="AP222" s="71"/>
      <c r="AQ222" s="71"/>
      <c r="AR222" s="78"/>
      <c r="AS222" s="71"/>
      <c r="AT222" s="78"/>
      <c r="AU222" s="78"/>
      <c r="AV222" s="78"/>
      <c r="AW222" s="78"/>
      <c r="AX222" s="71"/>
      <c r="AY222" s="71"/>
    </row>
    <row r="223" ht="16.5" customHeight="1">
      <c r="A223" s="71"/>
      <c r="B223" s="78"/>
      <c r="C223" s="78"/>
      <c r="D223" s="78"/>
      <c r="E223" s="78"/>
      <c r="F223" s="78"/>
      <c r="G223" s="78"/>
      <c r="H223" s="78"/>
      <c r="I223" s="71"/>
      <c r="J223" s="78"/>
      <c r="K223" s="78"/>
      <c r="L223" s="78"/>
      <c r="M223" s="78"/>
      <c r="N223" s="78"/>
      <c r="O223" s="78"/>
      <c r="P223" s="78"/>
      <c r="Q223" s="78"/>
      <c r="R223" s="78"/>
      <c r="S223" s="78"/>
      <c r="T223" s="71"/>
      <c r="U223" s="71"/>
      <c r="V223" s="78"/>
      <c r="W223" s="78"/>
      <c r="X223" s="78"/>
      <c r="Y223" s="78"/>
      <c r="Z223" s="73"/>
      <c r="AA223" s="73" t="str">
        <f>IF(Z223=0,"",AVERAGEIFS(data_num!B:B, data_num!D:D, Y223, data_num!K:K, 1))
</f>
        <v/>
      </c>
      <c r="AB223" s="77" t="str">
        <f>IF(Z223=0,"",AVERAGEIFS(data_num!C:C, data_num!D:D, Y223, data_num!K:K, 1))
</f>
        <v/>
      </c>
      <c r="AC223" s="72" t="str">
        <f>IF(Z222=0,"",SUMIFS(data_num!L:L, data_num!D:D, Y222, data_num!K:K, 1)/Z222)
</f>
        <v/>
      </c>
      <c r="AD223" s="73" t="str">
        <f>IF(Z222=0,"",SUMIFS(data_num!L:L, data_num!D:D, Y222, data_num!K:K, 1)/Z222)
</f>
        <v/>
      </c>
      <c r="AE223" s="78"/>
      <c r="AF223" s="71"/>
      <c r="AG223" s="75"/>
      <c r="AH223" s="78"/>
      <c r="AI223" s="71"/>
      <c r="AJ223" s="78"/>
      <c r="AK223" s="78"/>
      <c r="AL223" s="78"/>
      <c r="AM223" s="78"/>
      <c r="AN223" s="78"/>
      <c r="AO223" s="78"/>
      <c r="AP223" s="71"/>
      <c r="AQ223" s="71"/>
      <c r="AR223" s="78"/>
      <c r="AS223" s="71"/>
      <c r="AT223" s="78"/>
      <c r="AU223" s="78"/>
      <c r="AV223" s="78"/>
      <c r="AW223" s="78"/>
      <c r="AX223" s="71"/>
      <c r="AY223" s="71"/>
    </row>
    <row r="224" ht="16.5" customHeight="1">
      <c r="A224" s="71"/>
      <c r="B224" s="78"/>
      <c r="C224" s="78"/>
      <c r="D224" s="78"/>
      <c r="E224" s="78"/>
      <c r="F224" s="78"/>
      <c r="G224" s="78"/>
      <c r="H224" s="78"/>
      <c r="I224" s="71"/>
      <c r="J224" s="78"/>
      <c r="K224" s="78"/>
      <c r="L224" s="78"/>
      <c r="M224" s="78"/>
      <c r="N224" s="78"/>
      <c r="O224" s="78"/>
      <c r="P224" s="78"/>
      <c r="Q224" s="78"/>
      <c r="R224" s="78"/>
      <c r="S224" s="78"/>
      <c r="T224" s="71"/>
      <c r="U224" s="71"/>
      <c r="V224" s="78"/>
      <c r="W224" s="78"/>
      <c r="X224" s="78"/>
      <c r="Y224" s="78"/>
      <c r="Z224" s="73"/>
      <c r="AA224" s="73" t="str">
        <f>IF(Z224=0,"",AVERAGEIFS(data_num!B:B, data_num!D:D, Y224, data_num!K:K, 1))
</f>
        <v/>
      </c>
      <c r="AB224" s="77" t="str">
        <f>IF(Z224=0,"",AVERAGEIFS(data_num!C:C, data_num!D:D, Y224, data_num!K:K, 1))
</f>
        <v/>
      </c>
      <c r="AC224" s="72" t="str">
        <f>IF(Z223=0,"",SUMIFS(data_num!L:L, data_num!D:D, Y223, data_num!K:K, 1)/Z223)
</f>
        <v/>
      </c>
      <c r="AD224" s="73" t="str">
        <f>IF(Z223=0,"",SUMIFS(data_num!L:L, data_num!D:D, Y223, data_num!K:K, 1)/Z223)
</f>
        <v/>
      </c>
      <c r="AE224" s="78"/>
      <c r="AF224" s="71"/>
      <c r="AG224" s="75"/>
      <c r="AH224" s="78"/>
      <c r="AI224" s="71"/>
      <c r="AJ224" s="78"/>
      <c r="AK224" s="78"/>
      <c r="AL224" s="78"/>
      <c r="AM224" s="78"/>
      <c r="AN224" s="78"/>
      <c r="AO224" s="78"/>
      <c r="AP224" s="71"/>
      <c r="AQ224" s="71"/>
      <c r="AR224" s="78"/>
      <c r="AS224" s="71"/>
      <c r="AT224" s="78"/>
      <c r="AU224" s="78"/>
      <c r="AV224" s="78"/>
      <c r="AW224" s="78"/>
      <c r="AX224" s="71"/>
      <c r="AY224" s="71"/>
    </row>
    <row r="225" ht="16.5" customHeight="1">
      <c r="A225" s="71"/>
      <c r="B225" s="78"/>
      <c r="C225" s="78"/>
      <c r="D225" s="78"/>
      <c r="E225" s="78"/>
      <c r="F225" s="78"/>
      <c r="G225" s="78"/>
      <c r="H225" s="78"/>
      <c r="I225" s="71"/>
      <c r="J225" s="78"/>
      <c r="K225" s="78"/>
      <c r="L225" s="78"/>
      <c r="M225" s="78"/>
      <c r="N225" s="78"/>
      <c r="O225" s="78"/>
      <c r="P225" s="78"/>
      <c r="Q225" s="78"/>
      <c r="R225" s="78"/>
      <c r="S225" s="78"/>
      <c r="T225" s="71"/>
      <c r="U225" s="71"/>
      <c r="V225" s="78"/>
      <c r="W225" s="78"/>
      <c r="X225" s="78"/>
      <c r="Y225" s="78"/>
      <c r="Z225" s="73"/>
      <c r="AA225" s="73" t="str">
        <f>IF(Z225=0,"",AVERAGEIFS(data_num!B:B, data_num!D:D, Y225, data_num!K:K, 1))
</f>
        <v/>
      </c>
      <c r="AB225" s="77" t="str">
        <f>IF(Z225=0,"",AVERAGEIFS(data_num!C:C, data_num!D:D, Y225, data_num!K:K, 1))
</f>
        <v/>
      </c>
      <c r="AC225" s="72" t="str">
        <f>IF(Z224=0,"",SUMIFS(data_num!L:L, data_num!D:D, Y224, data_num!K:K, 1)/Z224)
</f>
        <v/>
      </c>
      <c r="AD225" s="73" t="str">
        <f>IF(Z224=0,"",SUMIFS(data_num!L:L, data_num!D:D, Y224, data_num!K:K, 1)/Z224)
</f>
        <v/>
      </c>
      <c r="AE225" s="78"/>
      <c r="AF225" s="71"/>
      <c r="AG225" s="75"/>
      <c r="AH225" s="78"/>
      <c r="AI225" s="71"/>
      <c r="AJ225" s="78"/>
      <c r="AK225" s="78"/>
      <c r="AL225" s="78"/>
      <c r="AM225" s="78"/>
      <c r="AN225" s="78"/>
      <c r="AO225" s="78"/>
      <c r="AP225" s="71"/>
      <c r="AQ225" s="71"/>
      <c r="AR225" s="78"/>
      <c r="AS225" s="71"/>
      <c r="AT225" s="78"/>
      <c r="AU225" s="78"/>
      <c r="AV225" s="78"/>
      <c r="AW225" s="78"/>
      <c r="AX225" s="71"/>
      <c r="AY225" s="71"/>
    </row>
    <row r="226" ht="16.5" customHeight="1">
      <c r="A226" s="71"/>
      <c r="B226" s="78"/>
      <c r="C226" s="78"/>
      <c r="D226" s="78"/>
      <c r="E226" s="78"/>
      <c r="F226" s="78"/>
      <c r="G226" s="78"/>
      <c r="H226" s="78"/>
      <c r="I226" s="71"/>
      <c r="J226" s="78"/>
      <c r="K226" s="78"/>
      <c r="L226" s="78"/>
      <c r="M226" s="78"/>
      <c r="N226" s="78"/>
      <c r="O226" s="78"/>
      <c r="P226" s="78"/>
      <c r="Q226" s="78"/>
      <c r="R226" s="78"/>
      <c r="S226" s="78"/>
      <c r="T226" s="71"/>
      <c r="U226" s="71"/>
      <c r="V226" s="78"/>
      <c r="W226" s="78"/>
      <c r="X226" s="78"/>
      <c r="Y226" s="78"/>
      <c r="Z226" s="73"/>
      <c r="AA226" s="73" t="str">
        <f>IF(Z226=0,"",AVERAGEIFS(data_num!B:B, data_num!D:D, Y226, data_num!K:K, 1))
</f>
        <v/>
      </c>
      <c r="AB226" s="77" t="str">
        <f>IF(Z226=0,"",AVERAGEIFS(data_num!C:C, data_num!D:D, Y226, data_num!K:K, 1))
</f>
        <v/>
      </c>
      <c r="AC226" s="72" t="str">
        <f>IF(Z225=0,"",SUMIFS(data_num!L:L, data_num!D:D, Y225, data_num!K:K, 1)/Z225)
</f>
        <v/>
      </c>
      <c r="AD226" s="73" t="str">
        <f>IF(Z225=0,"",SUMIFS(data_num!L:L, data_num!D:D, Y225, data_num!K:K, 1)/Z225)
</f>
        <v/>
      </c>
      <c r="AE226" s="78"/>
      <c r="AF226" s="71"/>
      <c r="AG226" s="75"/>
      <c r="AH226" s="78"/>
      <c r="AI226" s="71"/>
      <c r="AJ226" s="78"/>
      <c r="AK226" s="78"/>
      <c r="AL226" s="78"/>
      <c r="AM226" s="78"/>
      <c r="AN226" s="78"/>
      <c r="AO226" s="78"/>
      <c r="AP226" s="71"/>
      <c r="AQ226" s="71"/>
      <c r="AR226" s="78"/>
      <c r="AS226" s="71"/>
      <c r="AT226" s="78"/>
      <c r="AU226" s="78"/>
      <c r="AV226" s="78"/>
      <c r="AW226" s="78"/>
      <c r="AX226" s="71"/>
      <c r="AY226" s="71"/>
    </row>
    <row r="227" ht="16.5" customHeight="1">
      <c r="A227" s="71"/>
      <c r="B227" s="78"/>
      <c r="C227" s="78"/>
      <c r="D227" s="78"/>
      <c r="E227" s="78"/>
      <c r="F227" s="78"/>
      <c r="G227" s="78"/>
      <c r="H227" s="78"/>
      <c r="I227" s="71"/>
      <c r="J227" s="78"/>
      <c r="K227" s="78"/>
      <c r="L227" s="78"/>
      <c r="M227" s="78"/>
      <c r="N227" s="78"/>
      <c r="O227" s="78"/>
      <c r="P227" s="78"/>
      <c r="Q227" s="78"/>
      <c r="R227" s="78"/>
      <c r="S227" s="78"/>
      <c r="T227" s="71"/>
      <c r="U227" s="71"/>
      <c r="V227" s="78"/>
      <c r="W227" s="78"/>
      <c r="X227" s="78"/>
      <c r="Y227" s="78"/>
      <c r="Z227" s="73"/>
      <c r="AA227" s="73" t="str">
        <f>IF(Z227=0,"",AVERAGEIFS(data_num!B:B, data_num!D:D, Y227, data_num!K:K, 1))
</f>
        <v/>
      </c>
      <c r="AB227" s="77" t="str">
        <f>IF(Z227=0,"",AVERAGEIFS(data_num!C:C, data_num!D:D, Y227, data_num!K:K, 1))
</f>
        <v/>
      </c>
      <c r="AC227" s="72" t="str">
        <f>IF(Z226=0,"",SUMIFS(data_num!L:L, data_num!D:D, Y226, data_num!K:K, 1)/Z226)
</f>
        <v/>
      </c>
      <c r="AD227" s="73" t="str">
        <f>IF(Z226=0,"",SUMIFS(data_num!L:L, data_num!D:D, Y226, data_num!K:K, 1)/Z226)
</f>
        <v/>
      </c>
      <c r="AE227" s="78"/>
      <c r="AF227" s="71"/>
      <c r="AG227" s="75"/>
      <c r="AH227" s="78"/>
      <c r="AI227" s="71"/>
      <c r="AJ227" s="78"/>
      <c r="AK227" s="78"/>
      <c r="AL227" s="78"/>
      <c r="AM227" s="78"/>
      <c r="AN227" s="78"/>
      <c r="AO227" s="78"/>
      <c r="AP227" s="71"/>
      <c r="AQ227" s="71"/>
      <c r="AR227" s="78"/>
      <c r="AS227" s="71"/>
      <c r="AT227" s="78"/>
      <c r="AU227" s="78"/>
      <c r="AV227" s="78"/>
      <c r="AW227" s="78"/>
      <c r="AX227" s="71"/>
      <c r="AY227" s="71"/>
    </row>
    <row r="228" ht="16.5" customHeight="1">
      <c r="A228" s="71"/>
      <c r="B228" s="78"/>
      <c r="C228" s="78"/>
      <c r="D228" s="78"/>
      <c r="E228" s="78"/>
      <c r="F228" s="78"/>
      <c r="G228" s="78"/>
      <c r="H228" s="78"/>
      <c r="I228" s="71"/>
      <c r="J228" s="78"/>
      <c r="K228" s="78"/>
      <c r="L228" s="78"/>
      <c r="M228" s="78"/>
      <c r="N228" s="78"/>
      <c r="O228" s="78"/>
      <c r="P228" s="78"/>
      <c r="Q228" s="78"/>
      <c r="R228" s="78"/>
      <c r="S228" s="78"/>
      <c r="T228" s="71"/>
      <c r="U228" s="71"/>
      <c r="V228" s="78"/>
      <c r="W228" s="78"/>
      <c r="X228" s="78"/>
      <c r="Y228" s="78"/>
      <c r="Z228" s="73"/>
      <c r="AA228" s="73" t="str">
        <f>IF(Z228=0,"",AVERAGEIFS(data_num!B:B, data_num!D:D, Y228, data_num!K:K, 1))
</f>
        <v/>
      </c>
      <c r="AB228" s="77" t="str">
        <f>IF(Z228=0,"",AVERAGEIFS(data_num!C:C, data_num!D:D, Y228, data_num!K:K, 1))
</f>
        <v/>
      </c>
      <c r="AC228" s="72" t="str">
        <f>IF(Z227=0,"",SUMIFS(data_num!L:L, data_num!D:D, Y227, data_num!K:K, 1)/Z227)
</f>
        <v/>
      </c>
      <c r="AD228" s="73" t="str">
        <f>IF(Z227=0,"",SUMIFS(data_num!L:L, data_num!D:D, Y227, data_num!K:K, 1)/Z227)
</f>
        <v/>
      </c>
      <c r="AE228" s="78"/>
      <c r="AF228" s="71"/>
      <c r="AG228" s="75"/>
      <c r="AH228" s="78"/>
      <c r="AI228" s="71"/>
      <c r="AJ228" s="78"/>
      <c r="AK228" s="78"/>
      <c r="AL228" s="78"/>
      <c r="AM228" s="78"/>
      <c r="AN228" s="78"/>
      <c r="AO228" s="78"/>
      <c r="AP228" s="71"/>
      <c r="AQ228" s="71"/>
      <c r="AR228" s="78"/>
      <c r="AS228" s="71"/>
      <c r="AT228" s="78"/>
      <c r="AU228" s="78"/>
      <c r="AV228" s="78"/>
      <c r="AW228" s="78"/>
      <c r="AX228" s="71"/>
      <c r="AY228" s="71"/>
    </row>
    <row r="229" ht="16.5" customHeight="1">
      <c r="A229" s="71"/>
      <c r="B229" s="78"/>
      <c r="C229" s="78"/>
      <c r="D229" s="78"/>
      <c r="E229" s="78"/>
      <c r="F229" s="78"/>
      <c r="G229" s="78"/>
      <c r="H229" s="78"/>
      <c r="I229" s="71"/>
      <c r="J229" s="78"/>
      <c r="K229" s="78"/>
      <c r="L229" s="78"/>
      <c r="M229" s="78"/>
      <c r="N229" s="78"/>
      <c r="O229" s="78"/>
      <c r="P229" s="78"/>
      <c r="Q229" s="78"/>
      <c r="R229" s="78"/>
      <c r="S229" s="78"/>
      <c r="T229" s="71"/>
      <c r="U229" s="71"/>
      <c r="V229" s="78"/>
      <c r="W229" s="78"/>
      <c r="X229" s="78"/>
      <c r="Y229" s="78"/>
      <c r="Z229" s="73"/>
      <c r="AA229" s="73" t="str">
        <f>IF(Z229=0,"",AVERAGEIFS(data_num!B:B, data_num!D:D, Y229, data_num!K:K, 1))
</f>
        <v/>
      </c>
      <c r="AB229" s="77" t="str">
        <f>IF(Z229=0,"",AVERAGEIFS(data_num!C:C, data_num!D:D, Y229, data_num!K:K, 1))
</f>
        <v/>
      </c>
      <c r="AC229" s="72" t="str">
        <f>IF(Z228=0,"",SUMIFS(data_num!L:L, data_num!D:D, Y228, data_num!K:K, 1)/Z228)
</f>
        <v/>
      </c>
      <c r="AD229" s="73" t="str">
        <f>IF(Z228=0,"",SUMIFS(data_num!L:L, data_num!D:D, Y228, data_num!K:K, 1)/Z228)
</f>
        <v/>
      </c>
      <c r="AE229" s="78"/>
      <c r="AF229" s="71"/>
      <c r="AG229" s="75"/>
      <c r="AH229" s="78"/>
      <c r="AI229" s="71"/>
      <c r="AJ229" s="78"/>
      <c r="AK229" s="78"/>
      <c r="AL229" s="78"/>
      <c r="AM229" s="78"/>
      <c r="AN229" s="78"/>
      <c r="AO229" s="78"/>
      <c r="AP229" s="71"/>
      <c r="AQ229" s="71"/>
      <c r="AR229" s="78"/>
      <c r="AS229" s="71"/>
      <c r="AT229" s="78"/>
      <c r="AU229" s="78"/>
      <c r="AV229" s="78"/>
      <c r="AW229" s="78"/>
      <c r="AX229" s="71"/>
      <c r="AY229" s="71"/>
    </row>
    <row r="230" ht="16.5" customHeight="1">
      <c r="A230" s="71"/>
      <c r="B230" s="78"/>
      <c r="C230" s="78"/>
      <c r="D230" s="78"/>
      <c r="E230" s="78"/>
      <c r="F230" s="78"/>
      <c r="G230" s="78"/>
      <c r="H230" s="78"/>
      <c r="I230" s="71"/>
      <c r="J230" s="78"/>
      <c r="K230" s="78"/>
      <c r="L230" s="78"/>
      <c r="M230" s="78"/>
      <c r="N230" s="78"/>
      <c r="O230" s="78"/>
      <c r="P230" s="78"/>
      <c r="Q230" s="78"/>
      <c r="R230" s="78"/>
      <c r="S230" s="78"/>
      <c r="T230" s="71"/>
      <c r="U230" s="71"/>
      <c r="V230" s="78"/>
      <c r="W230" s="78"/>
      <c r="X230" s="78"/>
      <c r="Y230" s="78"/>
      <c r="Z230" s="73"/>
      <c r="AA230" s="73" t="str">
        <f>IF(Z230=0,"",AVERAGEIFS(data_num!B:B, data_num!D:D, Y230, data_num!K:K, 1))
</f>
        <v/>
      </c>
      <c r="AB230" s="77" t="str">
        <f>IF(Z230=0,"",AVERAGEIFS(data_num!C:C, data_num!D:D, Y230, data_num!K:K, 1))
</f>
        <v/>
      </c>
      <c r="AC230" s="72" t="str">
        <f>IF(Z229=0,"",SUMIFS(data_num!L:L, data_num!D:D, Y229, data_num!K:K, 1)/Z229)
</f>
        <v/>
      </c>
      <c r="AD230" s="73" t="str">
        <f>IF(Z229=0,"",SUMIFS(data_num!L:L, data_num!D:D, Y229, data_num!K:K, 1)/Z229)
</f>
        <v/>
      </c>
      <c r="AE230" s="78"/>
      <c r="AF230" s="71"/>
      <c r="AG230" s="75"/>
      <c r="AH230" s="78"/>
      <c r="AI230" s="71"/>
      <c r="AJ230" s="78"/>
      <c r="AK230" s="78"/>
      <c r="AL230" s="78"/>
      <c r="AM230" s="78"/>
      <c r="AN230" s="78"/>
      <c r="AO230" s="78"/>
      <c r="AP230" s="71"/>
      <c r="AQ230" s="71"/>
      <c r="AR230" s="78"/>
      <c r="AS230" s="71"/>
      <c r="AT230" s="78"/>
      <c r="AU230" s="78"/>
      <c r="AV230" s="78"/>
      <c r="AW230" s="78"/>
      <c r="AX230" s="71"/>
      <c r="AY230" s="71"/>
    </row>
    <row r="231" ht="16.5" customHeight="1">
      <c r="A231" s="71"/>
      <c r="B231" s="78"/>
      <c r="C231" s="78"/>
      <c r="D231" s="78"/>
      <c r="E231" s="78"/>
      <c r="F231" s="78"/>
      <c r="G231" s="78"/>
      <c r="H231" s="78"/>
      <c r="I231" s="71"/>
      <c r="J231" s="78"/>
      <c r="K231" s="78"/>
      <c r="L231" s="78"/>
      <c r="M231" s="78"/>
      <c r="N231" s="78"/>
      <c r="O231" s="78"/>
      <c r="P231" s="78"/>
      <c r="Q231" s="78"/>
      <c r="R231" s="78"/>
      <c r="S231" s="78"/>
      <c r="T231" s="71"/>
      <c r="U231" s="71"/>
      <c r="V231" s="78"/>
      <c r="W231" s="78"/>
      <c r="X231" s="78"/>
      <c r="Y231" s="78"/>
      <c r="Z231" s="73"/>
      <c r="AA231" s="73" t="str">
        <f>IF(Z231=0,"",AVERAGEIFS(data_num!B:B, data_num!D:D, Y231, data_num!K:K, 1))
</f>
        <v/>
      </c>
      <c r="AB231" s="77" t="str">
        <f>IF(Z231=0,"",AVERAGEIFS(data_num!C:C, data_num!D:D, Y231, data_num!K:K, 1))
</f>
        <v/>
      </c>
      <c r="AC231" s="72" t="str">
        <f>IF(Z230=0,"",SUMIFS(data_num!L:L, data_num!D:D, Y230, data_num!K:K, 1)/Z230)
</f>
        <v/>
      </c>
      <c r="AD231" s="73" t="str">
        <f>IF(Z230=0,"",SUMIFS(data_num!L:L, data_num!D:D, Y230, data_num!K:K, 1)/Z230)
</f>
        <v/>
      </c>
      <c r="AE231" s="78"/>
      <c r="AF231" s="71"/>
      <c r="AG231" s="75"/>
      <c r="AH231" s="78"/>
      <c r="AI231" s="71"/>
      <c r="AJ231" s="78"/>
      <c r="AK231" s="78"/>
      <c r="AL231" s="78"/>
      <c r="AM231" s="78"/>
      <c r="AN231" s="78"/>
      <c r="AO231" s="78"/>
      <c r="AP231" s="71"/>
      <c r="AQ231" s="71"/>
      <c r="AR231" s="78"/>
      <c r="AS231" s="71"/>
      <c r="AT231" s="78"/>
      <c r="AU231" s="78"/>
      <c r="AV231" s="78"/>
      <c r="AW231" s="78"/>
      <c r="AX231" s="71"/>
      <c r="AY231" s="71"/>
    </row>
    <row r="232" ht="16.5" customHeight="1">
      <c r="A232" s="71"/>
      <c r="B232" s="78"/>
      <c r="C232" s="78"/>
      <c r="D232" s="78"/>
      <c r="E232" s="78"/>
      <c r="F232" s="78"/>
      <c r="G232" s="78"/>
      <c r="H232" s="78"/>
      <c r="I232" s="71"/>
      <c r="J232" s="78"/>
      <c r="K232" s="78"/>
      <c r="L232" s="78"/>
      <c r="M232" s="78"/>
      <c r="N232" s="78"/>
      <c r="O232" s="78"/>
      <c r="P232" s="78"/>
      <c r="Q232" s="78"/>
      <c r="R232" s="78"/>
      <c r="S232" s="78"/>
      <c r="T232" s="71"/>
      <c r="U232" s="71"/>
      <c r="V232" s="78"/>
      <c r="W232" s="78"/>
      <c r="X232" s="78"/>
      <c r="Y232" s="78"/>
      <c r="Z232" s="73"/>
      <c r="AA232" s="73" t="str">
        <f>IF(Z232=0,"",AVERAGEIFS(data_num!B:B, data_num!D:D, Y232, data_num!K:K, 1))
</f>
        <v/>
      </c>
      <c r="AB232" s="77" t="str">
        <f>IF(Z232=0,"",AVERAGEIFS(data_num!C:C, data_num!D:D, Y232, data_num!K:K, 1))
</f>
        <v/>
      </c>
      <c r="AC232" s="72" t="str">
        <f>IF(Z231=0,"",SUMIFS(data_num!L:L, data_num!D:D, Y231, data_num!K:K, 1)/Z231)
</f>
        <v/>
      </c>
      <c r="AD232" s="73" t="str">
        <f>IF(Z231=0,"",SUMIFS(data_num!L:L, data_num!D:D, Y231, data_num!K:K, 1)/Z231)
</f>
        <v/>
      </c>
      <c r="AE232" s="78"/>
      <c r="AF232" s="71"/>
      <c r="AG232" s="75"/>
      <c r="AH232" s="78"/>
      <c r="AI232" s="71"/>
      <c r="AJ232" s="78"/>
      <c r="AK232" s="78"/>
      <c r="AL232" s="78"/>
      <c r="AM232" s="78"/>
      <c r="AN232" s="78"/>
      <c r="AO232" s="78"/>
      <c r="AP232" s="71"/>
      <c r="AQ232" s="71"/>
      <c r="AR232" s="78"/>
      <c r="AS232" s="71"/>
      <c r="AT232" s="78"/>
      <c r="AU232" s="78"/>
      <c r="AV232" s="78"/>
      <c r="AW232" s="78"/>
      <c r="AX232" s="71"/>
      <c r="AY232" s="71"/>
    </row>
    <row r="233" ht="16.5" customHeight="1">
      <c r="A233" s="71"/>
      <c r="B233" s="78"/>
      <c r="C233" s="78"/>
      <c r="D233" s="78"/>
      <c r="E233" s="78"/>
      <c r="F233" s="78"/>
      <c r="G233" s="78"/>
      <c r="H233" s="78"/>
      <c r="I233" s="71"/>
      <c r="J233" s="78"/>
      <c r="K233" s="78"/>
      <c r="L233" s="78"/>
      <c r="M233" s="78"/>
      <c r="N233" s="78"/>
      <c r="O233" s="78"/>
      <c r="P233" s="78"/>
      <c r="Q233" s="78"/>
      <c r="R233" s="78"/>
      <c r="S233" s="78"/>
      <c r="T233" s="71"/>
      <c r="U233" s="71"/>
      <c r="V233" s="78"/>
      <c r="W233" s="78"/>
      <c r="X233" s="78"/>
      <c r="Y233" s="78"/>
      <c r="Z233" s="73"/>
      <c r="AA233" s="73" t="str">
        <f>IF(Z233=0,"",AVERAGEIFS(data_num!B:B, data_num!D:D, Y233, data_num!K:K, 1))
</f>
        <v/>
      </c>
      <c r="AB233" s="77" t="str">
        <f>IF(Z233=0,"",AVERAGEIFS(data_num!C:C, data_num!D:D, Y233, data_num!K:K, 1))
</f>
        <v/>
      </c>
      <c r="AC233" s="72" t="str">
        <f>IF(Z232=0,"",SUMIFS(data_num!L:L, data_num!D:D, Y232, data_num!K:K, 1)/Z232)
</f>
        <v/>
      </c>
      <c r="AD233" s="73" t="str">
        <f>IF(Z232=0,"",SUMIFS(data_num!L:L, data_num!D:D, Y232, data_num!K:K, 1)/Z232)
</f>
        <v/>
      </c>
      <c r="AE233" s="78"/>
      <c r="AF233" s="71"/>
      <c r="AG233" s="75"/>
      <c r="AH233" s="78"/>
      <c r="AI233" s="71"/>
      <c r="AJ233" s="78"/>
      <c r="AK233" s="78"/>
      <c r="AL233" s="78"/>
      <c r="AM233" s="78"/>
      <c r="AN233" s="78"/>
      <c r="AO233" s="78"/>
      <c r="AP233" s="71"/>
      <c r="AQ233" s="71"/>
      <c r="AR233" s="78"/>
      <c r="AS233" s="71"/>
      <c r="AT233" s="78"/>
      <c r="AU233" s="78"/>
      <c r="AV233" s="78"/>
      <c r="AW233" s="78"/>
      <c r="AX233" s="71"/>
      <c r="AY233" s="71"/>
    </row>
    <row r="234" ht="16.5" customHeight="1">
      <c r="A234" s="71"/>
      <c r="B234" s="78"/>
      <c r="C234" s="78"/>
      <c r="D234" s="78"/>
      <c r="E234" s="78"/>
      <c r="F234" s="78"/>
      <c r="G234" s="78"/>
      <c r="H234" s="78"/>
      <c r="I234" s="71"/>
      <c r="J234" s="78"/>
      <c r="K234" s="78"/>
      <c r="L234" s="78"/>
      <c r="M234" s="78"/>
      <c r="N234" s="78"/>
      <c r="O234" s="78"/>
      <c r="P234" s="78"/>
      <c r="Q234" s="78"/>
      <c r="R234" s="78"/>
      <c r="S234" s="78"/>
      <c r="T234" s="71"/>
      <c r="U234" s="71"/>
      <c r="V234" s="78"/>
      <c r="W234" s="78"/>
      <c r="X234" s="78"/>
      <c r="Y234" s="78"/>
      <c r="Z234" s="73"/>
      <c r="AA234" s="73" t="str">
        <f>IF(Z234=0,"",AVERAGEIFS(data_num!B:B, data_num!D:D, Y234, data_num!K:K, 1))
</f>
        <v/>
      </c>
      <c r="AB234" s="77" t="str">
        <f>IF(Z234=0,"",AVERAGEIFS(data_num!C:C, data_num!D:D, Y234, data_num!K:K, 1))
</f>
        <v/>
      </c>
      <c r="AC234" s="72" t="str">
        <f>IF(Z233=0,"",SUMIFS(data_num!L:L, data_num!D:D, Y233, data_num!K:K, 1)/Z233)
</f>
        <v/>
      </c>
      <c r="AD234" s="73" t="str">
        <f>IF(Z233=0,"",SUMIFS(data_num!L:L, data_num!D:D, Y233, data_num!K:K, 1)/Z233)
</f>
        <v/>
      </c>
      <c r="AE234" s="78"/>
      <c r="AF234" s="71"/>
      <c r="AG234" s="75"/>
      <c r="AH234" s="78"/>
      <c r="AI234" s="71"/>
      <c r="AJ234" s="78"/>
      <c r="AK234" s="78"/>
      <c r="AL234" s="78"/>
      <c r="AM234" s="78"/>
      <c r="AN234" s="78"/>
      <c r="AO234" s="78"/>
      <c r="AP234" s="71"/>
      <c r="AQ234" s="71"/>
      <c r="AR234" s="78"/>
      <c r="AS234" s="71"/>
      <c r="AT234" s="78"/>
      <c r="AU234" s="78"/>
      <c r="AV234" s="78"/>
      <c r="AW234" s="78"/>
      <c r="AX234" s="71"/>
      <c r="AY234" s="71"/>
    </row>
    <row r="235" ht="16.5" customHeight="1">
      <c r="A235" s="71"/>
      <c r="B235" s="78"/>
      <c r="C235" s="78"/>
      <c r="D235" s="78"/>
      <c r="E235" s="78"/>
      <c r="F235" s="78"/>
      <c r="G235" s="78"/>
      <c r="H235" s="78"/>
      <c r="I235" s="71"/>
      <c r="J235" s="78"/>
      <c r="K235" s="78"/>
      <c r="L235" s="78"/>
      <c r="M235" s="78"/>
      <c r="N235" s="78"/>
      <c r="O235" s="78"/>
      <c r="P235" s="78"/>
      <c r="Q235" s="78"/>
      <c r="R235" s="78"/>
      <c r="S235" s="78"/>
      <c r="T235" s="71"/>
      <c r="U235" s="71"/>
      <c r="V235" s="78"/>
      <c r="W235" s="78"/>
      <c r="X235" s="78"/>
      <c r="Y235" s="78"/>
      <c r="Z235" s="73"/>
      <c r="AA235" s="73" t="str">
        <f>IF(Z235=0,"",AVERAGEIFS(data_num!B:B, data_num!D:D, Y235, data_num!K:K, 1))
</f>
        <v/>
      </c>
      <c r="AB235" s="77" t="str">
        <f>IF(Z235=0,"",AVERAGEIFS(data_num!C:C, data_num!D:D, Y235, data_num!K:K, 1))
</f>
        <v/>
      </c>
      <c r="AC235" s="72" t="str">
        <f>IF(Z234=0,"",SUMIFS(data_num!L:L, data_num!D:D, Y234, data_num!K:K, 1)/Z234)
</f>
        <v/>
      </c>
      <c r="AD235" s="73" t="str">
        <f>IF(Z234=0,"",SUMIFS(data_num!L:L, data_num!D:D, Y234, data_num!K:K, 1)/Z234)
</f>
        <v/>
      </c>
      <c r="AE235" s="78"/>
      <c r="AF235" s="71"/>
      <c r="AG235" s="75"/>
      <c r="AH235" s="78"/>
      <c r="AI235" s="71"/>
      <c r="AJ235" s="78"/>
      <c r="AK235" s="78"/>
      <c r="AL235" s="78"/>
      <c r="AM235" s="78"/>
      <c r="AN235" s="78"/>
      <c r="AO235" s="78"/>
      <c r="AP235" s="71"/>
      <c r="AQ235" s="71"/>
      <c r="AR235" s="78"/>
      <c r="AS235" s="71"/>
      <c r="AT235" s="78"/>
      <c r="AU235" s="78"/>
      <c r="AV235" s="78"/>
      <c r="AW235" s="78"/>
      <c r="AX235" s="71"/>
      <c r="AY235" s="71"/>
    </row>
    <row r="236" ht="16.5" customHeight="1">
      <c r="A236" s="71"/>
      <c r="B236" s="78"/>
      <c r="C236" s="78"/>
      <c r="D236" s="78"/>
      <c r="E236" s="78"/>
      <c r="F236" s="78"/>
      <c r="G236" s="78"/>
      <c r="H236" s="78"/>
      <c r="I236" s="71"/>
      <c r="J236" s="78"/>
      <c r="K236" s="78"/>
      <c r="L236" s="78"/>
      <c r="M236" s="78"/>
      <c r="N236" s="78"/>
      <c r="O236" s="78"/>
      <c r="P236" s="78"/>
      <c r="Q236" s="78"/>
      <c r="R236" s="78"/>
      <c r="S236" s="78"/>
      <c r="T236" s="71"/>
      <c r="U236" s="71"/>
      <c r="V236" s="78"/>
      <c r="W236" s="78"/>
      <c r="X236" s="78"/>
      <c r="Y236" s="78"/>
      <c r="Z236" s="73"/>
      <c r="AA236" s="73" t="str">
        <f>IF(Z236=0,"",AVERAGEIFS(data_num!B:B, data_num!D:D, Y236, data_num!K:K, 1))
</f>
        <v/>
      </c>
      <c r="AB236" s="77" t="str">
        <f>IF(Z236=0,"",AVERAGEIFS(data_num!C:C, data_num!D:D, Y236, data_num!K:K, 1))
</f>
        <v/>
      </c>
      <c r="AC236" s="72" t="str">
        <f>IF(Z235=0,"",SUMIFS(data_num!L:L, data_num!D:D, Y235, data_num!K:K, 1)/Z235)
</f>
        <v/>
      </c>
      <c r="AD236" s="73" t="str">
        <f>IF(Z235=0,"",SUMIFS(data_num!L:L, data_num!D:D, Y235, data_num!K:K, 1)/Z235)
</f>
        <v/>
      </c>
      <c r="AE236" s="78"/>
      <c r="AF236" s="71"/>
      <c r="AG236" s="75"/>
      <c r="AH236" s="78"/>
      <c r="AI236" s="71"/>
      <c r="AJ236" s="78"/>
      <c r="AK236" s="78"/>
      <c r="AL236" s="78"/>
      <c r="AM236" s="78"/>
      <c r="AN236" s="78"/>
      <c r="AO236" s="78"/>
      <c r="AP236" s="71"/>
      <c r="AQ236" s="71"/>
      <c r="AR236" s="78"/>
      <c r="AS236" s="71"/>
      <c r="AT236" s="78"/>
      <c r="AU236" s="78"/>
      <c r="AV236" s="78"/>
      <c r="AW236" s="78"/>
      <c r="AX236" s="71"/>
      <c r="AY236" s="71"/>
    </row>
    <row r="237" ht="16.5" customHeight="1">
      <c r="A237" s="71"/>
      <c r="B237" s="78"/>
      <c r="C237" s="78"/>
      <c r="D237" s="78"/>
      <c r="E237" s="78"/>
      <c r="F237" s="78"/>
      <c r="G237" s="78"/>
      <c r="H237" s="78"/>
      <c r="I237" s="71"/>
      <c r="J237" s="78"/>
      <c r="K237" s="78"/>
      <c r="L237" s="78"/>
      <c r="M237" s="78"/>
      <c r="N237" s="78"/>
      <c r="O237" s="78"/>
      <c r="P237" s="78"/>
      <c r="Q237" s="78"/>
      <c r="R237" s="78"/>
      <c r="S237" s="78"/>
      <c r="T237" s="71"/>
      <c r="U237" s="71"/>
      <c r="V237" s="78"/>
      <c r="W237" s="78"/>
      <c r="X237" s="78"/>
      <c r="Y237" s="78"/>
      <c r="Z237" s="73"/>
      <c r="AA237" s="73" t="str">
        <f>IF(Z237=0,"",AVERAGEIFS(data_num!B:B, data_num!D:D, Y237, data_num!K:K, 1))
</f>
        <v/>
      </c>
      <c r="AB237" s="77" t="str">
        <f>IF(Z237=0,"",AVERAGEIFS(data_num!C:C, data_num!D:D, Y237, data_num!K:K, 1))
</f>
        <v/>
      </c>
      <c r="AC237" s="72" t="str">
        <f>IF(Z236=0,"",SUMIFS(data_num!L:L, data_num!D:D, Y236, data_num!K:K, 1)/Z236)
</f>
        <v/>
      </c>
      <c r="AD237" s="73" t="str">
        <f>IF(Z236=0,"",SUMIFS(data_num!L:L, data_num!D:D, Y236, data_num!K:K, 1)/Z236)
</f>
        <v/>
      </c>
      <c r="AE237" s="78"/>
      <c r="AF237" s="71"/>
      <c r="AG237" s="75"/>
      <c r="AH237" s="78"/>
      <c r="AI237" s="71"/>
      <c r="AJ237" s="78"/>
      <c r="AK237" s="78"/>
      <c r="AL237" s="78"/>
      <c r="AM237" s="78"/>
      <c r="AN237" s="78"/>
      <c r="AO237" s="78"/>
      <c r="AP237" s="71"/>
      <c r="AQ237" s="71"/>
      <c r="AR237" s="78"/>
      <c r="AS237" s="71"/>
      <c r="AT237" s="78"/>
      <c r="AU237" s="78"/>
      <c r="AV237" s="78"/>
      <c r="AW237" s="78"/>
      <c r="AX237" s="71"/>
      <c r="AY237" s="71"/>
    </row>
    <row r="238" ht="16.5" customHeight="1">
      <c r="A238" s="71"/>
      <c r="B238" s="78"/>
      <c r="C238" s="78"/>
      <c r="D238" s="78"/>
      <c r="E238" s="78"/>
      <c r="F238" s="78"/>
      <c r="G238" s="78"/>
      <c r="H238" s="78"/>
      <c r="I238" s="71"/>
      <c r="J238" s="78"/>
      <c r="K238" s="78"/>
      <c r="L238" s="78"/>
      <c r="M238" s="78"/>
      <c r="N238" s="78"/>
      <c r="O238" s="78"/>
      <c r="P238" s="78"/>
      <c r="Q238" s="78"/>
      <c r="R238" s="78"/>
      <c r="S238" s="78"/>
      <c r="T238" s="71"/>
      <c r="U238" s="71"/>
      <c r="V238" s="78"/>
      <c r="W238" s="78"/>
      <c r="X238" s="78"/>
      <c r="Y238" s="78"/>
      <c r="Z238" s="73"/>
      <c r="AA238" s="73" t="str">
        <f>IF(Z238=0,"",AVERAGEIFS(data_num!B:B, data_num!D:D, Y238, data_num!K:K, 1))
</f>
        <v/>
      </c>
      <c r="AB238" s="77" t="str">
        <f>IF(Z238=0,"",AVERAGEIFS(data_num!C:C, data_num!D:D, Y238, data_num!K:K, 1))
</f>
        <v/>
      </c>
      <c r="AC238" s="72" t="str">
        <f>IF(Z237=0,"",SUMIFS(data_num!L:L, data_num!D:D, Y237, data_num!K:K, 1)/Z237)
</f>
        <v/>
      </c>
      <c r="AD238" s="73" t="str">
        <f>IF(Z237=0,"",SUMIFS(data_num!L:L, data_num!D:D, Y237, data_num!K:K, 1)/Z237)
</f>
        <v/>
      </c>
      <c r="AE238" s="78"/>
      <c r="AF238" s="71"/>
      <c r="AG238" s="75"/>
      <c r="AH238" s="78"/>
      <c r="AI238" s="71"/>
      <c r="AJ238" s="78"/>
      <c r="AK238" s="78"/>
      <c r="AL238" s="78"/>
      <c r="AM238" s="78"/>
      <c r="AN238" s="78"/>
      <c r="AO238" s="78"/>
      <c r="AP238" s="71"/>
      <c r="AQ238" s="71"/>
      <c r="AR238" s="78"/>
      <c r="AS238" s="71"/>
      <c r="AT238" s="78"/>
      <c r="AU238" s="78"/>
      <c r="AV238" s="78"/>
      <c r="AW238" s="78"/>
      <c r="AX238" s="71"/>
      <c r="AY238" s="71"/>
    </row>
    <row r="239" ht="16.5" customHeight="1">
      <c r="A239" s="71"/>
      <c r="B239" s="78"/>
      <c r="C239" s="78"/>
      <c r="D239" s="78"/>
      <c r="E239" s="78"/>
      <c r="F239" s="78"/>
      <c r="G239" s="78"/>
      <c r="H239" s="78"/>
      <c r="I239" s="71"/>
      <c r="J239" s="78"/>
      <c r="K239" s="78"/>
      <c r="L239" s="78"/>
      <c r="M239" s="78"/>
      <c r="N239" s="78"/>
      <c r="O239" s="78"/>
      <c r="P239" s="78"/>
      <c r="Q239" s="78"/>
      <c r="R239" s="78"/>
      <c r="S239" s="78"/>
      <c r="T239" s="71"/>
      <c r="U239" s="71"/>
      <c r="V239" s="78"/>
      <c r="W239" s="78"/>
      <c r="X239" s="78"/>
      <c r="Y239" s="78"/>
      <c r="Z239" s="73"/>
      <c r="AA239" s="73" t="str">
        <f>IF(Z239=0,"",AVERAGEIFS(data_num!B:B, data_num!D:D, Y239, data_num!K:K, 1))
</f>
        <v/>
      </c>
      <c r="AB239" s="77" t="str">
        <f>IF(Z239=0,"",AVERAGEIFS(data_num!C:C, data_num!D:D, Y239, data_num!K:K, 1))
</f>
        <v/>
      </c>
      <c r="AC239" s="72" t="str">
        <f>IF(Z238=0,"",SUMIFS(data_num!L:L, data_num!D:D, Y238, data_num!K:K, 1)/Z238)
</f>
        <v/>
      </c>
      <c r="AD239" s="73" t="str">
        <f>IF(Z238=0,"",SUMIFS(data_num!L:L, data_num!D:D, Y238, data_num!K:K, 1)/Z238)
</f>
        <v/>
      </c>
      <c r="AE239" s="78"/>
      <c r="AF239" s="71"/>
      <c r="AG239" s="75"/>
      <c r="AH239" s="78"/>
      <c r="AI239" s="71"/>
      <c r="AJ239" s="78"/>
      <c r="AK239" s="78"/>
      <c r="AL239" s="78"/>
      <c r="AM239" s="78"/>
      <c r="AN239" s="78"/>
      <c r="AO239" s="78"/>
      <c r="AP239" s="71"/>
      <c r="AQ239" s="71"/>
      <c r="AR239" s="78"/>
      <c r="AS239" s="71"/>
      <c r="AT239" s="78"/>
      <c r="AU239" s="78"/>
      <c r="AV239" s="78"/>
      <c r="AW239" s="78"/>
      <c r="AX239" s="71"/>
      <c r="AY239" s="71"/>
    </row>
    <row r="240" ht="16.5" customHeight="1">
      <c r="A240" s="71"/>
      <c r="B240" s="78"/>
      <c r="C240" s="78"/>
      <c r="D240" s="78"/>
      <c r="E240" s="78"/>
      <c r="F240" s="78"/>
      <c r="G240" s="78"/>
      <c r="H240" s="78"/>
      <c r="I240" s="71"/>
      <c r="J240" s="78"/>
      <c r="K240" s="78"/>
      <c r="L240" s="78"/>
      <c r="M240" s="78"/>
      <c r="N240" s="78"/>
      <c r="O240" s="78"/>
      <c r="P240" s="78"/>
      <c r="Q240" s="78"/>
      <c r="R240" s="78"/>
      <c r="S240" s="78"/>
      <c r="T240" s="71"/>
      <c r="U240" s="71"/>
      <c r="V240" s="78"/>
      <c r="W240" s="78"/>
      <c r="X240" s="78"/>
      <c r="Y240" s="78"/>
      <c r="Z240" s="73"/>
      <c r="AA240" s="73" t="str">
        <f>IF(Z240=0,"",AVERAGEIFS(data_num!B:B, data_num!D:D, Y240, data_num!K:K, 1))
</f>
        <v/>
      </c>
      <c r="AB240" s="77" t="str">
        <f>IF(Z240=0,"",AVERAGEIFS(data_num!C:C, data_num!D:D, Y240, data_num!K:K, 1))
</f>
        <v/>
      </c>
      <c r="AC240" s="72" t="str">
        <f>IF(Z239=0,"",SUMIFS(data_num!L:L, data_num!D:D, Y239, data_num!K:K, 1)/Z239)
</f>
        <v/>
      </c>
      <c r="AD240" s="73" t="str">
        <f>IF(Z239=0,"",SUMIFS(data_num!L:L, data_num!D:D, Y239, data_num!K:K, 1)/Z239)
</f>
        <v/>
      </c>
      <c r="AE240" s="78"/>
      <c r="AF240" s="71"/>
      <c r="AG240" s="75"/>
      <c r="AH240" s="78"/>
      <c r="AI240" s="71"/>
      <c r="AJ240" s="78"/>
      <c r="AK240" s="78"/>
      <c r="AL240" s="78"/>
      <c r="AM240" s="78"/>
      <c r="AN240" s="78"/>
      <c r="AO240" s="78"/>
      <c r="AP240" s="71"/>
      <c r="AQ240" s="71"/>
      <c r="AR240" s="78"/>
      <c r="AS240" s="71"/>
      <c r="AT240" s="78"/>
      <c r="AU240" s="78"/>
      <c r="AV240" s="78"/>
      <c r="AW240" s="78"/>
      <c r="AX240" s="71"/>
      <c r="AY240" s="71"/>
    </row>
    <row r="241" ht="16.5" customHeight="1">
      <c r="A241" s="71"/>
      <c r="B241" s="78"/>
      <c r="C241" s="78"/>
      <c r="D241" s="78"/>
      <c r="E241" s="78"/>
      <c r="F241" s="78"/>
      <c r="G241" s="78"/>
      <c r="H241" s="78"/>
      <c r="I241" s="71"/>
      <c r="J241" s="78"/>
      <c r="K241" s="78"/>
      <c r="L241" s="78"/>
      <c r="M241" s="78"/>
      <c r="N241" s="78"/>
      <c r="O241" s="78"/>
      <c r="P241" s="78"/>
      <c r="Q241" s="78"/>
      <c r="R241" s="78"/>
      <c r="S241" s="78"/>
      <c r="T241" s="71"/>
      <c r="U241" s="71"/>
      <c r="V241" s="78"/>
      <c r="W241" s="78"/>
      <c r="X241" s="78"/>
      <c r="Y241" s="78"/>
      <c r="Z241" s="73"/>
      <c r="AA241" s="73" t="str">
        <f>IF(Z241=0,"",AVERAGEIFS(data_num!B:B, data_num!D:D, Y241, data_num!K:K, 1))
</f>
        <v/>
      </c>
      <c r="AB241" s="77" t="str">
        <f>IF(Z241=0,"",AVERAGEIFS(data_num!C:C, data_num!D:D, Y241, data_num!K:K, 1))
</f>
        <v/>
      </c>
      <c r="AC241" s="72" t="str">
        <f>IF(Z240=0,"",SUMIFS(data_num!L:L, data_num!D:D, Y240, data_num!K:K, 1)/Z240)
</f>
        <v/>
      </c>
      <c r="AD241" s="73" t="str">
        <f>IF(Z240=0,"",SUMIFS(data_num!L:L, data_num!D:D, Y240, data_num!K:K, 1)/Z240)
</f>
        <v/>
      </c>
      <c r="AE241" s="78"/>
      <c r="AF241" s="71"/>
      <c r="AG241" s="75"/>
      <c r="AH241" s="78"/>
      <c r="AI241" s="71"/>
      <c r="AJ241" s="78"/>
      <c r="AK241" s="78"/>
      <c r="AL241" s="78"/>
      <c r="AM241" s="78"/>
      <c r="AN241" s="78"/>
      <c r="AO241" s="78"/>
      <c r="AP241" s="71"/>
      <c r="AQ241" s="71"/>
      <c r="AR241" s="78"/>
      <c r="AS241" s="71"/>
      <c r="AT241" s="78"/>
      <c r="AU241" s="78"/>
      <c r="AV241" s="78"/>
      <c r="AW241" s="78"/>
      <c r="AX241" s="71"/>
      <c r="AY241" s="71"/>
    </row>
    <row r="242" ht="16.5" customHeight="1">
      <c r="A242" s="71"/>
      <c r="B242" s="78"/>
      <c r="C242" s="78"/>
      <c r="D242" s="78"/>
      <c r="E242" s="78"/>
      <c r="F242" s="78"/>
      <c r="G242" s="78"/>
      <c r="H242" s="78"/>
      <c r="I242" s="71"/>
      <c r="J242" s="78"/>
      <c r="K242" s="78"/>
      <c r="L242" s="78"/>
      <c r="M242" s="78"/>
      <c r="N242" s="78"/>
      <c r="O242" s="78"/>
      <c r="P242" s="78"/>
      <c r="Q242" s="78"/>
      <c r="R242" s="78"/>
      <c r="S242" s="78"/>
      <c r="T242" s="71"/>
      <c r="U242" s="71"/>
      <c r="V242" s="78"/>
      <c r="W242" s="78"/>
      <c r="X242" s="78"/>
      <c r="Y242" s="78"/>
      <c r="Z242" s="73"/>
      <c r="AA242" s="73" t="str">
        <f>IF(Z242=0,"",AVERAGEIFS(data_num!B:B, data_num!D:D, Y242, data_num!K:K, 1))
</f>
        <v/>
      </c>
      <c r="AB242" s="77" t="str">
        <f>IF(Z242=0,"",AVERAGEIFS(data_num!C:C, data_num!D:D, Y242, data_num!K:K, 1))
</f>
        <v/>
      </c>
      <c r="AC242" s="72" t="str">
        <f>IF(Z241=0,"",SUMIFS(data_num!L:L, data_num!D:D, Y241, data_num!K:K, 1)/Z241)
</f>
        <v/>
      </c>
      <c r="AD242" s="73" t="str">
        <f>IF(Z241=0,"",SUMIFS(data_num!L:L, data_num!D:D, Y241, data_num!K:K, 1)/Z241)
</f>
        <v/>
      </c>
      <c r="AE242" s="78"/>
      <c r="AF242" s="71"/>
      <c r="AG242" s="75"/>
      <c r="AH242" s="78"/>
      <c r="AI242" s="71"/>
      <c r="AJ242" s="78"/>
      <c r="AK242" s="78"/>
      <c r="AL242" s="78"/>
      <c r="AM242" s="78"/>
      <c r="AN242" s="78"/>
      <c r="AO242" s="78"/>
      <c r="AP242" s="71"/>
      <c r="AQ242" s="71"/>
      <c r="AR242" s="78"/>
      <c r="AS242" s="71"/>
      <c r="AT242" s="78"/>
      <c r="AU242" s="78"/>
      <c r="AV242" s="78"/>
      <c r="AW242" s="78"/>
      <c r="AX242" s="71"/>
      <c r="AY242" s="71"/>
    </row>
    <row r="243" ht="16.5" customHeight="1">
      <c r="A243" s="71"/>
      <c r="B243" s="78"/>
      <c r="C243" s="78"/>
      <c r="D243" s="78"/>
      <c r="E243" s="78"/>
      <c r="F243" s="78"/>
      <c r="G243" s="78"/>
      <c r="H243" s="78"/>
      <c r="I243" s="71"/>
      <c r="J243" s="78"/>
      <c r="K243" s="78"/>
      <c r="L243" s="78"/>
      <c r="M243" s="78"/>
      <c r="N243" s="78"/>
      <c r="O243" s="78"/>
      <c r="P243" s="78"/>
      <c r="Q243" s="78"/>
      <c r="R243" s="78"/>
      <c r="S243" s="78"/>
      <c r="T243" s="71"/>
      <c r="U243" s="71"/>
      <c r="V243" s="78"/>
      <c r="W243" s="78"/>
      <c r="X243" s="78"/>
      <c r="Y243" s="78"/>
      <c r="Z243" s="73"/>
      <c r="AA243" s="73" t="str">
        <f>IF(Z243=0,"",AVERAGEIFS(data_num!B:B, data_num!D:D, Y243, data_num!K:K, 1))
</f>
        <v/>
      </c>
      <c r="AB243" s="77" t="str">
        <f>IF(Z243=0,"",AVERAGEIFS(data_num!C:C, data_num!D:D, Y243, data_num!K:K, 1))
</f>
        <v/>
      </c>
      <c r="AC243" s="72" t="str">
        <f>IF(Z242=0,"",SUMIFS(data_num!L:L, data_num!D:D, Y242, data_num!K:K, 1)/Z242)
</f>
        <v/>
      </c>
      <c r="AD243" s="73" t="str">
        <f>IF(Z242=0,"",SUMIFS(data_num!L:L, data_num!D:D, Y242, data_num!K:K, 1)/Z242)
</f>
        <v/>
      </c>
      <c r="AE243" s="78"/>
      <c r="AF243" s="71"/>
      <c r="AG243" s="75"/>
      <c r="AH243" s="78"/>
      <c r="AI243" s="71"/>
      <c r="AJ243" s="78"/>
      <c r="AK243" s="78"/>
      <c r="AL243" s="78"/>
      <c r="AM243" s="78"/>
      <c r="AN243" s="78"/>
      <c r="AO243" s="78"/>
      <c r="AP243" s="71"/>
      <c r="AQ243" s="71"/>
      <c r="AR243" s="78"/>
      <c r="AS243" s="71"/>
      <c r="AT243" s="78"/>
      <c r="AU243" s="78"/>
      <c r="AV243" s="78"/>
      <c r="AW243" s="78"/>
      <c r="AX243" s="71"/>
      <c r="AY243" s="71"/>
    </row>
    <row r="244" ht="16.5" customHeight="1">
      <c r="A244" s="71"/>
      <c r="B244" s="78"/>
      <c r="C244" s="78"/>
      <c r="D244" s="78"/>
      <c r="E244" s="78"/>
      <c r="F244" s="78"/>
      <c r="G244" s="78"/>
      <c r="H244" s="78"/>
      <c r="I244" s="71"/>
      <c r="J244" s="78"/>
      <c r="K244" s="78"/>
      <c r="L244" s="78"/>
      <c r="M244" s="78"/>
      <c r="N244" s="78"/>
      <c r="O244" s="78"/>
      <c r="P244" s="78"/>
      <c r="Q244" s="78"/>
      <c r="R244" s="78"/>
      <c r="S244" s="78"/>
      <c r="T244" s="71"/>
      <c r="U244" s="71"/>
      <c r="V244" s="78"/>
      <c r="W244" s="78"/>
      <c r="X244" s="78"/>
      <c r="Y244" s="78"/>
      <c r="Z244" s="73"/>
      <c r="AA244" s="73" t="str">
        <f>IF(Z244=0,"",AVERAGEIFS(data_num!B:B, data_num!D:D, Y244, data_num!K:K, 1))
</f>
        <v/>
      </c>
      <c r="AB244" s="77" t="str">
        <f>IF(Z244=0,"",AVERAGEIFS(data_num!C:C, data_num!D:D, Y244, data_num!K:K, 1))
</f>
        <v/>
      </c>
      <c r="AC244" s="72" t="str">
        <f>IF(Z243=0,"",SUMIFS(data_num!L:L, data_num!D:D, Y243, data_num!K:K, 1)/Z243)
</f>
        <v/>
      </c>
      <c r="AD244" s="73" t="str">
        <f>IF(Z243=0,"",SUMIFS(data_num!L:L, data_num!D:D, Y243, data_num!K:K, 1)/Z243)
</f>
        <v/>
      </c>
      <c r="AE244" s="78"/>
      <c r="AF244" s="71"/>
      <c r="AG244" s="75"/>
      <c r="AH244" s="78"/>
      <c r="AI244" s="71"/>
      <c r="AJ244" s="78"/>
      <c r="AK244" s="78"/>
      <c r="AL244" s="78"/>
      <c r="AM244" s="78"/>
      <c r="AN244" s="78"/>
      <c r="AO244" s="78"/>
      <c r="AP244" s="71"/>
      <c r="AQ244" s="71"/>
      <c r="AR244" s="78"/>
      <c r="AS244" s="71"/>
      <c r="AT244" s="78"/>
      <c r="AU244" s="78"/>
      <c r="AV244" s="78"/>
      <c r="AW244" s="78"/>
      <c r="AX244" s="71"/>
      <c r="AY244" s="71"/>
    </row>
    <row r="245" ht="16.5" customHeight="1">
      <c r="A245" s="71"/>
      <c r="B245" s="78"/>
      <c r="C245" s="78"/>
      <c r="D245" s="78"/>
      <c r="E245" s="78"/>
      <c r="F245" s="78"/>
      <c r="G245" s="78"/>
      <c r="H245" s="78"/>
      <c r="I245" s="71"/>
      <c r="J245" s="78"/>
      <c r="K245" s="78"/>
      <c r="L245" s="78"/>
      <c r="M245" s="78"/>
      <c r="N245" s="78"/>
      <c r="O245" s="78"/>
      <c r="P245" s="78"/>
      <c r="Q245" s="78"/>
      <c r="R245" s="78"/>
      <c r="S245" s="78"/>
      <c r="T245" s="71"/>
      <c r="U245" s="71"/>
      <c r="V245" s="78"/>
      <c r="W245" s="78"/>
      <c r="X245" s="78"/>
      <c r="Y245" s="78"/>
      <c r="Z245" s="73"/>
      <c r="AA245" s="73" t="str">
        <f>IF(Z245=0,"",AVERAGEIFS(data_num!B:B, data_num!D:D, Y245, data_num!K:K, 1))
</f>
        <v/>
      </c>
      <c r="AB245" s="77" t="str">
        <f>IF(Z245=0,"",AVERAGEIFS(data_num!C:C, data_num!D:D, Y245, data_num!K:K, 1))
</f>
        <v/>
      </c>
      <c r="AC245" s="72" t="str">
        <f>IF(Z244=0,"",SUMIFS(data_num!L:L, data_num!D:D, Y244, data_num!K:K, 1)/Z244)
</f>
        <v/>
      </c>
      <c r="AD245" s="73" t="str">
        <f>IF(Z244=0,"",SUMIFS(data_num!L:L, data_num!D:D, Y244, data_num!K:K, 1)/Z244)
</f>
        <v/>
      </c>
      <c r="AE245" s="78"/>
      <c r="AF245" s="71"/>
      <c r="AG245" s="75"/>
      <c r="AH245" s="78"/>
      <c r="AI245" s="71"/>
      <c r="AJ245" s="78"/>
      <c r="AK245" s="78"/>
      <c r="AL245" s="78"/>
      <c r="AM245" s="78"/>
      <c r="AN245" s="78"/>
      <c r="AO245" s="78"/>
      <c r="AP245" s="71"/>
      <c r="AQ245" s="71"/>
      <c r="AR245" s="78"/>
      <c r="AS245" s="71"/>
      <c r="AT245" s="78"/>
      <c r="AU245" s="78"/>
      <c r="AV245" s="78"/>
      <c r="AW245" s="78"/>
      <c r="AX245" s="71"/>
      <c r="AY245" s="71"/>
    </row>
    <row r="246" ht="16.5" customHeight="1">
      <c r="A246" s="71"/>
      <c r="B246" s="78"/>
      <c r="C246" s="78"/>
      <c r="D246" s="78"/>
      <c r="E246" s="78"/>
      <c r="F246" s="78"/>
      <c r="G246" s="78"/>
      <c r="H246" s="78"/>
      <c r="I246" s="71"/>
      <c r="J246" s="78"/>
      <c r="K246" s="78"/>
      <c r="L246" s="78"/>
      <c r="M246" s="78"/>
      <c r="N246" s="78"/>
      <c r="O246" s="78"/>
      <c r="P246" s="78"/>
      <c r="Q246" s="78"/>
      <c r="R246" s="78"/>
      <c r="S246" s="78"/>
      <c r="T246" s="71"/>
      <c r="U246" s="71"/>
      <c r="V246" s="78"/>
      <c r="W246" s="78"/>
      <c r="X246" s="78"/>
      <c r="Y246" s="78"/>
      <c r="Z246" s="73"/>
      <c r="AA246" s="73" t="str">
        <f>IF(Z246=0,"",AVERAGEIFS(data_num!B:B, data_num!D:D, Y246, data_num!K:K, 1))
</f>
        <v/>
      </c>
      <c r="AB246" s="77" t="str">
        <f>IF(Z246=0,"",AVERAGEIFS(data_num!C:C, data_num!D:D, Y246, data_num!K:K, 1))
</f>
        <v/>
      </c>
      <c r="AC246" s="72" t="str">
        <f>IF(Z245=0,"",SUMIFS(data_num!L:L, data_num!D:D, Y245, data_num!K:K, 1)/Z245)
</f>
        <v/>
      </c>
      <c r="AD246" s="73" t="str">
        <f>IF(Z245=0,"",SUMIFS(data_num!L:L, data_num!D:D, Y245, data_num!K:K, 1)/Z245)
</f>
        <v/>
      </c>
      <c r="AE246" s="78"/>
      <c r="AF246" s="71"/>
      <c r="AG246" s="75"/>
      <c r="AH246" s="78"/>
      <c r="AI246" s="71"/>
      <c r="AJ246" s="78"/>
      <c r="AK246" s="78"/>
      <c r="AL246" s="78"/>
      <c r="AM246" s="78"/>
      <c r="AN246" s="78"/>
      <c r="AO246" s="78"/>
      <c r="AP246" s="71"/>
      <c r="AQ246" s="71"/>
      <c r="AR246" s="78"/>
      <c r="AS246" s="71"/>
      <c r="AT246" s="78"/>
      <c r="AU246" s="78"/>
      <c r="AV246" s="78"/>
      <c r="AW246" s="78"/>
      <c r="AX246" s="71"/>
      <c r="AY246" s="71"/>
    </row>
    <row r="247" ht="16.5" customHeight="1">
      <c r="A247" s="71"/>
      <c r="B247" s="78"/>
      <c r="C247" s="78"/>
      <c r="D247" s="78"/>
      <c r="E247" s="78"/>
      <c r="F247" s="78"/>
      <c r="G247" s="78"/>
      <c r="H247" s="78"/>
      <c r="I247" s="71"/>
      <c r="J247" s="78"/>
      <c r="K247" s="78"/>
      <c r="L247" s="78"/>
      <c r="M247" s="78"/>
      <c r="N247" s="78"/>
      <c r="O247" s="78"/>
      <c r="P247" s="78"/>
      <c r="Q247" s="78"/>
      <c r="R247" s="78"/>
      <c r="S247" s="78"/>
      <c r="T247" s="71"/>
      <c r="U247" s="71"/>
      <c r="V247" s="78"/>
      <c r="W247" s="78"/>
      <c r="X247" s="78"/>
      <c r="Y247" s="78"/>
      <c r="Z247" s="73"/>
      <c r="AA247" s="73" t="str">
        <f>IF(Z247=0,"",AVERAGEIFS(data_num!B:B, data_num!D:D, Y247, data_num!K:K, 1))
</f>
        <v/>
      </c>
      <c r="AB247" s="77" t="str">
        <f>IF(Z247=0,"",AVERAGEIFS(data_num!C:C, data_num!D:D, Y247, data_num!K:K, 1))
</f>
        <v/>
      </c>
      <c r="AC247" s="72" t="str">
        <f>IF(Z246=0,"",SUMIFS(data_num!L:L, data_num!D:D, Y246, data_num!K:K, 1)/Z246)
</f>
        <v/>
      </c>
      <c r="AD247" s="73" t="str">
        <f>IF(Z246=0,"",SUMIFS(data_num!L:L, data_num!D:D, Y246, data_num!K:K, 1)/Z246)
</f>
        <v/>
      </c>
      <c r="AE247" s="78"/>
      <c r="AF247" s="71"/>
      <c r="AG247" s="75"/>
      <c r="AH247" s="78"/>
      <c r="AI247" s="71"/>
      <c r="AJ247" s="78"/>
      <c r="AK247" s="78"/>
      <c r="AL247" s="78"/>
      <c r="AM247" s="78"/>
      <c r="AN247" s="78"/>
      <c r="AO247" s="78"/>
      <c r="AP247" s="71"/>
      <c r="AQ247" s="71"/>
      <c r="AR247" s="78"/>
      <c r="AS247" s="71"/>
      <c r="AT247" s="78"/>
      <c r="AU247" s="78"/>
      <c r="AV247" s="78"/>
      <c r="AW247" s="78"/>
      <c r="AX247" s="71"/>
      <c r="AY247" s="71"/>
    </row>
    <row r="248" ht="16.5" customHeight="1">
      <c r="A248" s="71"/>
      <c r="B248" s="78"/>
      <c r="C248" s="78"/>
      <c r="D248" s="78"/>
      <c r="E248" s="78"/>
      <c r="F248" s="78"/>
      <c r="G248" s="78"/>
      <c r="H248" s="78"/>
      <c r="I248" s="71"/>
      <c r="J248" s="78"/>
      <c r="K248" s="78"/>
      <c r="L248" s="78"/>
      <c r="M248" s="78"/>
      <c r="N248" s="78"/>
      <c r="O248" s="78"/>
      <c r="P248" s="78"/>
      <c r="Q248" s="78"/>
      <c r="R248" s="78"/>
      <c r="S248" s="78"/>
      <c r="T248" s="71"/>
      <c r="U248" s="71"/>
      <c r="V248" s="78"/>
      <c r="W248" s="78"/>
      <c r="X248" s="78"/>
      <c r="Y248" s="78"/>
      <c r="Z248" s="73"/>
      <c r="AA248" s="73" t="str">
        <f>IF(Z248=0,"",AVERAGEIFS(data_num!B:B, data_num!D:D, Y248, data_num!K:K, 1))
</f>
        <v/>
      </c>
      <c r="AB248" s="77" t="str">
        <f>IF(Z248=0,"",AVERAGEIFS(data_num!C:C, data_num!D:D, Y248, data_num!K:K, 1))
</f>
        <v/>
      </c>
      <c r="AC248" s="72" t="str">
        <f>IF(Z247=0,"",SUMIFS(data_num!L:L, data_num!D:D, Y247, data_num!K:K, 1)/Z247)
</f>
        <v/>
      </c>
      <c r="AD248" s="73" t="str">
        <f>IF(Z247=0,"",SUMIFS(data_num!L:L, data_num!D:D, Y247, data_num!K:K, 1)/Z247)
</f>
        <v/>
      </c>
      <c r="AE248" s="78"/>
      <c r="AF248" s="71"/>
      <c r="AG248" s="75"/>
      <c r="AH248" s="78"/>
      <c r="AI248" s="71"/>
      <c r="AJ248" s="78"/>
      <c r="AK248" s="78"/>
      <c r="AL248" s="78"/>
      <c r="AM248" s="78"/>
      <c r="AN248" s="78"/>
      <c r="AO248" s="78"/>
      <c r="AP248" s="71"/>
      <c r="AQ248" s="71"/>
      <c r="AR248" s="78"/>
      <c r="AS248" s="71"/>
      <c r="AT248" s="78"/>
      <c r="AU248" s="78"/>
      <c r="AV248" s="78"/>
      <c r="AW248" s="78"/>
      <c r="AX248" s="71"/>
      <c r="AY248" s="71"/>
    </row>
    <row r="249" ht="16.5" customHeight="1">
      <c r="A249" s="71"/>
      <c r="B249" s="78"/>
      <c r="C249" s="78"/>
      <c r="D249" s="78"/>
      <c r="E249" s="78"/>
      <c r="F249" s="78"/>
      <c r="G249" s="78"/>
      <c r="H249" s="78"/>
      <c r="I249" s="71"/>
      <c r="J249" s="78"/>
      <c r="K249" s="78"/>
      <c r="L249" s="78"/>
      <c r="M249" s="78"/>
      <c r="N249" s="78"/>
      <c r="O249" s="78"/>
      <c r="P249" s="78"/>
      <c r="Q249" s="78"/>
      <c r="R249" s="78"/>
      <c r="S249" s="78"/>
      <c r="T249" s="71"/>
      <c r="U249" s="71"/>
      <c r="V249" s="78"/>
      <c r="W249" s="78"/>
      <c r="X249" s="78"/>
      <c r="Y249" s="78"/>
      <c r="Z249" s="73"/>
      <c r="AA249" s="73" t="str">
        <f>IF(Z249=0,"",AVERAGEIFS(data_num!B:B, data_num!D:D, Y249, data_num!K:K, 1))
</f>
        <v/>
      </c>
      <c r="AB249" s="77" t="str">
        <f>IF(Z249=0,"",AVERAGEIFS(data_num!C:C, data_num!D:D, Y249, data_num!K:K, 1))
</f>
        <v/>
      </c>
      <c r="AC249" s="72" t="str">
        <f>IF(Z248=0,"",SUMIFS(data_num!L:L, data_num!D:D, Y248, data_num!K:K, 1)/Z248)
</f>
        <v/>
      </c>
      <c r="AD249" s="73" t="str">
        <f>IF(Z248=0,"",SUMIFS(data_num!L:L, data_num!D:D, Y248, data_num!K:K, 1)/Z248)
</f>
        <v/>
      </c>
      <c r="AE249" s="78"/>
      <c r="AF249" s="71"/>
      <c r="AG249" s="75"/>
      <c r="AH249" s="78"/>
      <c r="AI249" s="71"/>
      <c r="AJ249" s="78"/>
      <c r="AK249" s="78"/>
      <c r="AL249" s="78"/>
      <c r="AM249" s="78"/>
      <c r="AN249" s="78"/>
      <c r="AO249" s="78"/>
      <c r="AP249" s="71"/>
      <c r="AQ249" s="71"/>
      <c r="AR249" s="78"/>
      <c r="AS249" s="71"/>
      <c r="AT249" s="78"/>
      <c r="AU249" s="78"/>
      <c r="AV249" s="78"/>
      <c r="AW249" s="78"/>
      <c r="AX249" s="71"/>
      <c r="AY249" s="71"/>
    </row>
    <row r="250" ht="16.5" customHeight="1">
      <c r="A250" s="71"/>
      <c r="B250" s="78"/>
      <c r="C250" s="78"/>
      <c r="D250" s="78"/>
      <c r="E250" s="78"/>
      <c r="F250" s="78"/>
      <c r="G250" s="78"/>
      <c r="H250" s="78"/>
      <c r="I250" s="71"/>
      <c r="J250" s="78"/>
      <c r="K250" s="78"/>
      <c r="L250" s="78"/>
      <c r="M250" s="78"/>
      <c r="N250" s="78"/>
      <c r="O250" s="78"/>
      <c r="P250" s="78"/>
      <c r="Q250" s="78"/>
      <c r="R250" s="78"/>
      <c r="S250" s="78"/>
      <c r="T250" s="71"/>
      <c r="U250" s="71"/>
      <c r="V250" s="78"/>
      <c r="W250" s="78"/>
      <c r="X250" s="78"/>
      <c r="Y250" s="78"/>
      <c r="Z250" s="73"/>
      <c r="AA250" s="73" t="str">
        <f>IF(Z250=0,"",AVERAGEIFS(data_num!B:B, data_num!D:D, Y250, data_num!K:K, 1))
</f>
        <v/>
      </c>
      <c r="AB250" s="77" t="str">
        <f>IF(Z250=0,"",AVERAGEIFS(data_num!C:C, data_num!D:D, Y250, data_num!K:K, 1))
</f>
        <v/>
      </c>
      <c r="AC250" s="72" t="str">
        <f>IF(Z249=0,"",SUMIFS(data_num!L:L, data_num!D:D, Y249, data_num!K:K, 1)/Z249)
</f>
        <v/>
      </c>
      <c r="AD250" s="73" t="str">
        <f>IF(Z249=0,"",SUMIFS(data_num!L:L, data_num!D:D, Y249, data_num!K:K, 1)/Z249)
</f>
        <v/>
      </c>
      <c r="AE250" s="78"/>
      <c r="AF250" s="71"/>
      <c r="AG250" s="75"/>
      <c r="AH250" s="78"/>
      <c r="AI250" s="71"/>
      <c r="AJ250" s="78"/>
      <c r="AK250" s="78"/>
      <c r="AL250" s="78"/>
      <c r="AM250" s="78"/>
      <c r="AN250" s="78"/>
      <c r="AO250" s="78"/>
      <c r="AP250" s="71"/>
      <c r="AQ250" s="71"/>
      <c r="AR250" s="78"/>
      <c r="AS250" s="71"/>
      <c r="AT250" s="78"/>
      <c r="AU250" s="78"/>
      <c r="AV250" s="78"/>
      <c r="AW250" s="78"/>
      <c r="AX250" s="71"/>
      <c r="AY250" s="71"/>
    </row>
    <row r="251" ht="16.5" customHeight="1">
      <c r="A251" s="71"/>
      <c r="B251" s="78"/>
      <c r="C251" s="78"/>
      <c r="D251" s="78"/>
      <c r="E251" s="78"/>
      <c r="F251" s="78"/>
      <c r="G251" s="78"/>
      <c r="H251" s="78"/>
      <c r="I251" s="71"/>
      <c r="J251" s="78"/>
      <c r="K251" s="78"/>
      <c r="L251" s="78"/>
      <c r="M251" s="78"/>
      <c r="N251" s="78"/>
      <c r="O251" s="78"/>
      <c r="P251" s="78"/>
      <c r="Q251" s="78"/>
      <c r="R251" s="78"/>
      <c r="S251" s="78"/>
      <c r="T251" s="71"/>
      <c r="U251" s="71"/>
      <c r="V251" s="78"/>
      <c r="W251" s="78"/>
      <c r="X251" s="78"/>
      <c r="Y251" s="78"/>
      <c r="Z251" s="73"/>
      <c r="AA251" s="73" t="str">
        <f>IF(Z251=0,"",AVERAGEIFS(data_num!B:B, data_num!D:D, Y251, data_num!K:K, 1))
</f>
        <v/>
      </c>
      <c r="AB251" s="77" t="str">
        <f>IF(Z251=0,"",AVERAGEIFS(data_num!C:C, data_num!D:D, Y251, data_num!K:K, 1))
</f>
        <v/>
      </c>
      <c r="AC251" s="72" t="str">
        <f>IF(Z250=0,"",SUMIFS(data_num!L:L, data_num!D:D, Y250, data_num!K:K, 1)/Z250)
</f>
        <v/>
      </c>
      <c r="AD251" s="73" t="str">
        <f>IF(Z250=0,"",SUMIFS(data_num!L:L, data_num!D:D, Y250, data_num!K:K, 1)/Z250)
</f>
        <v/>
      </c>
      <c r="AE251" s="78"/>
      <c r="AF251" s="71"/>
      <c r="AG251" s="75"/>
      <c r="AH251" s="78"/>
      <c r="AI251" s="71"/>
      <c r="AJ251" s="78"/>
      <c r="AK251" s="78"/>
      <c r="AL251" s="78"/>
      <c r="AM251" s="78"/>
      <c r="AN251" s="78"/>
      <c r="AO251" s="78"/>
      <c r="AP251" s="71"/>
      <c r="AQ251" s="71"/>
      <c r="AR251" s="78"/>
      <c r="AS251" s="71"/>
      <c r="AT251" s="78"/>
      <c r="AU251" s="78"/>
      <c r="AV251" s="78"/>
      <c r="AW251" s="78"/>
      <c r="AX251" s="71"/>
      <c r="AY251" s="71"/>
    </row>
    <row r="252" ht="16.5" customHeight="1">
      <c r="A252" s="71"/>
      <c r="B252" s="78"/>
      <c r="C252" s="78"/>
      <c r="D252" s="78"/>
      <c r="E252" s="78"/>
      <c r="F252" s="78"/>
      <c r="G252" s="78"/>
      <c r="H252" s="78"/>
      <c r="I252" s="71"/>
      <c r="J252" s="78"/>
      <c r="K252" s="78"/>
      <c r="L252" s="78"/>
      <c r="M252" s="78"/>
      <c r="N252" s="78"/>
      <c r="O252" s="78"/>
      <c r="P252" s="78"/>
      <c r="Q252" s="78"/>
      <c r="R252" s="78"/>
      <c r="S252" s="78"/>
      <c r="T252" s="71"/>
      <c r="U252" s="71"/>
      <c r="V252" s="78"/>
      <c r="W252" s="78"/>
      <c r="X252" s="78"/>
      <c r="Y252" s="78"/>
      <c r="Z252" s="73"/>
      <c r="AA252" s="73" t="str">
        <f>IF(Z252=0,"",AVERAGEIFS(data_num!B:B, data_num!D:D, Y252, data_num!K:K, 1))
</f>
        <v/>
      </c>
      <c r="AB252" s="77" t="str">
        <f>IF(Z252=0,"",AVERAGEIFS(data_num!C:C, data_num!D:D, Y252, data_num!K:K, 1))
</f>
        <v/>
      </c>
      <c r="AC252" s="72" t="str">
        <f>IF(Z251=0,"",SUMIFS(data_num!L:L, data_num!D:D, Y251, data_num!K:K, 1)/Z251)
</f>
        <v/>
      </c>
      <c r="AD252" s="73" t="str">
        <f>IF(Z251=0,"",SUMIFS(data_num!L:L, data_num!D:D, Y251, data_num!K:K, 1)/Z251)
</f>
        <v/>
      </c>
      <c r="AE252" s="78"/>
      <c r="AF252" s="71"/>
      <c r="AG252" s="75"/>
      <c r="AH252" s="78"/>
      <c r="AI252" s="71"/>
      <c r="AJ252" s="78"/>
      <c r="AK252" s="78"/>
      <c r="AL252" s="78"/>
      <c r="AM252" s="78"/>
      <c r="AN252" s="78"/>
      <c r="AO252" s="78"/>
      <c r="AP252" s="71"/>
      <c r="AQ252" s="71"/>
      <c r="AR252" s="78"/>
      <c r="AS252" s="71"/>
      <c r="AT252" s="78"/>
      <c r="AU252" s="78"/>
      <c r="AV252" s="78"/>
      <c r="AW252" s="78"/>
      <c r="AX252" s="71"/>
      <c r="AY252" s="71"/>
    </row>
    <row r="253" ht="16.5" customHeight="1">
      <c r="A253" s="71"/>
      <c r="B253" s="78"/>
      <c r="C253" s="78"/>
      <c r="D253" s="78"/>
      <c r="E253" s="78"/>
      <c r="F253" s="78"/>
      <c r="G253" s="78"/>
      <c r="H253" s="78"/>
      <c r="I253" s="71"/>
      <c r="J253" s="78"/>
      <c r="K253" s="78"/>
      <c r="L253" s="78"/>
      <c r="M253" s="78"/>
      <c r="N253" s="78"/>
      <c r="O253" s="78"/>
      <c r="P253" s="78"/>
      <c r="Q253" s="78"/>
      <c r="R253" s="78"/>
      <c r="S253" s="78"/>
      <c r="T253" s="71"/>
      <c r="U253" s="71"/>
      <c r="V253" s="78"/>
      <c r="W253" s="78"/>
      <c r="X253" s="78"/>
      <c r="Y253" s="78"/>
      <c r="Z253" s="73"/>
      <c r="AA253" s="73" t="str">
        <f>IF(Z253=0,"",AVERAGEIFS(data_num!B:B, data_num!D:D, Y253, data_num!K:K, 1))
</f>
        <v/>
      </c>
      <c r="AB253" s="77" t="str">
        <f>IF(Z253=0,"",AVERAGEIFS(data_num!C:C, data_num!D:D, Y253, data_num!K:K, 1))
</f>
        <v/>
      </c>
      <c r="AC253" s="72" t="str">
        <f>IF(Z252=0,"",SUMIFS(data_num!L:L, data_num!D:D, Y252, data_num!K:K, 1)/Z252)
</f>
        <v/>
      </c>
      <c r="AD253" s="73" t="str">
        <f>IF(Z252=0,"",SUMIFS(data_num!L:L, data_num!D:D, Y252, data_num!K:K, 1)/Z252)
</f>
        <v/>
      </c>
      <c r="AE253" s="78"/>
      <c r="AF253" s="71"/>
      <c r="AG253" s="75"/>
      <c r="AH253" s="78"/>
      <c r="AI253" s="71"/>
      <c r="AJ253" s="78"/>
      <c r="AK253" s="78"/>
      <c r="AL253" s="78"/>
      <c r="AM253" s="78"/>
      <c r="AN253" s="78"/>
      <c r="AO253" s="78"/>
      <c r="AP253" s="71"/>
      <c r="AQ253" s="71"/>
      <c r="AR253" s="78"/>
      <c r="AS253" s="71"/>
      <c r="AT253" s="78"/>
      <c r="AU253" s="78"/>
      <c r="AV253" s="78"/>
      <c r="AW253" s="78"/>
      <c r="AX253" s="71"/>
      <c r="AY253" s="71"/>
    </row>
    <row r="254" ht="16.5" customHeight="1">
      <c r="A254" s="71"/>
      <c r="B254" s="78"/>
      <c r="C254" s="78"/>
      <c r="D254" s="78"/>
      <c r="E254" s="78"/>
      <c r="F254" s="78"/>
      <c r="G254" s="78"/>
      <c r="H254" s="78"/>
      <c r="I254" s="71"/>
      <c r="J254" s="78"/>
      <c r="K254" s="78"/>
      <c r="L254" s="78"/>
      <c r="M254" s="78"/>
      <c r="N254" s="78"/>
      <c r="O254" s="78"/>
      <c r="P254" s="78"/>
      <c r="Q254" s="78"/>
      <c r="R254" s="78"/>
      <c r="S254" s="78"/>
      <c r="T254" s="71"/>
      <c r="U254" s="71"/>
      <c r="V254" s="78"/>
      <c r="W254" s="78"/>
      <c r="X254" s="78"/>
      <c r="Y254" s="78"/>
      <c r="Z254" s="73"/>
      <c r="AA254" s="73" t="str">
        <f>IF(Z254=0,"",AVERAGEIFS(data_num!B:B, data_num!D:D, Y254, data_num!K:K, 1))
</f>
        <v/>
      </c>
      <c r="AB254" s="77" t="str">
        <f>IF(Z254=0,"",AVERAGEIFS(data_num!C:C, data_num!D:D, Y254, data_num!K:K, 1))
</f>
        <v/>
      </c>
      <c r="AC254" s="72" t="str">
        <f>IF(Z253=0,"",SUMIFS(data_num!L:L, data_num!D:D, Y253, data_num!K:K, 1)/Z253)
</f>
        <v/>
      </c>
      <c r="AD254" s="73" t="str">
        <f>IF(Z253=0,"",SUMIFS(data_num!L:L, data_num!D:D, Y253, data_num!K:K, 1)/Z253)
</f>
        <v/>
      </c>
      <c r="AE254" s="78"/>
      <c r="AF254" s="71"/>
      <c r="AG254" s="75"/>
      <c r="AH254" s="78"/>
      <c r="AI254" s="71"/>
      <c r="AJ254" s="78"/>
      <c r="AK254" s="78"/>
      <c r="AL254" s="78"/>
      <c r="AM254" s="78"/>
      <c r="AN254" s="78"/>
      <c r="AO254" s="78"/>
      <c r="AP254" s="71"/>
      <c r="AQ254" s="71"/>
      <c r="AR254" s="78"/>
      <c r="AS254" s="71"/>
      <c r="AT254" s="78"/>
      <c r="AU254" s="78"/>
      <c r="AV254" s="78"/>
      <c r="AW254" s="78"/>
      <c r="AX254" s="71"/>
      <c r="AY254" s="71"/>
    </row>
    <row r="255" ht="16.5" customHeight="1">
      <c r="A255" s="71"/>
      <c r="B255" s="78"/>
      <c r="C255" s="78"/>
      <c r="D255" s="78"/>
      <c r="E255" s="78"/>
      <c r="F255" s="78"/>
      <c r="G255" s="78"/>
      <c r="H255" s="78"/>
      <c r="I255" s="71"/>
      <c r="J255" s="78"/>
      <c r="K255" s="78"/>
      <c r="L255" s="78"/>
      <c r="M255" s="78"/>
      <c r="N255" s="78"/>
      <c r="O255" s="78"/>
      <c r="P255" s="78"/>
      <c r="Q255" s="78"/>
      <c r="R255" s="78"/>
      <c r="S255" s="78"/>
      <c r="T255" s="71"/>
      <c r="U255" s="71"/>
      <c r="V255" s="78"/>
      <c r="W255" s="78"/>
      <c r="X255" s="78"/>
      <c r="Y255" s="78"/>
      <c r="Z255" s="73"/>
      <c r="AA255" s="73" t="str">
        <f>IF(Z255=0,"",AVERAGEIFS(data_num!B:B, data_num!D:D, Y255, data_num!K:K, 1))
</f>
        <v/>
      </c>
      <c r="AB255" s="77" t="str">
        <f>IF(Z255=0,"",AVERAGEIFS(data_num!C:C, data_num!D:D, Y255, data_num!K:K, 1))
</f>
        <v/>
      </c>
      <c r="AC255" s="72" t="str">
        <f>IF(Z254=0,"",SUMIFS(data_num!L:L, data_num!D:D, Y254, data_num!K:K, 1)/Z254)
</f>
        <v/>
      </c>
      <c r="AD255" s="73" t="str">
        <f>IF(Z254=0,"",SUMIFS(data_num!L:L, data_num!D:D, Y254, data_num!K:K, 1)/Z254)
</f>
        <v/>
      </c>
      <c r="AE255" s="78"/>
      <c r="AF255" s="71"/>
      <c r="AG255" s="75"/>
      <c r="AH255" s="78"/>
      <c r="AI255" s="71"/>
      <c r="AJ255" s="78"/>
      <c r="AK255" s="78"/>
      <c r="AL255" s="78"/>
      <c r="AM255" s="78"/>
      <c r="AN255" s="78"/>
      <c r="AO255" s="78"/>
      <c r="AP255" s="71"/>
      <c r="AQ255" s="71"/>
      <c r="AR255" s="78"/>
      <c r="AS255" s="71"/>
      <c r="AT255" s="78"/>
      <c r="AU255" s="78"/>
      <c r="AV255" s="78"/>
      <c r="AW255" s="78"/>
      <c r="AX255" s="71"/>
      <c r="AY255" s="71"/>
    </row>
    <row r="256" ht="16.5" customHeight="1">
      <c r="A256" s="71"/>
      <c r="B256" s="78"/>
      <c r="C256" s="78"/>
      <c r="D256" s="78"/>
      <c r="E256" s="78"/>
      <c r="F256" s="78"/>
      <c r="G256" s="78"/>
      <c r="H256" s="78"/>
      <c r="I256" s="71"/>
      <c r="J256" s="78"/>
      <c r="K256" s="78"/>
      <c r="L256" s="78"/>
      <c r="M256" s="78"/>
      <c r="N256" s="78"/>
      <c r="O256" s="78"/>
      <c r="P256" s="78"/>
      <c r="Q256" s="78"/>
      <c r="R256" s="78"/>
      <c r="S256" s="78"/>
      <c r="T256" s="71"/>
      <c r="U256" s="71"/>
      <c r="V256" s="78"/>
      <c r="W256" s="78"/>
      <c r="X256" s="78"/>
      <c r="Y256" s="78"/>
      <c r="Z256" s="73"/>
      <c r="AA256" s="73" t="str">
        <f>IF(Z256=0,"",AVERAGEIFS(data_num!B:B, data_num!D:D, Y256, data_num!K:K, 1))
</f>
        <v/>
      </c>
      <c r="AB256" s="77" t="str">
        <f>IF(Z256=0,"",AVERAGEIFS(data_num!C:C, data_num!D:D, Y256, data_num!K:K, 1))
</f>
        <v/>
      </c>
      <c r="AC256" s="72" t="str">
        <f>IF(Z255=0,"",SUMIFS(data_num!L:L, data_num!D:D, Y255, data_num!K:K, 1)/Z255)
</f>
        <v/>
      </c>
      <c r="AD256" s="73" t="str">
        <f>IF(Z255=0,"",SUMIFS(data_num!L:L, data_num!D:D, Y255, data_num!K:K, 1)/Z255)
</f>
        <v/>
      </c>
      <c r="AE256" s="78"/>
      <c r="AF256" s="71"/>
      <c r="AG256" s="75"/>
      <c r="AH256" s="78"/>
      <c r="AI256" s="71"/>
      <c r="AJ256" s="78"/>
      <c r="AK256" s="78"/>
      <c r="AL256" s="78"/>
      <c r="AM256" s="78"/>
      <c r="AN256" s="78"/>
      <c r="AO256" s="78"/>
      <c r="AP256" s="71"/>
      <c r="AQ256" s="71"/>
      <c r="AR256" s="78"/>
      <c r="AS256" s="71"/>
      <c r="AT256" s="78"/>
      <c r="AU256" s="78"/>
      <c r="AV256" s="78"/>
      <c r="AW256" s="78"/>
      <c r="AX256" s="71"/>
      <c r="AY256" s="71"/>
    </row>
    <row r="257" ht="16.5" customHeight="1">
      <c r="A257" s="71"/>
      <c r="B257" s="78"/>
      <c r="C257" s="78"/>
      <c r="D257" s="78"/>
      <c r="E257" s="78"/>
      <c r="F257" s="78"/>
      <c r="G257" s="78"/>
      <c r="H257" s="78"/>
      <c r="I257" s="71"/>
      <c r="J257" s="78"/>
      <c r="K257" s="78"/>
      <c r="L257" s="78"/>
      <c r="M257" s="78"/>
      <c r="N257" s="78"/>
      <c r="O257" s="78"/>
      <c r="P257" s="78"/>
      <c r="Q257" s="78"/>
      <c r="R257" s="78"/>
      <c r="S257" s="78"/>
      <c r="T257" s="71"/>
      <c r="U257" s="71"/>
      <c r="V257" s="78"/>
      <c r="W257" s="78"/>
      <c r="X257" s="78"/>
      <c r="Y257" s="78"/>
      <c r="Z257" s="73"/>
      <c r="AA257" s="73" t="str">
        <f>IF(Z257=0,"",AVERAGEIFS(data_num!B:B, data_num!D:D, Y257, data_num!K:K, 1))
</f>
        <v/>
      </c>
      <c r="AB257" s="77" t="str">
        <f>IF(Z257=0,"",AVERAGEIFS(data_num!C:C, data_num!D:D, Y257, data_num!K:K, 1))
</f>
        <v/>
      </c>
      <c r="AC257" s="72" t="str">
        <f>IF(Z256=0,"",SUMIFS(data_num!L:L, data_num!D:D, Y256, data_num!K:K, 1)/Z256)
</f>
        <v/>
      </c>
      <c r="AD257" s="73" t="str">
        <f>IF(Z256=0,"",SUMIFS(data_num!L:L, data_num!D:D, Y256, data_num!K:K, 1)/Z256)
</f>
        <v/>
      </c>
      <c r="AE257" s="78"/>
      <c r="AF257" s="71"/>
      <c r="AG257" s="75"/>
      <c r="AH257" s="78"/>
      <c r="AI257" s="71"/>
      <c r="AJ257" s="78"/>
      <c r="AK257" s="78"/>
      <c r="AL257" s="78"/>
      <c r="AM257" s="78"/>
      <c r="AN257" s="78"/>
      <c r="AO257" s="78"/>
      <c r="AP257" s="71"/>
      <c r="AQ257" s="71"/>
      <c r="AR257" s="78"/>
      <c r="AS257" s="71"/>
      <c r="AT257" s="78"/>
      <c r="AU257" s="78"/>
      <c r="AV257" s="78"/>
      <c r="AW257" s="78"/>
      <c r="AX257" s="71"/>
      <c r="AY257" s="71"/>
    </row>
    <row r="258" ht="16.5" customHeight="1">
      <c r="A258" s="71"/>
      <c r="B258" s="78"/>
      <c r="C258" s="78"/>
      <c r="D258" s="78"/>
      <c r="E258" s="78"/>
      <c r="F258" s="78"/>
      <c r="G258" s="78"/>
      <c r="H258" s="78"/>
      <c r="I258" s="71"/>
      <c r="J258" s="78"/>
      <c r="K258" s="78"/>
      <c r="L258" s="78"/>
      <c r="M258" s="78"/>
      <c r="N258" s="78"/>
      <c r="O258" s="78"/>
      <c r="P258" s="78"/>
      <c r="Q258" s="78"/>
      <c r="R258" s="78"/>
      <c r="S258" s="78"/>
      <c r="T258" s="71"/>
      <c r="U258" s="71"/>
      <c r="V258" s="78"/>
      <c r="W258" s="78"/>
      <c r="X258" s="78"/>
      <c r="Y258" s="78"/>
      <c r="Z258" s="73"/>
      <c r="AA258" s="73" t="str">
        <f>IF(Z258=0,"",AVERAGEIFS(data_num!B:B, data_num!D:D, Y258, data_num!K:K, 1))
</f>
        <v/>
      </c>
      <c r="AB258" s="77" t="str">
        <f>IF(Z258=0,"",AVERAGEIFS(data_num!C:C, data_num!D:D, Y258, data_num!K:K, 1))
</f>
        <v/>
      </c>
      <c r="AC258" s="72" t="str">
        <f>IF(Z257=0,"",SUMIFS(data_num!L:L, data_num!D:D, Y257, data_num!K:K, 1)/Z257)
</f>
        <v/>
      </c>
      <c r="AD258" s="73" t="str">
        <f>IF(Z257=0,"",SUMIFS(data_num!L:L, data_num!D:D, Y257, data_num!K:K, 1)/Z257)
</f>
        <v/>
      </c>
      <c r="AE258" s="78"/>
      <c r="AF258" s="71"/>
      <c r="AG258" s="75"/>
      <c r="AH258" s="78"/>
      <c r="AI258" s="71"/>
      <c r="AJ258" s="78"/>
      <c r="AK258" s="78"/>
      <c r="AL258" s="78"/>
      <c r="AM258" s="78"/>
      <c r="AN258" s="78"/>
      <c r="AO258" s="78"/>
      <c r="AP258" s="71"/>
      <c r="AQ258" s="71"/>
      <c r="AR258" s="78"/>
      <c r="AS258" s="71"/>
      <c r="AT258" s="78"/>
      <c r="AU258" s="78"/>
      <c r="AV258" s="78"/>
      <c r="AW258" s="78"/>
      <c r="AX258" s="71"/>
      <c r="AY258" s="71"/>
    </row>
    <row r="259" ht="16.5" customHeight="1">
      <c r="A259" s="71"/>
      <c r="B259" s="78"/>
      <c r="C259" s="78"/>
      <c r="D259" s="78"/>
      <c r="E259" s="78"/>
      <c r="F259" s="78"/>
      <c r="G259" s="78"/>
      <c r="H259" s="78"/>
      <c r="I259" s="71"/>
      <c r="J259" s="78"/>
      <c r="K259" s="78"/>
      <c r="L259" s="78"/>
      <c r="M259" s="78"/>
      <c r="N259" s="78"/>
      <c r="O259" s="78"/>
      <c r="P259" s="78"/>
      <c r="Q259" s="78"/>
      <c r="R259" s="78"/>
      <c r="S259" s="78"/>
      <c r="T259" s="71"/>
      <c r="U259" s="71"/>
      <c r="V259" s="78"/>
      <c r="W259" s="78"/>
      <c r="X259" s="78"/>
      <c r="Y259" s="78"/>
      <c r="Z259" s="73"/>
      <c r="AA259" s="73" t="str">
        <f>IF(Z259=0,"",AVERAGEIFS(data_num!B:B, data_num!D:D, Y259, data_num!K:K, 1))
</f>
        <v/>
      </c>
      <c r="AB259" s="77" t="str">
        <f>IF(Z259=0,"",AVERAGEIFS(data_num!C:C, data_num!D:D, Y259, data_num!K:K, 1))
</f>
        <v/>
      </c>
      <c r="AC259" s="72" t="str">
        <f>IF(Z258=0,"",SUMIFS(data_num!L:L, data_num!D:D, Y258, data_num!K:K, 1)/Z258)
</f>
        <v/>
      </c>
      <c r="AD259" s="73" t="str">
        <f>IF(Z258=0,"",SUMIFS(data_num!L:L, data_num!D:D, Y258, data_num!K:K, 1)/Z258)
</f>
        <v/>
      </c>
      <c r="AE259" s="78"/>
      <c r="AF259" s="71"/>
      <c r="AG259" s="75"/>
      <c r="AH259" s="78"/>
      <c r="AI259" s="71"/>
      <c r="AJ259" s="78"/>
      <c r="AK259" s="78"/>
      <c r="AL259" s="78"/>
      <c r="AM259" s="78"/>
      <c r="AN259" s="78"/>
      <c r="AO259" s="78"/>
      <c r="AP259" s="71"/>
      <c r="AQ259" s="71"/>
      <c r="AR259" s="78"/>
      <c r="AS259" s="71"/>
      <c r="AT259" s="78"/>
      <c r="AU259" s="78"/>
      <c r="AV259" s="78"/>
      <c r="AW259" s="78"/>
      <c r="AX259" s="71"/>
      <c r="AY259" s="71"/>
    </row>
    <row r="260" ht="16.5" customHeight="1">
      <c r="A260" s="71"/>
      <c r="B260" s="78"/>
      <c r="C260" s="78"/>
      <c r="D260" s="78"/>
      <c r="E260" s="78"/>
      <c r="F260" s="78"/>
      <c r="G260" s="78"/>
      <c r="H260" s="78"/>
      <c r="I260" s="71"/>
      <c r="J260" s="78"/>
      <c r="K260" s="78"/>
      <c r="L260" s="78"/>
      <c r="M260" s="78"/>
      <c r="N260" s="78"/>
      <c r="O260" s="78"/>
      <c r="P260" s="78"/>
      <c r="Q260" s="78"/>
      <c r="R260" s="78"/>
      <c r="S260" s="78"/>
      <c r="T260" s="71"/>
      <c r="U260" s="71"/>
      <c r="V260" s="78"/>
      <c r="W260" s="78"/>
      <c r="X260" s="78"/>
      <c r="Y260" s="78"/>
      <c r="Z260" s="73"/>
      <c r="AA260" s="73" t="str">
        <f>IF(Z260=0,"",AVERAGEIFS(data_num!B:B, data_num!D:D, Y260, data_num!K:K, 1))
</f>
        <v/>
      </c>
      <c r="AB260" s="77" t="str">
        <f>IF(Z260=0,"",AVERAGEIFS(data_num!C:C, data_num!D:D, Y260, data_num!K:K, 1))
</f>
        <v/>
      </c>
      <c r="AC260" s="72" t="str">
        <f>IF(Z259=0,"",SUMIFS(data_num!L:L, data_num!D:D, Y259, data_num!K:K, 1)/Z259)
</f>
        <v/>
      </c>
      <c r="AD260" s="73" t="str">
        <f>IF(Z259=0,"",SUMIFS(data_num!L:L, data_num!D:D, Y259, data_num!K:K, 1)/Z259)
</f>
        <v/>
      </c>
      <c r="AE260" s="78"/>
      <c r="AF260" s="71"/>
      <c r="AG260" s="75"/>
      <c r="AH260" s="78"/>
      <c r="AI260" s="71"/>
      <c r="AJ260" s="78"/>
      <c r="AK260" s="78"/>
      <c r="AL260" s="78"/>
      <c r="AM260" s="78"/>
      <c r="AN260" s="78"/>
      <c r="AO260" s="78"/>
      <c r="AP260" s="71"/>
      <c r="AQ260" s="71"/>
      <c r="AR260" s="78"/>
      <c r="AS260" s="71"/>
      <c r="AT260" s="78"/>
      <c r="AU260" s="78"/>
      <c r="AV260" s="78"/>
      <c r="AW260" s="78"/>
      <c r="AX260" s="71"/>
      <c r="AY260" s="71"/>
    </row>
    <row r="261" ht="16.5" customHeight="1">
      <c r="A261" s="71"/>
      <c r="B261" s="78"/>
      <c r="C261" s="78"/>
      <c r="D261" s="78"/>
      <c r="E261" s="78"/>
      <c r="F261" s="78"/>
      <c r="G261" s="78"/>
      <c r="H261" s="78"/>
      <c r="I261" s="71"/>
      <c r="J261" s="78"/>
      <c r="K261" s="78"/>
      <c r="L261" s="78"/>
      <c r="M261" s="78"/>
      <c r="N261" s="78"/>
      <c r="O261" s="78"/>
      <c r="P261" s="78"/>
      <c r="Q261" s="78"/>
      <c r="R261" s="78"/>
      <c r="S261" s="78"/>
      <c r="T261" s="71"/>
      <c r="U261" s="71"/>
      <c r="V261" s="78"/>
      <c r="W261" s="78"/>
      <c r="X261" s="78"/>
      <c r="Y261" s="78"/>
      <c r="Z261" s="78"/>
      <c r="AA261" s="73" t="str">
        <f>IF(Z261=0,"",AVERAGEIFS(data_num!B:B, data_num!D:D, Y261, data_num!K:K, 1))
</f>
        <v/>
      </c>
      <c r="AB261" s="71"/>
      <c r="AC261" s="71"/>
      <c r="AD261" s="78"/>
      <c r="AE261" s="78"/>
      <c r="AF261" s="71"/>
      <c r="AG261" s="75"/>
      <c r="AH261" s="78"/>
      <c r="AI261" s="71"/>
      <c r="AJ261" s="78"/>
      <c r="AK261" s="78"/>
      <c r="AL261" s="78"/>
      <c r="AM261" s="78"/>
      <c r="AN261" s="78"/>
      <c r="AO261" s="78"/>
      <c r="AP261" s="71"/>
      <c r="AQ261" s="71"/>
      <c r="AR261" s="78"/>
      <c r="AS261" s="71"/>
      <c r="AT261" s="78"/>
      <c r="AU261" s="78"/>
      <c r="AV261" s="78"/>
      <c r="AW261" s="78"/>
      <c r="AX261" s="71"/>
      <c r="AY261" s="71"/>
    </row>
    <row r="262" ht="16.5" customHeight="1">
      <c r="A262" s="71"/>
      <c r="B262" s="78"/>
      <c r="C262" s="78"/>
      <c r="D262" s="78"/>
      <c r="E262" s="78"/>
      <c r="F262" s="78"/>
      <c r="G262" s="78"/>
      <c r="H262" s="78"/>
      <c r="I262" s="71"/>
      <c r="J262" s="78"/>
      <c r="K262" s="78"/>
      <c r="L262" s="78"/>
      <c r="M262" s="78"/>
      <c r="N262" s="78"/>
      <c r="O262" s="78"/>
      <c r="P262" s="78"/>
      <c r="Q262" s="78"/>
      <c r="R262" s="78"/>
      <c r="S262" s="78"/>
      <c r="T262" s="71"/>
      <c r="U262" s="71"/>
      <c r="V262" s="78"/>
      <c r="W262" s="78"/>
      <c r="X262" s="78"/>
      <c r="Y262" s="78"/>
      <c r="Z262" s="78"/>
      <c r="AA262" s="73" t="str">
        <f>IF(Z262=0,"",AVERAGEIFS(data_num!B:B, data_num!D:D, Y262, data_num!K:K, 1))
</f>
        <v/>
      </c>
      <c r="AB262" s="71"/>
      <c r="AC262" s="71"/>
      <c r="AD262" s="78"/>
      <c r="AE262" s="78"/>
      <c r="AF262" s="71"/>
      <c r="AG262" s="75"/>
      <c r="AH262" s="78"/>
      <c r="AI262" s="71"/>
      <c r="AJ262" s="78"/>
      <c r="AK262" s="78"/>
      <c r="AL262" s="78"/>
      <c r="AM262" s="78"/>
      <c r="AN262" s="78"/>
      <c r="AO262" s="78"/>
      <c r="AP262" s="71"/>
      <c r="AQ262" s="71"/>
      <c r="AR262" s="78"/>
      <c r="AS262" s="71"/>
      <c r="AT262" s="78"/>
      <c r="AU262" s="78"/>
      <c r="AV262" s="78"/>
      <c r="AW262" s="78"/>
      <c r="AX262" s="71"/>
      <c r="AY262" s="71"/>
    </row>
    <row r="263" ht="16.5" customHeight="1">
      <c r="A263" s="71"/>
      <c r="B263" s="78"/>
      <c r="C263" s="78"/>
      <c r="D263" s="78"/>
      <c r="E263" s="78"/>
      <c r="F263" s="78"/>
      <c r="G263" s="78"/>
      <c r="H263" s="78"/>
      <c r="I263" s="71"/>
      <c r="J263" s="78"/>
      <c r="K263" s="78"/>
      <c r="L263" s="78"/>
      <c r="M263" s="78"/>
      <c r="N263" s="78"/>
      <c r="O263" s="78"/>
      <c r="P263" s="78"/>
      <c r="Q263" s="78"/>
      <c r="R263" s="78"/>
      <c r="S263" s="78"/>
      <c r="T263" s="71"/>
      <c r="U263" s="71"/>
      <c r="V263" s="78"/>
      <c r="W263" s="78"/>
      <c r="X263" s="78"/>
      <c r="Y263" s="78"/>
      <c r="Z263" s="78"/>
      <c r="AA263" s="73" t="str">
        <f>IF(Z263=0,"",AVERAGEIFS(data_num!B:B, data_num!D:D, Y263, data_num!K:K, 1))
</f>
        <v/>
      </c>
      <c r="AB263" s="71"/>
      <c r="AC263" s="71"/>
      <c r="AD263" s="78"/>
      <c r="AE263" s="78"/>
      <c r="AF263" s="71"/>
      <c r="AG263" s="75"/>
      <c r="AH263" s="78"/>
      <c r="AI263" s="71"/>
      <c r="AJ263" s="78"/>
      <c r="AK263" s="78"/>
      <c r="AL263" s="78"/>
      <c r="AM263" s="78"/>
      <c r="AN263" s="78"/>
      <c r="AO263" s="78"/>
      <c r="AP263" s="71"/>
      <c r="AQ263" s="71"/>
      <c r="AR263" s="78"/>
      <c r="AS263" s="71"/>
      <c r="AT263" s="78"/>
      <c r="AU263" s="78"/>
      <c r="AV263" s="78"/>
      <c r="AW263" s="78"/>
      <c r="AX263" s="71"/>
      <c r="AY263" s="71"/>
    </row>
    <row r="264" ht="16.5" customHeight="1">
      <c r="A264" s="71"/>
      <c r="B264" s="78"/>
      <c r="C264" s="78"/>
      <c r="D264" s="78"/>
      <c r="E264" s="78"/>
      <c r="F264" s="78"/>
      <c r="G264" s="78"/>
      <c r="H264" s="78"/>
      <c r="I264" s="71"/>
      <c r="J264" s="78"/>
      <c r="K264" s="78"/>
      <c r="L264" s="78"/>
      <c r="M264" s="78"/>
      <c r="N264" s="78"/>
      <c r="O264" s="78"/>
      <c r="P264" s="78"/>
      <c r="Q264" s="78"/>
      <c r="R264" s="78"/>
      <c r="S264" s="78"/>
      <c r="T264" s="71"/>
      <c r="U264" s="71"/>
      <c r="V264" s="78"/>
      <c r="W264" s="78"/>
      <c r="X264" s="78"/>
      <c r="Y264" s="78"/>
      <c r="Z264" s="78"/>
      <c r="AA264" s="73" t="str">
        <f>IF(Z264=0,"",AVERAGEIFS(data_num!B:B, data_num!D:D, Y264, data_num!K:K, 1))
</f>
        <v/>
      </c>
      <c r="AB264" s="71"/>
      <c r="AC264" s="71"/>
      <c r="AD264" s="78"/>
      <c r="AE264" s="78"/>
      <c r="AF264" s="71"/>
      <c r="AG264" s="75"/>
      <c r="AH264" s="78"/>
      <c r="AI264" s="71"/>
      <c r="AJ264" s="78"/>
      <c r="AK264" s="78"/>
      <c r="AL264" s="78"/>
      <c r="AM264" s="78"/>
      <c r="AN264" s="78"/>
      <c r="AO264" s="78"/>
      <c r="AP264" s="71"/>
      <c r="AQ264" s="71"/>
      <c r="AR264" s="78"/>
      <c r="AS264" s="71"/>
      <c r="AT264" s="78"/>
      <c r="AU264" s="78"/>
      <c r="AV264" s="78"/>
      <c r="AW264" s="78"/>
      <c r="AX264" s="71"/>
      <c r="AY264" s="71"/>
    </row>
    <row r="265" ht="16.5" customHeight="1">
      <c r="A265" s="71"/>
      <c r="B265" s="78"/>
      <c r="C265" s="78"/>
      <c r="D265" s="78"/>
      <c r="E265" s="78"/>
      <c r="F265" s="78"/>
      <c r="G265" s="78"/>
      <c r="H265" s="78"/>
      <c r="I265" s="71"/>
      <c r="J265" s="78"/>
      <c r="K265" s="78"/>
      <c r="L265" s="78"/>
      <c r="M265" s="78"/>
      <c r="N265" s="78"/>
      <c r="O265" s="78"/>
      <c r="P265" s="78"/>
      <c r="Q265" s="78"/>
      <c r="R265" s="78"/>
      <c r="S265" s="78"/>
      <c r="T265" s="71"/>
      <c r="U265" s="71"/>
      <c r="V265" s="78"/>
      <c r="W265" s="78"/>
      <c r="X265" s="78"/>
      <c r="Y265" s="78"/>
      <c r="Z265" s="78"/>
      <c r="AA265" s="73" t="str">
        <f>IF(Z265=0,"",AVERAGEIFS(data_num!B:B, data_num!D:D, Y265, data_num!K:K, 1))
</f>
        <v/>
      </c>
      <c r="AB265" s="71"/>
      <c r="AC265" s="71"/>
      <c r="AD265" s="78"/>
      <c r="AE265" s="78"/>
      <c r="AF265" s="71"/>
      <c r="AG265" s="75"/>
      <c r="AH265" s="78"/>
      <c r="AI265" s="71"/>
      <c r="AJ265" s="78"/>
      <c r="AK265" s="78"/>
      <c r="AL265" s="78"/>
      <c r="AM265" s="78"/>
      <c r="AN265" s="78"/>
      <c r="AO265" s="78"/>
      <c r="AP265" s="71"/>
      <c r="AQ265" s="71"/>
      <c r="AR265" s="78"/>
      <c r="AS265" s="71"/>
      <c r="AT265" s="78"/>
      <c r="AU265" s="78"/>
      <c r="AV265" s="78"/>
      <c r="AW265" s="78"/>
      <c r="AX265" s="71"/>
      <c r="AY265" s="71"/>
    </row>
    <row r="266" ht="16.5" customHeight="1">
      <c r="A266" s="71"/>
      <c r="B266" s="78"/>
      <c r="C266" s="78"/>
      <c r="D266" s="78"/>
      <c r="E266" s="78"/>
      <c r="F266" s="78"/>
      <c r="G266" s="78"/>
      <c r="H266" s="78"/>
      <c r="I266" s="71"/>
      <c r="J266" s="78"/>
      <c r="K266" s="78"/>
      <c r="L266" s="78"/>
      <c r="M266" s="78"/>
      <c r="N266" s="78"/>
      <c r="O266" s="78"/>
      <c r="P266" s="78"/>
      <c r="Q266" s="78"/>
      <c r="R266" s="78"/>
      <c r="S266" s="78"/>
      <c r="T266" s="71"/>
      <c r="U266" s="71"/>
      <c r="V266" s="78"/>
      <c r="W266" s="78"/>
      <c r="X266" s="78"/>
      <c r="Y266" s="78"/>
      <c r="Z266" s="78"/>
      <c r="AA266" s="73" t="str">
        <f>IF(Z266=0,"",AVERAGEIFS(data_num!B:B, data_num!D:D, Y266, data_num!K:K, 1))
</f>
        <v/>
      </c>
      <c r="AB266" s="71"/>
      <c r="AC266" s="71"/>
      <c r="AD266" s="78"/>
      <c r="AE266" s="78"/>
      <c r="AF266" s="71"/>
      <c r="AG266" s="75"/>
      <c r="AH266" s="78"/>
      <c r="AI266" s="71"/>
      <c r="AJ266" s="78"/>
      <c r="AK266" s="78"/>
      <c r="AL266" s="78"/>
      <c r="AM266" s="78"/>
      <c r="AN266" s="78"/>
      <c r="AO266" s="78"/>
      <c r="AP266" s="71"/>
      <c r="AQ266" s="71"/>
      <c r="AR266" s="78"/>
      <c r="AS266" s="71"/>
      <c r="AT266" s="78"/>
      <c r="AU266" s="78"/>
      <c r="AV266" s="78"/>
      <c r="AW266" s="78"/>
      <c r="AX266" s="71"/>
      <c r="AY266" s="71"/>
    </row>
    <row r="267" ht="16.5" customHeight="1">
      <c r="A267" s="71"/>
      <c r="B267" s="78"/>
      <c r="C267" s="78"/>
      <c r="D267" s="78"/>
      <c r="E267" s="78"/>
      <c r="F267" s="78"/>
      <c r="G267" s="78"/>
      <c r="H267" s="78"/>
      <c r="I267" s="71"/>
      <c r="J267" s="78"/>
      <c r="K267" s="78"/>
      <c r="L267" s="78"/>
      <c r="M267" s="78"/>
      <c r="N267" s="78"/>
      <c r="O267" s="78"/>
      <c r="P267" s="78"/>
      <c r="Q267" s="78"/>
      <c r="R267" s="78"/>
      <c r="S267" s="78"/>
      <c r="T267" s="71"/>
      <c r="U267" s="71"/>
      <c r="V267" s="78"/>
      <c r="W267" s="78"/>
      <c r="X267" s="78"/>
      <c r="Y267" s="78"/>
      <c r="Z267" s="78"/>
      <c r="AA267" s="73" t="str">
        <f>IF(Z267=0,"",AVERAGEIFS(data_num!B:B, data_num!D:D, Y267, data_num!K:K, 1))
</f>
        <v/>
      </c>
      <c r="AB267" s="71"/>
      <c r="AC267" s="71"/>
      <c r="AD267" s="78"/>
      <c r="AE267" s="78"/>
      <c r="AF267" s="71"/>
      <c r="AG267" s="75"/>
      <c r="AH267" s="78"/>
      <c r="AI267" s="71"/>
      <c r="AJ267" s="78"/>
      <c r="AK267" s="78"/>
      <c r="AL267" s="78"/>
      <c r="AM267" s="78"/>
      <c r="AN267" s="78"/>
      <c r="AO267" s="78"/>
      <c r="AP267" s="71"/>
      <c r="AQ267" s="71"/>
      <c r="AR267" s="78"/>
      <c r="AS267" s="71"/>
      <c r="AT267" s="78"/>
      <c r="AU267" s="78"/>
      <c r="AV267" s="78"/>
      <c r="AW267" s="78"/>
      <c r="AX267" s="71"/>
      <c r="AY267" s="71"/>
    </row>
    <row r="268" ht="16.5" customHeight="1">
      <c r="A268" s="71"/>
      <c r="B268" s="78"/>
      <c r="C268" s="78"/>
      <c r="D268" s="78"/>
      <c r="E268" s="78"/>
      <c r="F268" s="78"/>
      <c r="G268" s="78"/>
      <c r="H268" s="78"/>
      <c r="I268" s="71"/>
      <c r="J268" s="78"/>
      <c r="K268" s="78"/>
      <c r="L268" s="78"/>
      <c r="M268" s="78"/>
      <c r="N268" s="78"/>
      <c r="O268" s="78"/>
      <c r="P268" s="78"/>
      <c r="Q268" s="78"/>
      <c r="R268" s="78"/>
      <c r="S268" s="78"/>
      <c r="T268" s="71"/>
      <c r="U268" s="71"/>
      <c r="V268" s="78"/>
      <c r="W268" s="78"/>
      <c r="X268" s="78"/>
      <c r="Y268" s="78"/>
      <c r="Z268" s="78"/>
      <c r="AA268" s="73" t="str">
        <f>IF(Z268=0,"",AVERAGEIFS(data_num!B:B, data_num!D:D, Y268, data_num!K:K, 1))
</f>
        <v/>
      </c>
      <c r="AB268" s="71"/>
      <c r="AC268" s="71"/>
      <c r="AD268" s="78"/>
      <c r="AE268" s="78"/>
      <c r="AF268" s="71"/>
      <c r="AG268" s="75"/>
      <c r="AH268" s="78"/>
      <c r="AI268" s="71"/>
      <c r="AJ268" s="78"/>
      <c r="AK268" s="78"/>
      <c r="AL268" s="78"/>
      <c r="AM268" s="78"/>
      <c r="AN268" s="78"/>
      <c r="AO268" s="78"/>
      <c r="AP268" s="71"/>
      <c r="AQ268" s="71"/>
      <c r="AR268" s="78"/>
      <c r="AS268" s="71"/>
      <c r="AT268" s="78"/>
      <c r="AU268" s="78"/>
      <c r="AV268" s="78"/>
      <c r="AW268" s="78"/>
      <c r="AX268" s="71"/>
      <c r="AY268" s="71"/>
    </row>
    <row r="269" ht="16.5" customHeight="1">
      <c r="A269" s="71"/>
      <c r="B269" s="78"/>
      <c r="C269" s="78"/>
      <c r="D269" s="78"/>
      <c r="E269" s="78"/>
      <c r="F269" s="78"/>
      <c r="G269" s="78"/>
      <c r="H269" s="78"/>
      <c r="I269" s="71"/>
      <c r="J269" s="78"/>
      <c r="K269" s="78"/>
      <c r="L269" s="78"/>
      <c r="M269" s="78"/>
      <c r="N269" s="78"/>
      <c r="O269" s="78"/>
      <c r="P269" s="78"/>
      <c r="Q269" s="78"/>
      <c r="R269" s="78"/>
      <c r="S269" s="78"/>
      <c r="T269" s="71"/>
      <c r="U269" s="71"/>
      <c r="V269" s="78"/>
      <c r="W269" s="78"/>
      <c r="X269" s="78"/>
      <c r="Y269" s="78"/>
      <c r="Z269" s="78"/>
      <c r="AA269" s="73" t="str">
        <f>IF(Z269=0,"",AVERAGEIFS(data_num!B:B, data_num!D:D, Y269, data_num!K:K, 1))
</f>
        <v/>
      </c>
      <c r="AB269" s="71"/>
      <c r="AC269" s="71"/>
      <c r="AD269" s="78"/>
      <c r="AE269" s="78"/>
      <c r="AF269" s="71"/>
      <c r="AG269" s="75"/>
      <c r="AH269" s="78"/>
      <c r="AI269" s="71"/>
      <c r="AJ269" s="78"/>
      <c r="AK269" s="78"/>
      <c r="AL269" s="78"/>
      <c r="AM269" s="78"/>
      <c r="AN269" s="78"/>
      <c r="AO269" s="78"/>
      <c r="AP269" s="71"/>
      <c r="AQ269" s="71"/>
      <c r="AR269" s="78"/>
      <c r="AS269" s="71"/>
      <c r="AT269" s="78"/>
      <c r="AU269" s="78"/>
      <c r="AV269" s="78"/>
      <c r="AW269" s="78"/>
      <c r="AX269" s="71"/>
      <c r="AY269" s="71"/>
    </row>
    <row r="270" ht="16.5" customHeight="1">
      <c r="A270" s="71"/>
      <c r="B270" s="78"/>
      <c r="C270" s="78"/>
      <c r="D270" s="78"/>
      <c r="E270" s="78"/>
      <c r="F270" s="78"/>
      <c r="G270" s="78"/>
      <c r="H270" s="78"/>
      <c r="I270" s="71"/>
      <c r="J270" s="78"/>
      <c r="K270" s="78"/>
      <c r="L270" s="78"/>
      <c r="M270" s="78"/>
      <c r="N270" s="78"/>
      <c r="O270" s="78"/>
      <c r="P270" s="78"/>
      <c r="Q270" s="78"/>
      <c r="R270" s="78"/>
      <c r="S270" s="78"/>
      <c r="T270" s="71"/>
      <c r="U270" s="71"/>
      <c r="V270" s="78"/>
      <c r="W270" s="78"/>
      <c r="X270" s="78"/>
      <c r="Y270" s="78"/>
      <c r="Z270" s="78"/>
      <c r="AA270" s="73" t="str">
        <f>IF(Z270=0,"",AVERAGEIFS(data_num!B:B, data_num!D:D, Y270, data_num!K:K, 1))
</f>
        <v/>
      </c>
      <c r="AB270" s="71"/>
      <c r="AC270" s="71"/>
      <c r="AD270" s="78"/>
      <c r="AE270" s="78"/>
      <c r="AF270" s="71"/>
      <c r="AG270" s="75"/>
      <c r="AH270" s="78"/>
      <c r="AI270" s="71"/>
      <c r="AJ270" s="78"/>
      <c r="AK270" s="78"/>
      <c r="AL270" s="78"/>
      <c r="AM270" s="78"/>
      <c r="AN270" s="78"/>
      <c r="AO270" s="78"/>
      <c r="AP270" s="71"/>
      <c r="AQ270" s="71"/>
      <c r="AR270" s="78"/>
      <c r="AS270" s="71"/>
      <c r="AT270" s="78"/>
      <c r="AU270" s="78"/>
      <c r="AV270" s="78"/>
      <c r="AW270" s="78"/>
      <c r="AX270" s="71"/>
      <c r="AY270" s="71"/>
    </row>
    <row r="271" ht="16.5" customHeight="1">
      <c r="A271" s="71"/>
      <c r="B271" s="78"/>
      <c r="C271" s="78"/>
      <c r="D271" s="78"/>
      <c r="E271" s="78"/>
      <c r="F271" s="78"/>
      <c r="G271" s="78"/>
      <c r="H271" s="78"/>
      <c r="I271" s="71"/>
      <c r="J271" s="78"/>
      <c r="K271" s="78"/>
      <c r="L271" s="78"/>
      <c r="M271" s="78"/>
      <c r="N271" s="78"/>
      <c r="O271" s="78"/>
      <c r="P271" s="78"/>
      <c r="Q271" s="78"/>
      <c r="R271" s="78"/>
      <c r="S271" s="78"/>
      <c r="T271" s="71"/>
      <c r="U271" s="71"/>
      <c r="V271" s="78"/>
      <c r="W271" s="78"/>
      <c r="X271" s="78"/>
      <c r="Y271" s="78"/>
      <c r="Z271" s="78"/>
      <c r="AA271" s="73" t="str">
        <f>IF(Z271=0,"",AVERAGEIFS(data_num!B:B, data_num!D:D, Y271, data_num!K:K, 1))
</f>
        <v/>
      </c>
      <c r="AB271" s="71"/>
      <c r="AC271" s="71"/>
      <c r="AD271" s="78"/>
      <c r="AE271" s="78"/>
      <c r="AF271" s="71"/>
      <c r="AG271" s="75"/>
      <c r="AH271" s="78"/>
      <c r="AI271" s="71"/>
      <c r="AJ271" s="78"/>
      <c r="AK271" s="78"/>
      <c r="AL271" s="78"/>
      <c r="AM271" s="78"/>
      <c r="AN271" s="78"/>
      <c r="AO271" s="78"/>
      <c r="AP271" s="71"/>
      <c r="AQ271" s="71"/>
      <c r="AR271" s="78"/>
      <c r="AS271" s="71"/>
      <c r="AT271" s="78"/>
      <c r="AU271" s="78"/>
      <c r="AV271" s="78"/>
      <c r="AW271" s="78"/>
      <c r="AX271" s="71"/>
      <c r="AY271" s="71"/>
    </row>
    <row r="272" ht="16.5" customHeight="1">
      <c r="A272" s="71"/>
      <c r="B272" s="78"/>
      <c r="C272" s="78"/>
      <c r="D272" s="78"/>
      <c r="E272" s="78"/>
      <c r="F272" s="78"/>
      <c r="G272" s="78"/>
      <c r="H272" s="78"/>
      <c r="I272" s="71"/>
      <c r="J272" s="78"/>
      <c r="K272" s="78"/>
      <c r="L272" s="78"/>
      <c r="M272" s="78"/>
      <c r="N272" s="78"/>
      <c r="O272" s="78"/>
      <c r="P272" s="78"/>
      <c r="Q272" s="78"/>
      <c r="R272" s="78"/>
      <c r="S272" s="78"/>
      <c r="T272" s="71"/>
      <c r="U272" s="71"/>
      <c r="V272" s="78"/>
      <c r="W272" s="78"/>
      <c r="X272" s="78"/>
      <c r="Y272" s="78"/>
      <c r="Z272" s="78"/>
      <c r="AA272" s="73" t="str">
        <f>IF(Z272=0,"",AVERAGEIFS(data_num!B:B, data_num!D:D, Y272, data_num!K:K, 1))
</f>
        <v/>
      </c>
      <c r="AB272" s="71"/>
      <c r="AC272" s="71"/>
      <c r="AD272" s="78"/>
      <c r="AE272" s="78"/>
      <c r="AF272" s="71"/>
      <c r="AG272" s="75"/>
      <c r="AH272" s="78"/>
      <c r="AI272" s="71"/>
      <c r="AJ272" s="78"/>
      <c r="AK272" s="78"/>
      <c r="AL272" s="78"/>
      <c r="AM272" s="78"/>
      <c r="AN272" s="78"/>
      <c r="AO272" s="78"/>
      <c r="AP272" s="71"/>
      <c r="AQ272" s="71"/>
      <c r="AR272" s="78"/>
      <c r="AS272" s="71"/>
      <c r="AT272" s="78"/>
      <c r="AU272" s="78"/>
      <c r="AV272" s="78"/>
      <c r="AW272" s="78"/>
      <c r="AX272" s="71"/>
      <c r="AY272" s="71"/>
    </row>
    <row r="273" ht="16.5" customHeight="1">
      <c r="A273" s="71"/>
      <c r="B273" s="78"/>
      <c r="C273" s="78"/>
      <c r="D273" s="78"/>
      <c r="E273" s="78"/>
      <c r="F273" s="78"/>
      <c r="G273" s="78"/>
      <c r="H273" s="78"/>
      <c r="I273" s="71"/>
      <c r="J273" s="78"/>
      <c r="K273" s="78"/>
      <c r="L273" s="78"/>
      <c r="M273" s="78"/>
      <c r="N273" s="78"/>
      <c r="O273" s="78"/>
      <c r="P273" s="78"/>
      <c r="Q273" s="78"/>
      <c r="R273" s="78"/>
      <c r="S273" s="78"/>
      <c r="T273" s="71"/>
      <c r="U273" s="71"/>
      <c r="V273" s="78"/>
      <c r="W273" s="78"/>
      <c r="X273" s="78"/>
      <c r="Y273" s="78"/>
      <c r="Z273" s="78"/>
      <c r="AA273" s="73" t="str">
        <f>IF(Z273=0,"",AVERAGEIFS(data_num!B:B, data_num!D:D, Y273, data_num!K:K, 1))
</f>
        <v/>
      </c>
      <c r="AB273" s="71"/>
      <c r="AC273" s="71"/>
      <c r="AD273" s="78"/>
      <c r="AE273" s="78"/>
      <c r="AF273" s="71"/>
      <c r="AG273" s="75"/>
      <c r="AH273" s="78"/>
      <c r="AI273" s="71"/>
      <c r="AJ273" s="78"/>
      <c r="AK273" s="78"/>
      <c r="AL273" s="78"/>
      <c r="AM273" s="78"/>
      <c r="AN273" s="78"/>
      <c r="AO273" s="78"/>
      <c r="AP273" s="71"/>
      <c r="AQ273" s="71"/>
      <c r="AR273" s="78"/>
      <c r="AS273" s="71"/>
      <c r="AT273" s="78"/>
      <c r="AU273" s="78"/>
      <c r="AV273" s="78"/>
      <c r="AW273" s="78"/>
      <c r="AX273" s="71"/>
      <c r="AY273" s="71"/>
    </row>
    <row r="274" ht="16.5" customHeight="1">
      <c r="A274" s="71"/>
      <c r="B274" s="78"/>
      <c r="C274" s="78"/>
      <c r="D274" s="78"/>
      <c r="E274" s="78"/>
      <c r="F274" s="78"/>
      <c r="G274" s="78"/>
      <c r="H274" s="78"/>
      <c r="I274" s="71"/>
      <c r="J274" s="78"/>
      <c r="K274" s="78"/>
      <c r="L274" s="78"/>
      <c r="M274" s="78"/>
      <c r="N274" s="78"/>
      <c r="O274" s="78"/>
      <c r="P274" s="78"/>
      <c r="Q274" s="78"/>
      <c r="R274" s="78"/>
      <c r="S274" s="78"/>
      <c r="T274" s="71"/>
      <c r="U274" s="71"/>
      <c r="V274" s="78"/>
      <c r="W274" s="78"/>
      <c r="X274" s="78"/>
      <c r="Y274" s="78"/>
      <c r="Z274" s="78"/>
      <c r="AA274" s="73" t="str">
        <f>IF(Z274=0,"",AVERAGEIFS(data_num!B:B, data_num!D:D, Y274, data_num!K:K, 1))
</f>
        <v/>
      </c>
      <c r="AB274" s="71"/>
      <c r="AC274" s="71"/>
      <c r="AD274" s="78"/>
      <c r="AE274" s="78"/>
      <c r="AF274" s="71"/>
      <c r="AG274" s="75"/>
      <c r="AH274" s="78"/>
      <c r="AI274" s="71"/>
      <c r="AJ274" s="78"/>
      <c r="AK274" s="78"/>
      <c r="AL274" s="78"/>
      <c r="AM274" s="78"/>
      <c r="AN274" s="78"/>
      <c r="AO274" s="78"/>
      <c r="AP274" s="71"/>
      <c r="AQ274" s="71"/>
      <c r="AR274" s="78"/>
      <c r="AS274" s="71"/>
      <c r="AT274" s="78"/>
      <c r="AU274" s="78"/>
      <c r="AV274" s="78"/>
      <c r="AW274" s="78"/>
      <c r="AX274" s="71"/>
      <c r="AY274" s="71"/>
    </row>
    <row r="275" ht="16.5" customHeight="1">
      <c r="A275" s="71"/>
      <c r="B275" s="78"/>
      <c r="C275" s="78"/>
      <c r="D275" s="78"/>
      <c r="E275" s="78"/>
      <c r="F275" s="78"/>
      <c r="G275" s="78"/>
      <c r="H275" s="78"/>
      <c r="I275" s="71"/>
      <c r="J275" s="78"/>
      <c r="K275" s="78"/>
      <c r="L275" s="78"/>
      <c r="M275" s="78"/>
      <c r="N275" s="78"/>
      <c r="O275" s="78"/>
      <c r="P275" s="78"/>
      <c r="Q275" s="78"/>
      <c r="R275" s="78"/>
      <c r="S275" s="78"/>
      <c r="T275" s="71"/>
      <c r="U275" s="71"/>
      <c r="V275" s="78"/>
      <c r="W275" s="78"/>
      <c r="X275" s="78"/>
      <c r="Y275" s="78"/>
      <c r="Z275" s="78"/>
      <c r="AA275" s="73" t="str">
        <f>IF(Z275=0,"",AVERAGEIFS(data_num!B:B, data_num!D:D, Y275, data_num!K:K, 1))
</f>
        <v/>
      </c>
      <c r="AB275" s="71"/>
      <c r="AC275" s="71"/>
      <c r="AD275" s="78"/>
      <c r="AE275" s="78"/>
      <c r="AF275" s="71"/>
      <c r="AG275" s="75"/>
      <c r="AH275" s="78"/>
      <c r="AI275" s="71"/>
      <c r="AJ275" s="78"/>
      <c r="AK275" s="78"/>
      <c r="AL275" s="78"/>
      <c r="AM275" s="78"/>
      <c r="AN275" s="78"/>
      <c r="AO275" s="78"/>
      <c r="AP275" s="71"/>
      <c r="AQ275" s="71"/>
      <c r="AR275" s="78"/>
      <c r="AS275" s="71"/>
      <c r="AT275" s="78"/>
      <c r="AU275" s="78"/>
      <c r="AV275" s="78"/>
      <c r="AW275" s="78"/>
      <c r="AX275" s="71"/>
      <c r="AY275" s="71"/>
    </row>
    <row r="276" ht="16.5" customHeight="1">
      <c r="A276" s="71"/>
      <c r="B276" s="78"/>
      <c r="C276" s="78"/>
      <c r="D276" s="78"/>
      <c r="E276" s="78"/>
      <c r="F276" s="78"/>
      <c r="G276" s="78"/>
      <c r="H276" s="78"/>
      <c r="I276" s="71"/>
      <c r="J276" s="78"/>
      <c r="K276" s="78"/>
      <c r="L276" s="78"/>
      <c r="M276" s="78"/>
      <c r="N276" s="78"/>
      <c r="O276" s="78"/>
      <c r="P276" s="78"/>
      <c r="Q276" s="78"/>
      <c r="R276" s="78"/>
      <c r="S276" s="78"/>
      <c r="T276" s="71"/>
      <c r="U276" s="71"/>
      <c r="V276" s="78"/>
      <c r="W276" s="78"/>
      <c r="X276" s="78"/>
      <c r="Y276" s="78"/>
      <c r="Z276" s="78"/>
      <c r="AA276" s="73" t="str">
        <f>IF(Z276=0,"",AVERAGEIFS(data_num!B:B, data_num!D:D, Y276, data_num!K:K, 1))
</f>
        <v/>
      </c>
      <c r="AB276" s="71"/>
      <c r="AC276" s="71"/>
      <c r="AD276" s="78"/>
      <c r="AE276" s="78"/>
      <c r="AF276" s="71"/>
      <c r="AG276" s="75"/>
      <c r="AH276" s="78"/>
      <c r="AI276" s="71"/>
      <c r="AJ276" s="78"/>
      <c r="AK276" s="78"/>
      <c r="AL276" s="78"/>
      <c r="AM276" s="78"/>
      <c r="AN276" s="78"/>
      <c r="AO276" s="78"/>
      <c r="AP276" s="71"/>
      <c r="AQ276" s="71"/>
      <c r="AR276" s="78"/>
      <c r="AS276" s="71"/>
      <c r="AT276" s="78"/>
      <c r="AU276" s="78"/>
      <c r="AV276" s="78"/>
      <c r="AW276" s="78"/>
      <c r="AX276" s="71"/>
      <c r="AY276" s="71"/>
    </row>
    <row r="277" ht="16.5" customHeight="1">
      <c r="A277" s="71"/>
      <c r="B277" s="78"/>
      <c r="C277" s="78"/>
      <c r="D277" s="78"/>
      <c r="E277" s="78"/>
      <c r="F277" s="78"/>
      <c r="G277" s="78"/>
      <c r="H277" s="78"/>
      <c r="I277" s="71"/>
      <c r="J277" s="78"/>
      <c r="K277" s="78"/>
      <c r="L277" s="78"/>
      <c r="M277" s="78"/>
      <c r="N277" s="78"/>
      <c r="O277" s="78"/>
      <c r="P277" s="78"/>
      <c r="Q277" s="78"/>
      <c r="R277" s="78"/>
      <c r="S277" s="78"/>
      <c r="T277" s="71"/>
      <c r="U277" s="71"/>
      <c r="V277" s="78"/>
      <c r="W277" s="78"/>
      <c r="X277" s="78"/>
      <c r="Y277" s="78"/>
      <c r="Z277" s="78"/>
      <c r="AA277" s="73" t="str">
        <f>IF(Z277=0,"",AVERAGEIFS(data_num!B:B, data_num!D:D, Y277, data_num!K:K, 1))
</f>
        <v/>
      </c>
      <c r="AB277" s="71"/>
      <c r="AC277" s="71"/>
      <c r="AD277" s="78"/>
      <c r="AE277" s="78"/>
      <c r="AF277" s="71"/>
      <c r="AG277" s="75"/>
      <c r="AH277" s="78"/>
      <c r="AI277" s="71"/>
      <c r="AJ277" s="78"/>
      <c r="AK277" s="78"/>
      <c r="AL277" s="78"/>
      <c r="AM277" s="78"/>
      <c r="AN277" s="78"/>
      <c r="AO277" s="78"/>
      <c r="AP277" s="71"/>
      <c r="AQ277" s="71"/>
      <c r="AR277" s="78"/>
      <c r="AS277" s="71"/>
      <c r="AT277" s="78"/>
      <c r="AU277" s="78"/>
      <c r="AV277" s="78"/>
      <c r="AW277" s="78"/>
      <c r="AX277" s="71"/>
      <c r="AY277" s="71"/>
    </row>
    <row r="278" ht="16.5" customHeight="1">
      <c r="A278" s="71"/>
      <c r="B278" s="78"/>
      <c r="C278" s="78"/>
      <c r="D278" s="78"/>
      <c r="E278" s="78"/>
      <c r="F278" s="78"/>
      <c r="G278" s="78"/>
      <c r="H278" s="78"/>
      <c r="I278" s="71"/>
      <c r="J278" s="78"/>
      <c r="K278" s="78"/>
      <c r="L278" s="78"/>
      <c r="M278" s="78"/>
      <c r="N278" s="78"/>
      <c r="O278" s="78"/>
      <c r="P278" s="78"/>
      <c r="Q278" s="78"/>
      <c r="R278" s="78"/>
      <c r="S278" s="78"/>
      <c r="T278" s="71"/>
      <c r="U278" s="71"/>
      <c r="V278" s="78"/>
      <c r="W278" s="78"/>
      <c r="X278" s="78"/>
      <c r="Y278" s="78"/>
      <c r="Z278" s="78"/>
      <c r="AA278" s="73" t="str">
        <f>IF(Z278=0,"",AVERAGEIFS(data_num!B:B, data_num!D:D, Y278, data_num!K:K, 1))
</f>
        <v/>
      </c>
      <c r="AB278" s="71"/>
      <c r="AC278" s="71"/>
      <c r="AD278" s="78"/>
      <c r="AE278" s="78"/>
      <c r="AF278" s="71"/>
      <c r="AG278" s="75"/>
      <c r="AH278" s="78"/>
      <c r="AI278" s="71"/>
      <c r="AJ278" s="78"/>
      <c r="AK278" s="78"/>
      <c r="AL278" s="78"/>
      <c r="AM278" s="78"/>
      <c r="AN278" s="78"/>
      <c r="AO278" s="78"/>
      <c r="AP278" s="71"/>
      <c r="AQ278" s="71"/>
      <c r="AR278" s="78"/>
      <c r="AS278" s="71"/>
      <c r="AT278" s="78"/>
      <c r="AU278" s="78"/>
      <c r="AV278" s="78"/>
      <c r="AW278" s="78"/>
      <c r="AX278" s="71"/>
      <c r="AY278" s="71"/>
    </row>
    <row r="279" ht="16.5" customHeight="1">
      <c r="A279" s="71"/>
      <c r="B279" s="78"/>
      <c r="C279" s="78"/>
      <c r="D279" s="78"/>
      <c r="E279" s="78"/>
      <c r="F279" s="78"/>
      <c r="G279" s="78"/>
      <c r="H279" s="78"/>
      <c r="I279" s="71"/>
      <c r="J279" s="78"/>
      <c r="K279" s="78"/>
      <c r="L279" s="78"/>
      <c r="M279" s="78"/>
      <c r="N279" s="78"/>
      <c r="O279" s="78"/>
      <c r="P279" s="78"/>
      <c r="Q279" s="78"/>
      <c r="R279" s="78"/>
      <c r="S279" s="78"/>
      <c r="T279" s="71"/>
      <c r="U279" s="71"/>
      <c r="V279" s="78"/>
      <c r="W279" s="78"/>
      <c r="X279" s="78"/>
      <c r="Y279" s="78"/>
      <c r="Z279" s="78"/>
      <c r="AA279" s="73" t="str">
        <f>IF(Z279=0,"",AVERAGEIFS(data_num!B:B, data_num!D:D, Y279, data_num!K:K, 1))
</f>
        <v/>
      </c>
      <c r="AB279" s="71"/>
      <c r="AC279" s="71"/>
      <c r="AD279" s="78"/>
      <c r="AE279" s="78"/>
      <c r="AF279" s="71"/>
      <c r="AG279" s="75"/>
      <c r="AH279" s="78"/>
      <c r="AI279" s="71"/>
      <c r="AJ279" s="78"/>
      <c r="AK279" s="78"/>
      <c r="AL279" s="78"/>
      <c r="AM279" s="78"/>
      <c r="AN279" s="78"/>
      <c r="AO279" s="78"/>
      <c r="AP279" s="71"/>
      <c r="AQ279" s="71"/>
      <c r="AR279" s="78"/>
      <c r="AS279" s="71"/>
      <c r="AT279" s="78"/>
      <c r="AU279" s="78"/>
      <c r="AV279" s="78"/>
      <c r="AW279" s="78"/>
      <c r="AX279" s="71"/>
      <c r="AY279" s="71"/>
    </row>
    <row r="280" ht="16.5" customHeight="1">
      <c r="A280" s="71"/>
      <c r="B280" s="78"/>
      <c r="C280" s="78"/>
      <c r="D280" s="78"/>
      <c r="E280" s="78"/>
      <c r="F280" s="78"/>
      <c r="G280" s="78"/>
      <c r="H280" s="78"/>
      <c r="I280" s="71"/>
      <c r="J280" s="78"/>
      <c r="K280" s="78"/>
      <c r="L280" s="78"/>
      <c r="M280" s="78"/>
      <c r="N280" s="78"/>
      <c r="O280" s="78"/>
      <c r="P280" s="78"/>
      <c r="Q280" s="78"/>
      <c r="R280" s="78"/>
      <c r="S280" s="78"/>
      <c r="T280" s="71"/>
      <c r="U280" s="71"/>
      <c r="V280" s="78"/>
      <c r="W280" s="78"/>
      <c r="X280" s="78"/>
      <c r="Y280" s="78"/>
      <c r="Z280" s="78"/>
      <c r="AA280" s="73" t="str">
        <f>IF(Z280=0,"",AVERAGEIFS(data_num!B:B, data_num!D:D, Y280, data_num!K:K, 1))
</f>
        <v/>
      </c>
      <c r="AB280" s="71"/>
      <c r="AC280" s="71"/>
      <c r="AD280" s="78"/>
      <c r="AE280" s="78"/>
      <c r="AF280" s="71"/>
      <c r="AG280" s="75"/>
      <c r="AH280" s="78"/>
      <c r="AI280" s="71"/>
      <c r="AJ280" s="78"/>
      <c r="AK280" s="78"/>
      <c r="AL280" s="78"/>
      <c r="AM280" s="78"/>
      <c r="AN280" s="78"/>
      <c r="AO280" s="78"/>
      <c r="AP280" s="71"/>
      <c r="AQ280" s="71"/>
      <c r="AR280" s="78"/>
      <c r="AS280" s="71"/>
      <c r="AT280" s="78"/>
      <c r="AU280" s="78"/>
      <c r="AV280" s="78"/>
      <c r="AW280" s="78"/>
      <c r="AX280" s="71"/>
      <c r="AY280" s="71"/>
    </row>
    <row r="281" ht="16.5" customHeight="1">
      <c r="A281" s="71"/>
      <c r="B281" s="78"/>
      <c r="C281" s="78"/>
      <c r="D281" s="78"/>
      <c r="E281" s="78"/>
      <c r="F281" s="78"/>
      <c r="G281" s="78"/>
      <c r="H281" s="78"/>
      <c r="I281" s="71"/>
      <c r="J281" s="78"/>
      <c r="K281" s="78"/>
      <c r="L281" s="78"/>
      <c r="M281" s="78"/>
      <c r="N281" s="78"/>
      <c r="O281" s="78"/>
      <c r="P281" s="78"/>
      <c r="Q281" s="78"/>
      <c r="R281" s="78"/>
      <c r="S281" s="78"/>
      <c r="T281" s="71"/>
      <c r="U281" s="71"/>
      <c r="V281" s="78"/>
      <c r="W281" s="78"/>
      <c r="X281" s="78"/>
      <c r="Y281" s="78"/>
      <c r="Z281" s="78"/>
      <c r="AA281" s="73" t="str">
        <f>IF(Z281=0,"",AVERAGEIFS(data_num!B:B, data_num!D:D, Y281, data_num!K:K, 1))
</f>
        <v/>
      </c>
      <c r="AB281" s="71"/>
      <c r="AC281" s="71"/>
      <c r="AD281" s="78"/>
      <c r="AE281" s="78"/>
      <c r="AF281" s="71"/>
      <c r="AG281" s="75"/>
      <c r="AH281" s="78"/>
      <c r="AI281" s="71"/>
      <c r="AJ281" s="78"/>
      <c r="AK281" s="78"/>
      <c r="AL281" s="78"/>
      <c r="AM281" s="78"/>
      <c r="AN281" s="78"/>
      <c r="AO281" s="78"/>
      <c r="AP281" s="71"/>
      <c r="AQ281" s="71"/>
      <c r="AR281" s="78"/>
      <c r="AS281" s="71"/>
      <c r="AT281" s="78"/>
      <c r="AU281" s="78"/>
      <c r="AV281" s="78"/>
      <c r="AW281" s="78"/>
      <c r="AX281" s="71"/>
      <c r="AY281" s="71"/>
    </row>
    <row r="282" ht="16.5" customHeight="1">
      <c r="A282" s="71"/>
      <c r="B282" s="78"/>
      <c r="C282" s="78"/>
      <c r="D282" s="78"/>
      <c r="E282" s="78"/>
      <c r="F282" s="78"/>
      <c r="G282" s="78"/>
      <c r="H282" s="78"/>
      <c r="I282" s="71"/>
      <c r="J282" s="78"/>
      <c r="K282" s="78"/>
      <c r="L282" s="78"/>
      <c r="M282" s="78"/>
      <c r="N282" s="78"/>
      <c r="O282" s="78"/>
      <c r="P282" s="78"/>
      <c r="Q282" s="78"/>
      <c r="R282" s="78"/>
      <c r="S282" s="78"/>
      <c r="T282" s="71"/>
      <c r="U282" s="71"/>
      <c r="V282" s="78"/>
      <c r="W282" s="78"/>
      <c r="X282" s="78"/>
      <c r="Y282" s="78"/>
      <c r="Z282" s="78"/>
      <c r="AA282" s="73" t="str">
        <f>IF(Z282=0,"",AVERAGEIFS(data_num!B:B, data_num!D:D, Y282, data_num!K:K, 1))
</f>
        <v/>
      </c>
      <c r="AB282" s="71"/>
      <c r="AC282" s="71"/>
      <c r="AD282" s="78"/>
      <c r="AE282" s="78"/>
      <c r="AF282" s="71"/>
      <c r="AG282" s="75"/>
      <c r="AH282" s="78"/>
      <c r="AI282" s="71"/>
      <c r="AJ282" s="78"/>
      <c r="AK282" s="78"/>
      <c r="AL282" s="78"/>
      <c r="AM282" s="78"/>
      <c r="AN282" s="78"/>
      <c r="AO282" s="78"/>
      <c r="AP282" s="71"/>
      <c r="AQ282" s="71"/>
      <c r="AR282" s="78"/>
      <c r="AS282" s="71"/>
      <c r="AT282" s="78"/>
      <c r="AU282" s="78"/>
      <c r="AV282" s="78"/>
      <c r="AW282" s="78"/>
      <c r="AX282" s="71"/>
      <c r="AY282" s="71"/>
    </row>
    <row r="283" ht="16.5" customHeight="1">
      <c r="A283" s="71"/>
      <c r="B283" s="78"/>
      <c r="C283" s="78"/>
      <c r="D283" s="78"/>
      <c r="E283" s="78"/>
      <c r="F283" s="78"/>
      <c r="G283" s="78"/>
      <c r="H283" s="78"/>
      <c r="I283" s="71"/>
      <c r="J283" s="78"/>
      <c r="K283" s="78"/>
      <c r="L283" s="78"/>
      <c r="M283" s="78"/>
      <c r="N283" s="78"/>
      <c r="O283" s="78"/>
      <c r="P283" s="78"/>
      <c r="Q283" s="78"/>
      <c r="R283" s="78"/>
      <c r="S283" s="78"/>
      <c r="T283" s="71"/>
      <c r="U283" s="71"/>
      <c r="V283" s="78"/>
      <c r="W283" s="78"/>
      <c r="X283" s="78"/>
      <c r="Y283" s="78"/>
      <c r="Z283" s="78"/>
      <c r="AA283" s="73" t="str">
        <f>IF(Z283=0,"",AVERAGEIFS(data_num!B:B, data_num!D:D, Y283, data_num!K:K, 1))
</f>
        <v/>
      </c>
      <c r="AB283" s="71"/>
      <c r="AC283" s="71"/>
      <c r="AD283" s="78"/>
      <c r="AE283" s="78"/>
      <c r="AF283" s="71"/>
      <c r="AG283" s="75"/>
      <c r="AH283" s="78"/>
      <c r="AI283" s="71"/>
      <c r="AJ283" s="78"/>
      <c r="AK283" s="78"/>
      <c r="AL283" s="78"/>
      <c r="AM283" s="78"/>
      <c r="AN283" s="78"/>
      <c r="AO283" s="78"/>
      <c r="AP283" s="71"/>
      <c r="AQ283" s="71"/>
      <c r="AR283" s="78"/>
      <c r="AS283" s="71"/>
      <c r="AT283" s="78"/>
      <c r="AU283" s="78"/>
      <c r="AV283" s="78"/>
      <c r="AW283" s="78"/>
      <c r="AX283" s="71"/>
      <c r="AY283" s="71"/>
    </row>
    <row r="284" ht="16.5" customHeight="1">
      <c r="A284" s="71"/>
      <c r="B284" s="78"/>
      <c r="C284" s="78"/>
      <c r="D284" s="78"/>
      <c r="E284" s="78"/>
      <c r="F284" s="78"/>
      <c r="G284" s="78"/>
      <c r="H284" s="78"/>
      <c r="I284" s="71"/>
      <c r="J284" s="78"/>
      <c r="K284" s="78"/>
      <c r="L284" s="78"/>
      <c r="M284" s="78"/>
      <c r="N284" s="78"/>
      <c r="O284" s="78"/>
      <c r="P284" s="78"/>
      <c r="Q284" s="78"/>
      <c r="R284" s="78"/>
      <c r="S284" s="78"/>
      <c r="T284" s="71"/>
      <c r="U284" s="71"/>
      <c r="V284" s="78"/>
      <c r="W284" s="78"/>
      <c r="X284" s="78"/>
      <c r="Y284" s="78"/>
      <c r="Z284" s="78"/>
      <c r="AA284" s="73" t="str">
        <f>IF(Z284=0,"",AVERAGEIFS(data_num!B:B, data_num!D:D, Y284, data_num!K:K, 1))
</f>
        <v/>
      </c>
      <c r="AB284" s="71"/>
      <c r="AC284" s="71"/>
      <c r="AD284" s="78"/>
      <c r="AE284" s="78"/>
      <c r="AF284" s="71"/>
      <c r="AG284" s="75"/>
      <c r="AH284" s="78"/>
      <c r="AI284" s="71"/>
      <c r="AJ284" s="78"/>
      <c r="AK284" s="78"/>
      <c r="AL284" s="78"/>
      <c r="AM284" s="78"/>
      <c r="AN284" s="78"/>
      <c r="AO284" s="78"/>
      <c r="AP284" s="71"/>
      <c r="AQ284" s="71"/>
      <c r="AR284" s="78"/>
      <c r="AS284" s="71"/>
      <c r="AT284" s="78"/>
      <c r="AU284" s="78"/>
      <c r="AV284" s="78"/>
      <c r="AW284" s="78"/>
      <c r="AX284" s="71"/>
      <c r="AY284" s="71"/>
    </row>
    <row r="285" ht="16.5" customHeight="1">
      <c r="A285" s="71"/>
      <c r="B285" s="78"/>
      <c r="C285" s="78"/>
      <c r="D285" s="78"/>
      <c r="E285" s="78"/>
      <c r="F285" s="78"/>
      <c r="G285" s="78"/>
      <c r="H285" s="78"/>
      <c r="I285" s="71"/>
      <c r="J285" s="78"/>
      <c r="K285" s="78"/>
      <c r="L285" s="78"/>
      <c r="M285" s="78"/>
      <c r="N285" s="78"/>
      <c r="O285" s="78"/>
      <c r="P285" s="78"/>
      <c r="Q285" s="78"/>
      <c r="R285" s="78"/>
      <c r="S285" s="78"/>
      <c r="T285" s="71"/>
      <c r="U285" s="71"/>
      <c r="V285" s="78"/>
      <c r="W285" s="78"/>
      <c r="X285" s="78"/>
      <c r="Y285" s="78"/>
      <c r="Z285" s="78"/>
      <c r="AA285" s="73" t="str">
        <f>IF(Z285=0,"",AVERAGEIFS(data_num!B:B, data_num!D:D, Y285, data_num!K:K, 1))
</f>
        <v/>
      </c>
      <c r="AB285" s="71"/>
      <c r="AC285" s="71"/>
      <c r="AD285" s="78"/>
      <c r="AE285" s="78"/>
      <c r="AF285" s="71"/>
      <c r="AG285" s="75"/>
      <c r="AH285" s="78"/>
      <c r="AI285" s="71"/>
      <c r="AJ285" s="78"/>
      <c r="AK285" s="78"/>
      <c r="AL285" s="78"/>
      <c r="AM285" s="78"/>
      <c r="AN285" s="78"/>
      <c r="AO285" s="78"/>
      <c r="AP285" s="71"/>
      <c r="AQ285" s="71"/>
      <c r="AR285" s="78"/>
      <c r="AS285" s="71"/>
      <c r="AT285" s="78"/>
      <c r="AU285" s="78"/>
      <c r="AV285" s="78"/>
      <c r="AW285" s="78"/>
      <c r="AX285" s="71"/>
      <c r="AY285" s="71"/>
    </row>
    <row r="286" ht="16.5" customHeight="1">
      <c r="A286" s="71"/>
      <c r="B286" s="78"/>
      <c r="C286" s="78"/>
      <c r="D286" s="78"/>
      <c r="E286" s="78"/>
      <c r="F286" s="78"/>
      <c r="G286" s="78"/>
      <c r="H286" s="78"/>
      <c r="I286" s="71"/>
      <c r="J286" s="78"/>
      <c r="K286" s="78"/>
      <c r="L286" s="78"/>
      <c r="M286" s="78"/>
      <c r="N286" s="78"/>
      <c r="O286" s="78"/>
      <c r="P286" s="78"/>
      <c r="Q286" s="78"/>
      <c r="R286" s="78"/>
      <c r="S286" s="78"/>
      <c r="T286" s="71"/>
      <c r="U286" s="71"/>
      <c r="V286" s="78"/>
      <c r="W286" s="78"/>
      <c r="X286" s="78"/>
      <c r="Y286" s="78"/>
      <c r="Z286" s="78"/>
      <c r="AA286" s="73" t="str">
        <f>IF(Z286=0,"",AVERAGEIFS(data_num!B:B, data_num!D:D, Y286, data_num!K:K, 1))
</f>
        <v/>
      </c>
      <c r="AB286" s="71"/>
      <c r="AC286" s="71"/>
      <c r="AD286" s="78"/>
      <c r="AE286" s="78"/>
      <c r="AF286" s="71"/>
      <c r="AG286" s="75"/>
      <c r="AH286" s="78"/>
      <c r="AI286" s="71"/>
      <c r="AJ286" s="78"/>
      <c r="AK286" s="78"/>
      <c r="AL286" s="78"/>
      <c r="AM286" s="78"/>
      <c r="AN286" s="78"/>
      <c r="AO286" s="78"/>
      <c r="AP286" s="71"/>
      <c r="AQ286" s="71"/>
      <c r="AR286" s="78"/>
      <c r="AS286" s="71"/>
      <c r="AT286" s="78"/>
      <c r="AU286" s="78"/>
      <c r="AV286" s="78"/>
      <c r="AW286" s="78"/>
      <c r="AX286" s="71"/>
      <c r="AY286" s="71"/>
    </row>
    <row r="287" ht="16.5" customHeight="1">
      <c r="A287" s="71"/>
      <c r="B287" s="78"/>
      <c r="C287" s="78"/>
      <c r="D287" s="78"/>
      <c r="E287" s="78"/>
      <c r="F287" s="78"/>
      <c r="G287" s="78"/>
      <c r="H287" s="78"/>
      <c r="I287" s="71"/>
      <c r="J287" s="78"/>
      <c r="K287" s="78"/>
      <c r="L287" s="78"/>
      <c r="M287" s="78"/>
      <c r="N287" s="78"/>
      <c r="O287" s="78"/>
      <c r="P287" s="78"/>
      <c r="Q287" s="78"/>
      <c r="R287" s="78"/>
      <c r="S287" s="78"/>
      <c r="T287" s="71"/>
      <c r="U287" s="71"/>
      <c r="V287" s="78"/>
      <c r="W287" s="78"/>
      <c r="X287" s="78"/>
      <c r="Y287" s="78"/>
      <c r="Z287" s="78"/>
      <c r="AA287" s="73" t="str">
        <f>IF(Z287=0,"",AVERAGEIFS(data_num!B:B, data_num!D:D, Y287, data_num!K:K, 1))
</f>
        <v/>
      </c>
      <c r="AB287" s="71"/>
      <c r="AC287" s="71"/>
      <c r="AD287" s="78"/>
      <c r="AE287" s="78"/>
      <c r="AF287" s="71"/>
      <c r="AG287" s="75"/>
      <c r="AH287" s="78"/>
      <c r="AI287" s="71"/>
      <c r="AJ287" s="78"/>
      <c r="AK287" s="78"/>
      <c r="AL287" s="78"/>
      <c r="AM287" s="78"/>
      <c r="AN287" s="78"/>
      <c r="AO287" s="78"/>
      <c r="AP287" s="71"/>
      <c r="AQ287" s="71"/>
      <c r="AR287" s="78"/>
      <c r="AS287" s="71"/>
      <c r="AT287" s="78"/>
      <c r="AU287" s="78"/>
      <c r="AV287" s="78"/>
      <c r="AW287" s="78"/>
      <c r="AX287" s="71"/>
      <c r="AY287" s="71"/>
    </row>
    <row r="288" ht="16.5" customHeight="1">
      <c r="A288" s="71"/>
      <c r="B288" s="78"/>
      <c r="C288" s="78"/>
      <c r="D288" s="78"/>
      <c r="E288" s="78"/>
      <c r="F288" s="78"/>
      <c r="G288" s="78"/>
      <c r="H288" s="78"/>
      <c r="I288" s="71"/>
      <c r="J288" s="78"/>
      <c r="K288" s="78"/>
      <c r="L288" s="78"/>
      <c r="M288" s="78"/>
      <c r="N288" s="78"/>
      <c r="O288" s="78"/>
      <c r="P288" s="78"/>
      <c r="Q288" s="78"/>
      <c r="R288" s="78"/>
      <c r="S288" s="78"/>
      <c r="T288" s="71"/>
      <c r="U288" s="71"/>
      <c r="V288" s="78"/>
      <c r="W288" s="78"/>
      <c r="X288" s="78"/>
      <c r="Y288" s="78"/>
      <c r="Z288" s="78"/>
      <c r="AA288" s="73" t="str">
        <f>IF(Z288=0,"",AVERAGEIFS(data_num!B:B, data_num!D:D, Y288, data_num!K:K, 1))
</f>
        <v/>
      </c>
      <c r="AB288" s="71"/>
      <c r="AC288" s="71"/>
      <c r="AD288" s="78"/>
      <c r="AE288" s="78"/>
      <c r="AF288" s="71"/>
      <c r="AG288" s="75"/>
      <c r="AH288" s="78"/>
      <c r="AI288" s="71"/>
      <c r="AJ288" s="78"/>
      <c r="AK288" s="78"/>
      <c r="AL288" s="78"/>
      <c r="AM288" s="78"/>
      <c r="AN288" s="78"/>
      <c r="AO288" s="78"/>
      <c r="AP288" s="71"/>
      <c r="AQ288" s="71"/>
      <c r="AR288" s="78"/>
      <c r="AS288" s="71"/>
      <c r="AT288" s="78"/>
      <c r="AU288" s="78"/>
      <c r="AV288" s="78"/>
      <c r="AW288" s="78"/>
      <c r="AX288" s="71"/>
      <c r="AY288" s="71"/>
    </row>
    <row r="289" ht="16.5" customHeight="1">
      <c r="A289" s="71"/>
      <c r="B289" s="78"/>
      <c r="C289" s="78"/>
      <c r="D289" s="78"/>
      <c r="E289" s="78"/>
      <c r="F289" s="78"/>
      <c r="G289" s="78"/>
      <c r="H289" s="78"/>
      <c r="I289" s="71"/>
      <c r="J289" s="78"/>
      <c r="K289" s="78"/>
      <c r="L289" s="78"/>
      <c r="M289" s="78"/>
      <c r="N289" s="78"/>
      <c r="O289" s="78"/>
      <c r="P289" s="78"/>
      <c r="Q289" s="78"/>
      <c r="R289" s="78"/>
      <c r="S289" s="78"/>
      <c r="T289" s="71"/>
      <c r="U289" s="71"/>
      <c r="V289" s="78"/>
      <c r="W289" s="78"/>
      <c r="X289" s="78"/>
      <c r="Y289" s="78"/>
      <c r="Z289" s="78"/>
      <c r="AA289" s="73" t="str">
        <f>IF(Z289=0,"",AVERAGEIFS(data_num!B:B, data_num!D:D, Y289, data_num!K:K, 1))
</f>
        <v/>
      </c>
      <c r="AB289" s="71"/>
      <c r="AC289" s="71"/>
      <c r="AD289" s="78"/>
      <c r="AE289" s="78"/>
      <c r="AF289" s="71"/>
      <c r="AG289" s="75"/>
      <c r="AH289" s="78"/>
      <c r="AI289" s="71"/>
      <c r="AJ289" s="78"/>
      <c r="AK289" s="78"/>
      <c r="AL289" s="78"/>
      <c r="AM289" s="78"/>
      <c r="AN289" s="78"/>
      <c r="AO289" s="78"/>
      <c r="AP289" s="71"/>
      <c r="AQ289" s="71"/>
      <c r="AR289" s="78"/>
      <c r="AS289" s="71"/>
      <c r="AT289" s="78"/>
      <c r="AU289" s="78"/>
      <c r="AV289" s="78"/>
      <c r="AW289" s="78"/>
      <c r="AX289" s="71"/>
      <c r="AY289" s="71"/>
    </row>
    <row r="290" ht="16.5" customHeight="1">
      <c r="A290" s="71"/>
      <c r="B290" s="78"/>
      <c r="C290" s="78"/>
      <c r="D290" s="78"/>
      <c r="E290" s="78"/>
      <c r="F290" s="78"/>
      <c r="G290" s="78"/>
      <c r="H290" s="78"/>
      <c r="I290" s="71"/>
      <c r="J290" s="78"/>
      <c r="K290" s="78"/>
      <c r="L290" s="78"/>
      <c r="M290" s="78"/>
      <c r="N290" s="78"/>
      <c r="O290" s="78"/>
      <c r="P290" s="78"/>
      <c r="Q290" s="78"/>
      <c r="R290" s="78"/>
      <c r="S290" s="78"/>
      <c r="T290" s="71"/>
      <c r="U290" s="71"/>
      <c r="V290" s="78"/>
      <c r="W290" s="78"/>
      <c r="X290" s="78"/>
      <c r="Y290" s="78"/>
      <c r="Z290" s="78"/>
      <c r="AA290" s="73" t="str">
        <f>IF(Z290=0,"",AVERAGEIFS(data_num!B:B, data_num!D:D, Y290, data_num!K:K, 1))
</f>
        <v/>
      </c>
      <c r="AB290" s="71"/>
      <c r="AC290" s="71"/>
      <c r="AD290" s="78"/>
      <c r="AE290" s="78"/>
      <c r="AF290" s="71"/>
      <c r="AG290" s="75"/>
      <c r="AH290" s="78"/>
      <c r="AI290" s="71"/>
      <c r="AJ290" s="78"/>
      <c r="AK290" s="78"/>
      <c r="AL290" s="78"/>
      <c r="AM290" s="78"/>
      <c r="AN290" s="78"/>
      <c r="AO290" s="78"/>
      <c r="AP290" s="71"/>
      <c r="AQ290" s="71"/>
      <c r="AR290" s="78"/>
      <c r="AS290" s="71"/>
      <c r="AT290" s="78"/>
      <c r="AU290" s="78"/>
      <c r="AV290" s="78"/>
      <c r="AW290" s="78"/>
      <c r="AX290" s="71"/>
      <c r="AY290" s="71"/>
    </row>
    <row r="291" ht="16.5" customHeight="1">
      <c r="A291" s="71"/>
      <c r="B291" s="78"/>
      <c r="C291" s="78"/>
      <c r="D291" s="78"/>
      <c r="E291" s="78"/>
      <c r="F291" s="78"/>
      <c r="G291" s="78"/>
      <c r="H291" s="78"/>
      <c r="I291" s="71"/>
      <c r="J291" s="78"/>
      <c r="K291" s="78"/>
      <c r="L291" s="78"/>
      <c r="M291" s="78"/>
      <c r="N291" s="78"/>
      <c r="O291" s="78"/>
      <c r="P291" s="78"/>
      <c r="Q291" s="78"/>
      <c r="R291" s="78"/>
      <c r="S291" s="78"/>
      <c r="T291" s="71"/>
      <c r="U291" s="71"/>
      <c r="V291" s="78"/>
      <c r="W291" s="78"/>
      <c r="X291" s="78"/>
      <c r="Y291" s="78"/>
      <c r="Z291" s="78"/>
      <c r="AA291" s="73" t="str">
        <f>IF(Z291=0,"",AVERAGEIFS(data_num!B:B, data_num!D:D, Y291, data_num!K:K, 1))
</f>
        <v/>
      </c>
      <c r="AB291" s="71"/>
      <c r="AC291" s="71"/>
      <c r="AD291" s="78"/>
      <c r="AE291" s="78"/>
      <c r="AF291" s="71"/>
      <c r="AG291" s="75"/>
      <c r="AH291" s="78"/>
      <c r="AI291" s="71"/>
      <c r="AJ291" s="78"/>
      <c r="AK291" s="78"/>
      <c r="AL291" s="78"/>
      <c r="AM291" s="78"/>
      <c r="AN291" s="78"/>
      <c r="AO291" s="78"/>
      <c r="AP291" s="71"/>
      <c r="AQ291" s="71"/>
      <c r="AR291" s="78"/>
      <c r="AS291" s="71"/>
      <c r="AT291" s="78"/>
      <c r="AU291" s="78"/>
      <c r="AV291" s="78"/>
      <c r="AW291" s="78"/>
      <c r="AX291" s="71"/>
      <c r="AY291" s="71"/>
    </row>
    <row r="292" ht="16.5" customHeight="1">
      <c r="A292" s="71"/>
      <c r="B292" s="78"/>
      <c r="C292" s="78"/>
      <c r="D292" s="78"/>
      <c r="E292" s="78"/>
      <c r="F292" s="78"/>
      <c r="G292" s="78"/>
      <c r="H292" s="78"/>
      <c r="I292" s="71"/>
      <c r="J292" s="78"/>
      <c r="K292" s="78"/>
      <c r="L292" s="78"/>
      <c r="M292" s="78"/>
      <c r="N292" s="78"/>
      <c r="O292" s="78"/>
      <c r="P292" s="78"/>
      <c r="Q292" s="78"/>
      <c r="R292" s="78"/>
      <c r="S292" s="78"/>
      <c r="T292" s="71"/>
      <c r="U292" s="71"/>
      <c r="V292" s="78"/>
      <c r="W292" s="78"/>
      <c r="X292" s="78"/>
      <c r="Y292" s="78"/>
      <c r="Z292" s="78"/>
      <c r="AA292" s="73" t="str">
        <f>IF(Z292=0,"",AVERAGEIFS(data_num!B:B, data_num!D:D, Y292, data_num!K:K, 1))
</f>
        <v/>
      </c>
      <c r="AB292" s="71"/>
      <c r="AC292" s="71"/>
      <c r="AD292" s="78"/>
      <c r="AE292" s="78"/>
      <c r="AF292" s="71"/>
      <c r="AG292" s="75"/>
      <c r="AH292" s="78"/>
      <c r="AI292" s="71"/>
      <c r="AJ292" s="78"/>
      <c r="AK292" s="78"/>
      <c r="AL292" s="78"/>
      <c r="AM292" s="78"/>
      <c r="AN292" s="78"/>
      <c r="AO292" s="78"/>
      <c r="AP292" s="71"/>
      <c r="AQ292" s="71"/>
      <c r="AR292" s="78"/>
      <c r="AS292" s="71"/>
      <c r="AT292" s="78"/>
      <c r="AU292" s="78"/>
      <c r="AV292" s="78"/>
      <c r="AW292" s="78"/>
      <c r="AX292" s="71"/>
      <c r="AY292" s="71"/>
    </row>
    <row r="293" ht="16.5" customHeight="1">
      <c r="A293" s="71"/>
      <c r="B293" s="78"/>
      <c r="C293" s="78"/>
      <c r="D293" s="78"/>
      <c r="E293" s="78"/>
      <c r="F293" s="78"/>
      <c r="G293" s="78"/>
      <c r="H293" s="78"/>
      <c r="I293" s="71"/>
      <c r="J293" s="78"/>
      <c r="K293" s="78"/>
      <c r="L293" s="78"/>
      <c r="M293" s="78"/>
      <c r="N293" s="78"/>
      <c r="O293" s="78"/>
      <c r="P293" s="78"/>
      <c r="Q293" s="78"/>
      <c r="R293" s="78"/>
      <c r="S293" s="78"/>
      <c r="T293" s="71"/>
      <c r="U293" s="71"/>
      <c r="V293" s="78"/>
      <c r="W293" s="78"/>
      <c r="X293" s="78"/>
      <c r="Y293" s="78"/>
      <c r="Z293" s="78"/>
      <c r="AA293" s="73" t="str">
        <f>IF(Z293=0,"",AVERAGEIFS(data_num!B:B, data_num!D:D, Y293, data_num!K:K, 1))
</f>
        <v/>
      </c>
      <c r="AB293" s="71"/>
      <c r="AC293" s="71"/>
      <c r="AD293" s="78"/>
      <c r="AE293" s="78"/>
      <c r="AF293" s="71"/>
      <c r="AG293" s="75"/>
      <c r="AH293" s="78"/>
      <c r="AI293" s="71"/>
      <c r="AJ293" s="78"/>
      <c r="AK293" s="78"/>
      <c r="AL293" s="78"/>
      <c r="AM293" s="78"/>
      <c r="AN293" s="78"/>
      <c r="AO293" s="78"/>
      <c r="AP293" s="71"/>
      <c r="AQ293" s="71"/>
      <c r="AR293" s="78"/>
      <c r="AS293" s="71"/>
      <c r="AT293" s="78"/>
      <c r="AU293" s="78"/>
      <c r="AV293" s="78"/>
      <c r="AW293" s="78"/>
      <c r="AX293" s="71"/>
      <c r="AY293" s="71"/>
    </row>
    <row r="294" ht="16.5" customHeight="1">
      <c r="A294" s="71"/>
      <c r="B294" s="78"/>
      <c r="C294" s="78"/>
      <c r="D294" s="78"/>
      <c r="E294" s="78"/>
      <c r="F294" s="78"/>
      <c r="G294" s="78"/>
      <c r="H294" s="78"/>
      <c r="I294" s="71"/>
      <c r="J294" s="78"/>
      <c r="K294" s="78"/>
      <c r="L294" s="78"/>
      <c r="M294" s="78"/>
      <c r="N294" s="78"/>
      <c r="O294" s="78"/>
      <c r="P294" s="78"/>
      <c r="Q294" s="78"/>
      <c r="R294" s="78"/>
      <c r="S294" s="78"/>
      <c r="T294" s="71"/>
      <c r="U294" s="71"/>
      <c r="V294" s="78"/>
      <c r="W294" s="78"/>
      <c r="X294" s="78"/>
      <c r="Y294" s="78"/>
      <c r="Z294" s="78"/>
      <c r="AA294" s="73" t="str">
        <f>IF(Z294=0,"",AVERAGEIFS(data_num!B:B, data_num!D:D, Y294, data_num!K:K, 1))
</f>
        <v/>
      </c>
      <c r="AB294" s="71"/>
      <c r="AC294" s="71"/>
      <c r="AD294" s="78"/>
      <c r="AE294" s="78"/>
      <c r="AF294" s="71"/>
      <c r="AG294" s="75"/>
      <c r="AH294" s="78"/>
      <c r="AI294" s="71"/>
      <c r="AJ294" s="78"/>
      <c r="AK294" s="78"/>
      <c r="AL294" s="78"/>
      <c r="AM294" s="78"/>
      <c r="AN294" s="78"/>
      <c r="AO294" s="78"/>
      <c r="AP294" s="71"/>
      <c r="AQ294" s="71"/>
      <c r="AR294" s="78"/>
      <c r="AS294" s="71"/>
      <c r="AT294" s="78"/>
      <c r="AU294" s="78"/>
      <c r="AV294" s="78"/>
      <c r="AW294" s="78"/>
      <c r="AX294" s="71"/>
      <c r="AY294" s="71"/>
    </row>
    <row r="295" ht="16.5" customHeight="1">
      <c r="A295" s="71"/>
      <c r="B295" s="78"/>
      <c r="C295" s="78"/>
      <c r="D295" s="78"/>
      <c r="E295" s="78"/>
      <c r="F295" s="78"/>
      <c r="G295" s="78"/>
      <c r="H295" s="78"/>
      <c r="I295" s="71"/>
      <c r="J295" s="78"/>
      <c r="K295" s="78"/>
      <c r="L295" s="78"/>
      <c r="M295" s="78"/>
      <c r="N295" s="78"/>
      <c r="O295" s="78"/>
      <c r="P295" s="78"/>
      <c r="Q295" s="78"/>
      <c r="R295" s="78"/>
      <c r="S295" s="78"/>
      <c r="T295" s="71"/>
      <c r="U295" s="71"/>
      <c r="V295" s="78"/>
      <c r="W295" s="78"/>
      <c r="X295" s="78"/>
      <c r="Y295" s="78"/>
      <c r="Z295" s="78"/>
      <c r="AA295" s="73" t="str">
        <f>IF(Z295=0,"",AVERAGEIFS(data_num!B:B, data_num!D:D, Y295, data_num!K:K, 1))
</f>
        <v/>
      </c>
      <c r="AB295" s="71"/>
      <c r="AC295" s="71"/>
      <c r="AD295" s="78"/>
      <c r="AE295" s="78"/>
      <c r="AF295" s="71"/>
      <c r="AG295" s="75"/>
      <c r="AH295" s="78"/>
      <c r="AI295" s="71"/>
      <c r="AJ295" s="78"/>
      <c r="AK295" s="78"/>
      <c r="AL295" s="78"/>
      <c r="AM295" s="78"/>
      <c r="AN295" s="78"/>
      <c r="AO295" s="78"/>
      <c r="AP295" s="71"/>
      <c r="AQ295" s="71"/>
      <c r="AR295" s="78"/>
      <c r="AS295" s="71"/>
      <c r="AT295" s="78"/>
      <c r="AU295" s="78"/>
      <c r="AV295" s="78"/>
      <c r="AW295" s="78"/>
      <c r="AX295" s="71"/>
      <c r="AY295" s="71"/>
    </row>
    <row r="296" ht="16.5" customHeight="1">
      <c r="A296" s="71"/>
      <c r="B296" s="78"/>
      <c r="C296" s="78"/>
      <c r="D296" s="78"/>
      <c r="E296" s="78"/>
      <c r="F296" s="78"/>
      <c r="G296" s="78"/>
      <c r="H296" s="78"/>
      <c r="I296" s="71"/>
      <c r="J296" s="78"/>
      <c r="K296" s="78"/>
      <c r="L296" s="78"/>
      <c r="M296" s="78"/>
      <c r="N296" s="78"/>
      <c r="O296" s="78"/>
      <c r="P296" s="78"/>
      <c r="Q296" s="78"/>
      <c r="R296" s="78"/>
      <c r="S296" s="78"/>
      <c r="T296" s="71"/>
      <c r="U296" s="71"/>
      <c r="V296" s="78"/>
      <c r="W296" s="78"/>
      <c r="X296" s="78"/>
      <c r="Y296" s="78"/>
      <c r="Z296" s="78"/>
      <c r="AA296" s="73" t="str">
        <f>IF(Z296=0,"",AVERAGEIFS(data_num!B:B, data_num!D:D, Y296, data_num!K:K, 1))
</f>
        <v/>
      </c>
      <c r="AB296" s="71"/>
      <c r="AC296" s="71"/>
      <c r="AD296" s="78"/>
      <c r="AE296" s="78"/>
      <c r="AF296" s="71"/>
      <c r="AG296" s="75"/>
      <c r="AH296" s="78"/>
      <c r="AI296" s="71"/>
      <c r="AJ296" s="78"/>
      <c r="AK296" s="78"/>
      <c r="AL296" s="78"/>
      <c r="AM296" s="78"/>
      <c r="AN296" s="78"/>
      <c r="AO296" s="78"/>
      <c r="AP296" s="71"/>
      <c r="AQ296" s="71"/>
      <c r="AR296" s="78"/>
      <c r="AS296" s="71"/>
      <c r="AT296" s="78"/>
      <c r="AU296" s="78"/>
      <c r="AV296" s="78"/>
      <c r="AW296" s="78"/>
      <c r="AX296" s="71"/>
      <c r="AY296" s="71"/>
    </row>
    <row r="297" ht="16.5" customHeight="1">
      <c r="A297" s="71"/>
      <c r="B297" s="78"/>
      <c r="C297" s="78"/>
      <c r="D297" s="78"/>
      <c r="E297" s="78"/>
      <c r="F297" s="78"/>
      <c r="G297" s="78"/>
      <c r="H297" s="78"/>
      <c r="I297" s="71"/>
      <c r="J297" s="78"/>
      <c r="K297" s="78"/>
      <c r="L297" s="78"/>
      <c r="M297" s="78"/>
      <c r="N297" s="78"/>
      <c r="O297" s="78"/>
      <c r="P297" s="78"/>
      <c r="Q297" s="78"/>
      <c r="R297" s="78"/>
      <c r="S297" s="78"/>
      <c r="T297" s="71"/>
      <c r="U297" s="71"/>
      <c r="V297" s="78"/>
      <c r="W297" s="78"/>
      <c r="X297" s="78"/>
      <c r="Y297" s="78"/>
      <c r="Z297" s="78"/>
      <c r="AA297" s="73" t="str">
        <f>IF(Z297=0,"",AVERAGEIFS(data_num!B:B, data_num!D:D, Y297, data_num!K:K, 1))
</f>
        <v/>
      </c>
      <c r="AB297" s="71"/>
      <c r="AC297" s="71"/>
      <c r="AD297" s="78"/>
      <c r="AE297" s="78"/>
      <c r="AF297" s="71"/>
      <c r="AG297" s="75"/>
      <c r="AH297" s="78"/>
      <c r="AI297" s="71"/>
      <c r="AJ297" s="78"/>
      <c r="AK297" s="78"/>
      <c r="AL297" s="78"/>
      <c r="AM297" s="78"/>
      <c r="AN297" s="78"/>
      <c r="AO297" s="78"/>
      <c r="AP297" s="71"/>
      <c r="AQ297" s="71"/>
      <c r="AR297" s="78"/>
      <c r="AS297" s="71"/>
      <c r="AT297" s="78"/>
      <c r="AU297" s="78"/>
      <c r="AV297" s="78"/>
      <c r="AW297" s="78"/>
      <c r="AX297" s="71"/>
      <c r="AY297" s="71"/>
    </row>
    <row r="298" ht="16.5" customHeight="1">
      <c r="A298" s="71"/>
      <c r="B298" s="78"/>
      <c r="C298" s="78"/>
      <c r="D298" s="78"/>
      <c r="E298" s="78"/>
      <c r="F298" s="78"/>
      <c r="G298" s="78"/>
      <c r="H298" s="78"/>
      <c r="I298" s="71"/>
      <c r="J298" s="78"/>
      <c r="K298" s="78"/>
      <c r="L298" s="78"/>
      <c r="M298" s="78"/>
      <c r="N298" s="78"/>
      <c r="O298" s="78"/>
      <c r="P298" s="78"/>
      <c r="Q298" s="78"/>
      <c r="R298" s="78"/>
      <c r="S298" s="78"/>
      <c r="T298" s="71"/>
      <c r="U298" s="71"/>
      <c r="V298" s="78"/>
      <c r="W298" s="78"/>
      <c r="X298" s="78"/>
      <c r="Y298" s="78"/>
      <c r="Z298" s="78"/>
      <c r="AA298" s="73" t="str">
        <f>IF(Z298=0,"",AVERAGEIFS(data_num!B:B, data_num!D:D, Y298, data_num!K:K, 1))
</f>
        <v/>
      </c>
      <c r="AB298" s="71"/>
      <c r="AC298" s="71"/>
      <c r="AD298" s="78"/>
      <c r="AE298" s="78"/>
      <c r="AF298" s="71"/>
      <c r="AG298" s="75"/>
      <c r="AH298" s="78"/>
      <c r="AI298" s="71"/>
      <c r="AJ298" s="78"/>
      <c r="AK298" s="78"/>
      <c r="AL298" s="78"/>
      <c r="AM298" s="78"/>
      <c r="AN298" s="78"/>
      <c r="AO298" s="78"/>
      <c r="AP298" s="71"/>
      <c r="AQ298" s="71"/>
      <c r="AR298" s="78"/>
      <c r="AS298" s="71"/>
      <c r="AT298" s="78"/>
      <c r="AU298" s="78"/>
      <c r="AV298" s="78"/>
      <c r="AW298" s="78"/>
      <c r="AX298" s="71"/>
      <c r="AY298" s="71"/>
    </row>
    <row r="299" ht="16.5" customHeight="1">
      <c r="A299" s="71"/>
      <c r="B299" s="78"/>
      <c r="C299" s="78"/>
      <c r="D299" s="78"/>
      <c r="E299" s="78"/>
      <c r="F299" s="78"/>
      <c r="G299" s="78"/>
      <c r="H299" s="78"/>
      <c r="I299" s="71"/>
      <c r="J299" s="78"/>
      <c r="K299" s="78"/>
      <c r="L299" s="78"/>
      <c r="M299" s="78"/>
      <c r="N299" s="78"/>
      <c r="O299" s="78"/>
      <c r="P299" s="78"/>
      <c r="Q299" s="78"/>
      <c r="R299" s="78"/>
      <c r="S299" s="78"/>
      <c r="T299" s="71"/>
      <c r="U299" s="71"/>
      <c r="V299" s="78"/>
      <c r="W299" s="78"/>
      <c r="X299" s="78"/>
      <c r="Y299" s="78"/>
      <c r="Z299" s="78"/>
      <c r="AA299" s="73" t="str">
        <f>IF(Z299=0,"",AVERAGEIFS(data_num!B:B, data_num!D:D, Y299, data_num!K:K, 1))
</f>
        <v/>
      </c>
      <c r="AB299" s="71"/>
      <c r="AC299" s="71"/>
      <c r="AD299" s="78"/>
      <c r="AE299" s="78"/>
      <c r="AF299" s="71"/>
      <c r="AG299" s="75"/>
      <c r="AH299" s="78"/>
      <c r="AI299" s="71"/>
      <c r="AJ299" s="78"/>
      <c r="AK299" s="78"/>
      <c r="AL299" s="78"/>
      <c r="AM299" s="78"/>
      <c r="AN299" s="78"/>
      <c r="AO299" s="78"/>
      <c r="AP299" s="71"/>
      <c r="AQ299" s="71"/>
      <c r="AR299" s="78"/>
      <c r="AS299" s="71"/>
      <c r="AT299" s="78"/>
      <c r="AU299" s="78"/>
      <c r="AV299" s="78"/>
      <c r="AW299" s="78"/>
      <c r="AX299" s="71"/>
      <c r="AY299" s="71"/>
    </row>
    <row r="300" ht="16.5" customHeight="1">
      <c r="A300" s="71"/>
      <c r="B300" s="78"/>
      <c r="C300" s="78"/>
      <c r="D300" s="78"/>
      <c r="E300" s="78"/>
      <c r="F300" s="78"/>
      <c r="G300" s="78"/>
      <c r="H300" s="78"/>
      <c r="I300" s="71"/>
      <c r="J300" s="78"/>
      <c r="K300" s="78"/>
      <c r="L300" s="78"/>
      <c r="M300" s="78"/>
      <c r="N300" s="78"/>
      <c r="O300" s="78"/>
      <c r="P300" s="78"/>
      <c r="Q300" s="78"/>
      <c r="R300" s="78"/>
      <c r="S300" s="78"/>
      <c r="T300" s="71"/>
      <c r="U300" s="71"/>
      <c r="V300" s="78"/>
      <c r="W300" s="78"/>
      <c r="X300" s="78"/>
      <c r="Y300" s="78"/>
      <c r="Z300" s="78"/>
      <c r="AA300" s="73" t="str">
        <f>IF(Z300=0,"",AVERAGEIFS(data_num!B:B, data_num!D:D, Y300, data_num!K:K, 1))
</f>
        <v/>
      </c>
      <c r="AB300" s="71"/>
      <c r="AC300" s="71"/>
      <c r="AD300" s="78"/>
      <c r="AE300" s="78"/>
      <c r="AF300" s="71"/>
      <c r="AG300" s="75"/>
      <c r="AH300" s="78"/>
      <c r="AI300" s="71"/>
      <c r="AJ300" s="78"/>
      <c r="AK300" s="78"/>
      <c r="AL300" s="78"/>
      <c r="AM300" s="78"/>
      <c r="AN300" s="78"/>
      <c r="AO300" s="78"/>
      <c r="AP300" s="71"/>
      <c r="AQ300" s="71"/>
      <c r="AR300" s="78"/>
      <c r="AS300" s="71"/>
      <c r="AT300" s="78"/>
      <c r="AU300" s="78"/>
      <c r="AV300" s="78"/>
      <c r="AW300" s="78"/>
      <c r="AX300" s="71"/>
      <c r="AY300" s="71"/>
    </row>
    <row r="301" ht="16.5" customHeight="1">
      <c r="A301" s="71"/>
      <c r="B301" s="78"/>
      <c r="C301" s="78"/>
      <c r="D301" s="78"/>
      <c r="E301" s="78"/>
      <c r="F301" s="78"/>
      <c r="G301" s="78"/>
      <c r="H301" s="78"/>
      <c r="I301" s="71"/>
      <c r="J301" s="78"/>
      <c r="K301" s="78"/>
      <c r="L301" s="78"/>
      <c r="M301" s="78"/>
      <c r="N301" s="78"/>
      <c r="O301" s="78"/>
      <c r="P301" s="78"/>
      <c r="Q301" s="78"/>
      <c r="R301" s="78"/>
      <c r="S301" s="78"/>
      <c r="T301" s="71"/>
      <c r="U301" s="71"/>
      <c r="V301" s="78"/>
      <c r="W301" s="78"/>
      <c r="X301" s="78"/>
      <c r="Y301" s="78"/>
      <c r="Z301" s="78"/>
      <c r="AA301" s="73" t="str">
        <f>IF(Z301=0,"",AVERAGEIFS(data_num!B:B, data_num!D:D, Y301, data_num!K:K, 1))
</f>
        <v/>
      </c>
      <c r="AB301" s="71"/>
      <c r="AC301" s="71"/>
      <c r="AD301" s="78"/>
      <c r="AE301" s="78"/>
      <c r="AF301" s="71"/>
      <c r="AG301" s="75"/>
      <c r="AH301" s="78"/>
      <c r="AI301" s="71"/>
      <c r="AJ301" s="78"/>
      <c r="AK301" s="78"/>
      <c r="AL301" s="78"/>
      <c r="AM301" s="78"/>
      <c r="AN301" s="78"/>
      <c r="AO301" s="78"/>
      <c r="AP301" s="71"/>
      <c r="AQ301" s="71"/>
      <c r="AR301" s="78"/>
      <c r="AS301" s="71"/>
      <c r="AT301" s="78"/>
      <c r="AU301" s="78"/>
      <c r="AV301" s="78"/>
      <c r="AW301" s="78"/>
      <c r="AX301" s="71"/>
      <c r="AY301" s="71"/>
    </row>
    <row r="302" ht="16.5" customHeight="1">
      <c r="A302" s="71"/>
      <c r="B302" s="78"/>
      <c r="C302" s="78"/>
      <c r="D302" s="78"/>
      <c r="E302" s="78"/>
      <c r="F302" s="78"/>
      <c r="G302" s="78"/>
      <c r="H302" s="78"/>
      <c r="I302" s="71"/>
      <c r="J302" s="78"/>
      <c r="K302" s="78"/>
      <c r="L302" s="78"/>
      <c r="M302" s="78"/>
      <c r="N302" s="78"/>
      <c r="O302" s="78"/>
      <c r="P302" s="78"/>
      <c r="Q302" s="78"/>
      <c r="R302" s="78"/>
      <c r="S302" s="78"/>
      <c r="T302" s="71"/>
      <c r="U302" s="71"/>
      <c r="V302" s="78"/>
      <c r="W302" s="78"/>
      <c r="X302" s="78"/>
      <c r="Y302" s="78"/>
      <c r="Z302" s="78"/>
      <c r="AA302" s="73" t="str">
        <f>IF(Z302=0,"",AVERAGEIFS(data_num!B:B, data_num!D:D, Y302, data_num!K:K, 1))
</f>
        <v/>
      </c>
      <c r="AB302" s="71"/>
      <c r="AC302" s="71"/>
      <c r="AD302" s="78"/>
      <c r="AE302" s="78"/>
      <c r="AF302" s="71"/>
      <c r="AG302" s="75"/>
      <c r="AH302" s="78"/>
      <c r="AI302" s="71"/>
      <c r="AJ302" s="78"/>
      <c r="AK302" s="78"/>
      <c r="AL302" s="78"/>
      <c r="AM302" s="78"/>
      <c r="AN302" s="78"/>
      <c r="AO302" s="78"/>
      <c r="AP302" s="71"/>
      <c r="AQ302" s="71"/>
      <c r="AR302" s="78"/>
      <c r="AS302" s="71"/>
      <c r="AT302" s="78"/>
      <c r="AU302" s="78"/>
      <c r="AV302" s="78"/>
      <c r="AW302" s="78"/>
      <c r="AX302" s="71"/>
      <c r="AY302" s="71"/>
    </row>
    <row r="303" ht="16.5" customHeight="1">
      <c r="A303" s="71"/>
      <c r="B303" s="78"/>
      <c r="C303" s="78"/>
      <c r="D303" s="78"/>
      <c r="E303" s="78"/>
      <c r="F303" s="78"/>
      <c r="G303" s="78"/>
      <c r="H303" s="78"/>
      <c r="I303" s="71"/>
      <c r="J303" s="78"/>
      <c r="K303" s="78"/>
      <c r="L303" s="78"/>
      <c r="M303" s="78"/>
      <c r="N303" s="78"/>
      <c r="O303" s="78"/>
      <c r="P303" s="78"/>
      <c r="Q303" s="78"/>
      <c r="R303" s="78"/>
      <c r="S303" s="78"/>
      <c r="T303" s="71"/>
      <c r="U303" s="71"/>
      <c r="V303" s="78"/>
      <c r="W303" s="78"/>
      <c r="X303" s="78"/>
      <c r="Y303" s="78"/>
      <c r="Z303" s="78"/>
      <c r="AA303" s="73" t="str">
        <f>IF(Z303=0,"",AVERAGEIFS(data_num!B:B, data_num!D:D, Y303, data_num!K:K, 1))
</f>
        <v/>
      </c>
      <c r="AB303" s="71"/>
      <c r="AC303" s="71"/>
      <c r="AD303" s="78"/>
      <c r="AE303" s="78"/>
      <c r="AF303" s="71"/>
      <c r="AG303" s="75"/>
      <c r="AH303" s="78"/>
      <c r="AI303" s="71"/>
      <c r="AJ303" s="78"/>
      <c r="AK303" s="78"/>
      <c r="AL303" s="78"/>
      <c r="AM303" s="78"/>
      <c r="AN303" s="78"/>
      <c r="AO303" s="78"/>
      <c r="AP303" s="71"/>
      <c r="AQ303" s="71"/>
      <c r="AR303" s="78"/>
      <c r="AS303" s="71"/>
      <c r="AT303" s="78"/>
      <c r="AU303" s="78"/>
      <c r="AV303" s="78"/>
      <c r="AW303" s="78"/>
      <c r="AX303" s="71"/>
      <c r="AY303" s="71"/>
    </row>
    <row r="304" ht="16.5" customHeight="1">
      <c r="A304" s="71"/>
      <c r="B304" s="78"/>
      <c r="C304" s="78"/>
      <c r="D304" s="78"/>
      <c r="E304" s="78"/>
      <c r="F304" s="78"/>
      <c r="G304" s="78"/>
      <c r="H304" s="78"/>
      <c r="I304" s="71"/>
      <c r="J304" s="78"/>
      <c r="K304" s="78"/>
      <c r="L304" s="78"/>
      <c r="M304" s="78"/>
      <c r="N304" s="78"/>
      <c r="O304" s="78"/>
      <c r="P304" s="78"/>
      <c r="Q304" s="78"/>
      <c r="R304" s="78"/>
      <c r="S304" s="78"/>
      <c r="T304" s="71"/>
      <c r="U304" s="71"/>
      <c r="V304" s="78"/>
      <c r="W304" s="78"/>
      <c r="X304" s="78"/>
      <c r="Y304" s="78"/>
      <c r="Z304" s="78"/>
      <c r="AA304" s="73" t="str">
        <f>IF(Z304=0,"",AVERAGEIFS(data_num!B:B, data_num!D:D, Y304, data_num!K:K, 1))
</f>
        <v/>
      </c>
      <c r="AB304" s="71"/>
      <c r="AC304" s="71"/>
      <c r="AD304" s="78"/>
      <c r="AE304" s="78"/>
      <c r="AF304" s="71"/>
      <c r="AG304" s="75"/>
      <c r="AH304" s="78"/>
      <c r="AI304" s="71"/>
      <c r="AJ304" s="78"/>
      <c r="AK304" s="78"/>
      <c r="AL304" s="78"/>
      <c r="AM304" s="78"/>
      <c r="AN304" s="78"/>
      <c r="AO304" s="78"/>
      <c r="AP304" s="71"/>
      <c r="AQ304" s="71"/>
      <c r="AR304" s="78"/>
      <c r="AS304" s="71"/>
      <c r="AT304" s="78"/>
      <c r="AU304" s="78"/>
      <c r="AV304" s="78"/>
      <c r="AW304" s="78"/>
      <c r="AX304" s="71"/>
      <c r="AY304" s="71"/>
    </row>
    <row r="305" ht="16.5" customHeight="1">
      <c r="A305" s="71"/>
      <c r="B305" s="78"/>
      <c r="C305" s="78"/>
      <c r="D305" s="78"/>
      <c r="E305" s="78"/>
      <c r="F305" s="78"/>
      <c r="G305" s="78"/>
      <c r="H305" s="78"/>
      <c r="I305" s="71"/>
      <c r="J305" s="78"/>
      <c r="K305" s="78"/>
      <c r="L305" s="78"/>
      <c r="M305" s="78"/>
      <c r="N305" s="78"/>
      <c r="O305" s="78"/>
      <c r="P305" s="78"/>
      <c r="Q305" s="78"/>
      <c r="R305" s="78"/>
      <c r="S305" s="78"/>
      <c r="T305" s="71"/>
      <c r="U305" s="71"/>
      <c r="V305" s="78"/>
      <c r="W305" s="78"/>
      <c r="X305" s="78"/>
      <c r="Y305" s="78"/>
      <c r="Z305" s="78"/>
      <c r="AA305" s="73" t="str">
        <f>IF(Z305=0,"",AVERAGEIFS(data_num!B:B, data_num!D:D, Y305, data_num!K:K, 1))
</f>
        <v/>
      </c>
      <c r="AB305" s="71"/>
      <c r="AC305" s="71"/>
      <c r="AD305" s="78"/>
      <c r="AE305" s="78"/>
      <c r="AF305" s="71"/>
      <c r="AG305" s="75"/>
      <c r="AH305" s="78"/>
      <c r="AI305" s="71"/>
      <c r="AJ305" s="78"/>
      <c r="AK305" s="78"/>
      <c r="AL305" s="78"/>
      <c r="AM305" s="78"/>
      <c r="AN305" s="78"/>
      <c r="AO305" s="78"/>
      <c r="AP305" s="71"/>
      <c r="AQ305" s="71"/>
      <c r="AR305" s="78"/>
      <c r="AS305" s="71"/>
      <c r="AT305" s="78"/>
      <c r="AU305" s="78"/>
      <c r="AV305" s="78"/>
      <c r="AW305" s="78"/>
      <c r="AX305" s="71"/>
      <c r="AY305" s="71"/>
    </row>
    <row r="306" ht="16.5" customHeight="1">
      <c r="A306" s="71"/>
      <c r="B306" s="78"/>
      <c r="C306" s="78"/>
      <c r="D306" s="78"/>
      <c r="E306" s="78"/>
      <c r="F306" s="78"/>
      <c r="G306" s="78"/>
      <c r="H306" s="78"/>
      <c r="I306" s="71"/>
      <c r="J306" s="78"/>
      <c r="K306" s="78"/>
      <c r="L306" s="78"/>
      <c r="M306" s="78"/>
      <c r="N306" s="78"/>
      <c r="O306" s="78"/>
      <c r="P306" s="78"/>
      <c r="Q306" s="78"/>
      <c r="R306" s="78"/>
      <c r="S306" s="78"/>
      <c r="T306" s="71"/>
      <c r="U306" s="71"/>
      <c r="V306" s="78"/>
      <c r="W306" s="78"/>
      <c r="X306" s="78"/>
      <c r="Y306" s="78"/>
      <c r="Z306" s="78"/>
      <c r="AA306" s="73" t="str">
        <f>IF(Z306=0,"",AVERAGEIFS(data_num!B:B, data_num!D:D, Y306, data_num!K:K, 1))
</f>
        <v/>
      </c>
      <c r="AB306" s="71"/>
      <c r="AC306" s="71"/>
      <c r="AD306" s="78"/>
      <c r="AE306" s="78"/>
      <c r="AF306" s="71"/>
      <c r="AG306" s="75"/>
      <c r="AH306" s="78"/>
      <c r="AI306" s="71"/>
      <c r="AJ306" s="78"/>
      <c r="AK306" s="78"/>
      <c r="AL306" s="78"/>
      <c r="AM306" s="78"/>
      <c r="AN306" s="78"/>
      <c r="AO306" s="78"/>
      <c r="AP306" s="71"/>
      <c r="AQ306" s="71"/>
      <c r="AR306" s="78"/>
      <c r="AS306" s="71"/>
      <c r="AT306" s="78"/>
      <c r="AU306" s="78"/>
      <c r="AV306" s="78"/>
      <c r="AW306" s="78"/>
      <c r="AX306" s="71"/>
      <c r="AY306" s="71"/>
    </row>
    <row r="307" ht="16.5" customHeight="1">
      <c r="A307" s="71"/>
      <c r="B307" s="78"/>
      <c r="C307" s="78"/>
      <c r="D307" s="78"/>
      <c r="E307" s="78"/>
      <c r="F307" s="78"/>
      <c r="G307" s="78"/>
      <c r="H307" s="78"/>
      <c r="I307" s="71"/>
      <c r="J307" s="78"/>
      <c r="K307" s="78"/>
      <c r="L307" s="78"/>
      <c r="M307" s="78"/>
      <c r="N307" s="78"/>
      <c r="O307" s="78"/>
      <c r="P307" s="78"/>
      <c r="Q307" s="78"/>
      <c r="R307" s="78"/>
      <c r="S307" s="78"/>
      <c r="T307" s="71"/>
      <c r="U307" s="71"/>
      <c r="V307" s="78"/>
      <c r="W307" s="78"/>
      <c r="X307" s="78"/>
      <c r="Y307" s="78"/>
      <c r="Z307" s="78"/>
      <c r="AA307" s="73" t="str">
        <f>IF(Z307=0,"",AVERAGEIFS(data_num!B:B, data_num!D:D, Y307, data_num!K:K, 1))
</f>
        <v/>
      </c>
      <c r="AB307" s="71"/>
      <c r="AC307" s="71"/>
      <c r="AD307" s="78"/>
      <c r="AE307" s="78"/>
      <c r="AF307" s="71"/>
      <c r="AG307" s="75"/>
      <c r="AH307" s="78"/>
      <c r="AI307" s="71"/>
      <c r="AJ307" s="78"/>
      <c r="AK307" s="78"/>
      <c r="AL307" s="78"/>
      <c r="AM307" s="78"/>
      <c r="AN307" s="78"/>
      <c r="AO307" s="78"/>
      <c r="AP307" s="71"/>
      <c r="AQ307" s="71"/>
      <c r="AR307" s="78"/>
      <c r="AS307" s="71"/>
      <c r="AT307" s="78"/>
      <c r="AU307" s="78"/>
      <c r="AV307" s="78"/>
      <c r="AW307" s="78"/>
      <c r="AX307" s="71"/>
      <c r="AY307" s="71"/>
    </row>
    <row r="308" ht="16.5" customHeight="1">
      <c r="A308" s="71"/>
      <c r="B308" s="78"/>
      <c r="C308" s="78"/>
      <c r="D308" s="78"/>
      <c r="E308" s="78"/>
      <c r="F308" s="78"/>
      <c r="G308" s="78"/>
      <c r="H308" s="78"/>
      <c r="I308" s="71"/>
      <c r="J308" s="78"/>
      <c r="K308" s="78"/>
      <c r="L308" s="78"/>
      <c r="M308" s="78"/>
      <c r="N308" s="78"/>
      <c r="O308" s="78"/>
      <c r="P308" s="78"/>
      <c r="Q308" s="78"/>
      <c r="R308" s="78"/>
      <c r="S308" s="78"/>
      <c r="T308" s="71"/>
      <c r="U308" s="71"/>
      <c r="V308" s="78"/>
      <c r="W308" s="78"/>
      <c r="X308" s="78"/>
      <c r="Y308" s="78"/>
      <c r="Z308" s="78"/>
      <c r="AA308" s="73" t="str">
        <f>IF(Z308=0,"",AVERAGEIFS(data_num!B:B, data_num!D:D, Y308, data_num!K:K, 1))
</f>
        <v/>
      </c>
      <c r="AB308" s="71"/>
      <c r="AC308" s="71"/>
      <c r="AD308" s="78"/>
      <c r="AE308" s="78"/>
      <c r="AF308" s="71"/>
      <c r="AG308" s="75"/>
      <c r="AH308" s="78"/>
      <c r="AI308" s="71"/>
      <c r="AJ308" s="78"/>
      <c r="AK308" s="78"/>
      <c r="AL308" s="78"/>
      <c r="AM308" s="78"/>
      <c r="AN308" s="78"/>
      <c r="AO308" s="78"/>
      <c r="AP308" s="71"/>
      <c r="AQ308" s="71"/>
      <c r="AR308" s="78"/>
      <c r="AS308" s="71"/>
      <c r="AT308" s="78"/>
      <c r="AU308" s="78"/>
      <c r="AV308" s="78"/>
      <c r="AW308" s="78"/>
      <c r="AX308" s="71"/>
      <c r="AY308" s="71"/>
    </row>
    <row r="309" ht="16.5" customHeight="1">
      <c r="A309" s="71"/>
      <c r="B309" s="78"/>
      <c r="C309" s="78"/>
      <c r="D309" s="78"/>
      <c r="E309" s="78"/>
      <c r="F309" s="78"/>
      <c r="G309" s="78"/>
      <c r="H309" s="78"/>
      <c r="I309" s="71"/>
      <c r="J309" s="78"/>
      <c r="K309" s="78"/>
      <c r="L309" s="78"/>
      <c r="M309" s="78"/>
      <c r="N309" s="78"/>
      <c r="O309" s="78"/>
      <c r="P309" s="78"/>
      <c r="Q309" s="78"/>
      <c r="R309" s="78"/>
      <c r="S309" s="78"/>
      <c r="T309" s="71"/>
      <c r="U309" s="71"/>
      <c r="V309" s="78"/>
      <c r="W309" s="78"/>
      <c r="X309" s="78"/>
      <c r="Y309" s="78"/>
      <c r="Z309" s="78"/>
      <c r="AA309" s="73" t="str">
        <f>IF(Z309=0,"",AVERAGEIFS(data_num!B:B, data_num!D:D, Y309, data_num!K:K, 1))
</f>
        <v/>
      </c>
      <c r="AB309" s="71"/>
      <c r="AC309" s="71"/>
      <c r="AD309" s="78"/>
      <c r="AE309" s="78"/>
      <c r="AF309" s="71"/>
      <c r="AG309" s="75"/>
      <c r="AH309" s="78"/>
      <c r="AI309" s="71"/>
      <c r="AJ309" s="78"/>
      <c r="AK309" s="78"/>
      <c r="AL309" s="78"/>
      <c r="AM309" s="78"/>
      <c r="AN309" s="78"/>
      <c r="AO309" s="78"/>
      <c r="AP309" s="71"/>
      <c r="AQ309" s="71"/>
      <c r="AR309" s="78"/>
      <c r="AS309" s="71"/>
      <c r="AT309" s="78"/>
      <c r="AU309" s="78"/>
      <c r="AV309" s="78"/>
      <c r="AW309" s="78"/>
      <c r="AX309" s="71"/>
      <c r="AY309" s="71"/>
    </row>
    <row r="310" ht="16.5" customHeight="1">
      <c r="A310" s="71"/>
      <c r="B310" s="78"/>
      <c r="C310" s="78"/>
      <c r="D310" s="78"/>
      <c r="E310" s="78"/>
      <c r="F310" s="78"/>
      <c r="G310" s="78"/>
      <c r="H310" s="78"/>
      <c r="I310" s="71"/>
      <c r="J310" s="78"/>
      <c r="K310" s="78"/>
      <c r="L310" s="78"/>
      <c r="M310" s="78"/>
      <c r="N310" s="78"/>
      <c r="O310" s="78"/>
      <c r="P310" s="78"/>
      <c r="Q310" s="78"/>
      <c r="R310" s="78"/>
      <c r="S310" s="78"/>
      <c r="T310" s="71"/>
      <c r="U310" s="71"/>
      <c r="V310" s="78"/>
      <c r="W310" s="78"/>
      <c r="X310" s="78"/>
      <c r="Y310" s="78"/>
      <c r="Z310" s="78"/>
      <c r="AA310" s="73" t="str">
        <f>IF(Z310=0,"",AVERAGEIFS(data_num!B:B, data_num!D:D, Y310, data_num!K:K, 1))
</f>
        <v/>
      </c>
      <c r="AB310" s="71"/>
      <c r="AC310" s="71"/>
      <c r="AD310" s="78"/>
      <c r="AE310" s="78"/>
      <c r="AF310" s="71"/>
      <c r="AG310" s="75"/>
      <c r="AH310" s="78"/>
      <c r="AI310" s="71"/>
      <c r="AJ310" s="78"/>
      <c r="AK310" s="78"/>
      <c r="AL310" s="78"/>
      <c r="AM310" s="78"/>
      <c r="AN310" s="78"/>
      <c r="AO310" s="78"/>
      <c r="AP310" s="71"/>
      <c r="AQ310" s="71"/>
      <c r="AR310" s="78"/>
      <c r="AS310" s="71"/>
      <c r="AT310" s="78"/>
      <c r="AU310" s="78"/>
      <c r="AV310" s="78"/>
      <c r="AW310" s="78"/>
      <c r="AX310" s="71"/>
      <c r="AY310" s="71"/>
    </row>
    <row r="311" ht="16.5" customHeight="1">
      <c r="A311" s="71"/>
      <c r="B311" s="78"/>
      <c r="C311" s="78"/>
      <c r="D311" s="78"/>
      <c r="E311" s="78"/>
      <c r="F311" s="78"/>
      <c r="G311" s="78"/>
      <c r="H311" s="78"/>
      <c r="I311" s="71"/>
      <c r="J311" s="78"/>
      <c r="K311" s="78"/>
      <c r="L311" s="78"/>
      <c r="M311" s="78"/>
      <c r="N311" s="78"/>
      <c r="O311" s="78"/>
      <c r="P311" s="78"/>
      <c r="Q311" s="78"/>
      <c r="R311" s="78"/>
      <c r="S311" s="78"/>
      <c r="T311" s="71"/>
      <c r="U311" s="71"/>
      <c r="V311" s="78"/>
      <c r="W311" s="78"/>
      <c r="X311" s="78"/>
      <c r="Y311" s="78"/>
      <c r="Z311" s="78"/>
      <c r="AA311" s="73" t="str">
        <f>IF(Z311=0,"",AVERAGEIFS(data_num!B:B, data_num!D:D, Y311, data_num!K:K, 1))
</f>
        <v/>
      </c>
      <c r="AB311" s="71"/>
      <c r="AC311" s="71"/>
      <c r="AD311" s="78"/>
      <c r="AE311" s="78"/>
      <c r="AF311" s="71"/>
      <c r="AG311" s="75"/>
      <c r="AH311" s="78"/>
      <c r="AI311" s="71"/>
      <c r="AJ311" s="78"/>
      <c r="AK311" s="78"/>
      <c r="AL311" s="78"/>
      <c r="AM311" s="78"/>
      <c r="AN311" s="78"/>
      <c r="AO311" s="78"/>
      <c r="AP311" s="71"/>
      <c r="AQ311" s="71"/>
      <c r="AR311" s="78"/>
      <c r="AS311" s="71"/>
      <c r="AT311" s="78"/>
      <c r="AU311" s="78"/>
      <c r="AV311" s="78"/>
      <c r="AW311" s="78"/>
      <c r="AX311" s="71"/>
      <c r="AY311" s="71"/>
    </row>
    <row r="312" ht="16.5" customHeight="1">
      <c r="B312" s="78"/>
      <c r="C312" s="78"/>
      <c r="D312" s="78"/>
      <c r="E312" s="78"/>
      <c r="F312" s="78"/>
      <c r="G312" s="78"/>
      <c r="I312" s="71"/>
      <c r="AA312" s="73" t="str">
        <f>IF(Z312=0,"",AVERAGEIFS(data_num!B:B, data_num!D:D, Y312, data_num!K:K, 1))
</f>
        <v/>
      </c>
      <c r="AF312" s="71"/>
      <c r="AG312" s="79"/>
      <c r="AJ312" s="78"/>
    </row>
    <row r="313" ht="16.5" customHeight="1">
      <c r="B313" s="78"/>
      <c r="C313" s="78"/>
      <c r="D313" s="78"/>
      <c r="E313" s="78"/>
      <c r="F313" s="78"/>
      <c r="G313" s="78"/>
      <c r="I313" s="71"/>
      <c r="AA313" s="73" t="str">
        <f>IF(Z313=0,"",AVERAGEIFS(data_num!B:B, data_num!D:D, Y313, data_num!K:K, 1))
</f>
        <v/>
      </c>
      <c r="AF313" s="71"/>
      <c r="AG313" s="79"/>
      <c r="AJ313" s="78"/>
    </row>
    <row r="314" ht="16.5" customHeight="1">
      <c r="B314" s="78"/>
      <c r="C314" s="78"/>
      <c r="D314" s="78"/>
      <c r="E314" s="78"/>
      <c r="F314" s="78"/>
      <c r="G314" s="78"/>
      <c r="I314" s="71"/>
      <c r="AA314" s="73" t="str">
        <f>IF(Z314=0,"",AVERAGEIFS(data_num!B:B, data_num!D:D, Y314, data_num!K:K, 1))
</f>
        <v/>
      </c>
      <c r="AF314" s="71"/>
      <c r="AG314" s="79"/>
      <c r="AJ314" s="78"/>
    </row>
    <row r="315" ht="16.5" customHeight="1">
      <c r="B315" s="78"/>
      <c r="C315" s="78"/>
      <c r="D315" s="78"/>
      <c r="E315" s="78"/>
      <c r="F315" s="78"/>
      <c r="G315" s="78"/>
      <c r="I315" s="71"/>
      <c r="AA315" s="73" t="str">
        <f>IF(Z315=0,"",AVERAGEIFS(data_num!B:B, data_num!D:D, Y315, data_num!K:K, 1))
</f>
        <v/>
      </c>
      <c r="AF315" s="71"/>
      <c r="AG315" s="79"/>
      <c r="AJ315" s="78"/>
    </row>
    <row r="316" ht="16.5" customHeight="1">
      <c r="B316" s="78"/>
      <c r="C316" s="78"/>
      <c r="D316" s="78"/>
      <c r="E316" s="78"/>
      <c r="F316" s="78"/>
      <c r="G316" s="78"/>
      <c r="I316" s="71"/>
      <c r="AA316" s="73" t="str">
        <f>IF(Z316=0,"",AVERAGEIFS(data_num!B:B, data_num!D:D, Y316, data_num!K:K, 1))
</f>
        <v/>
      </c>
      <c r="AF316" s="71"/>
      <c r="AG316" s="79"/>
      <c r="AJ316" s="78"/>
    </row>
    <row r="317" ht="16.5" customHeight="1">
      <c r="B317" s="78"/>
      <c r="C317" s="78"/>
      <c r="D317" s="78"/>
      <c r="E317" s="78"/>
      <c r="F317" s="78"/>
      <c r="G317" s="78"/>
      <c r="I317" s="71"/>
      <c r="AA317" s="73" t="str">
        <f>IF(Z317=0,"",AVERAGEIFS(data_num!B:B, data_num!D:D, Y317, data_num!K:K, 1))
</f>
        <v/>
      </c>
      <c r="AF317" s="71"/>
      <c r="AG317" s="79"/>
      <c r="AJ317" s="78"/>
    </row>
    <row r="318" ht="16.5" customHeight="1">
      <c r="B318" s="78"/>
      <c r="C318" s="78"/>
      <c r="D318" s="78"/>
      <c r="E318" s="78"/>
      <c r="F318" s="78"/>
      <c r="G318" s="78"/>
      <c r="I318" s="71"/>
      <c r="AA318" s="73" t="str">
        <f>IF(Z318=0,"",AVERAGEIFS(data_num!B:B, data_num!D:D, Y318, data_num!K:K, 1))
</f>
        <v/>
      </c>
      <c r="AF318" s="71"/>
      <c r="AG318" s="79"/>
      <c r="AJ318" s="78"/>
    </row>
    <row r="319" ht="16.5" customHeight="1">
      <c r="B319" s="78"/>
      <c r="C319" s="78"/>
      <c r="D319" s="78"/>
      <c r="E319" s="78"/>
      <c r="F319" s="78"/>
      <c r="G319" s="78"/>
      <c r="I319" s="71"/>
      <c r="AA319" s="73" t="str">
        <f>IF(Z319=0,"",AVERAGEIFS(data_num!B:B, data_num!D:D, Y319, data_num!K:K, 1))
</f>
        <v/>
      </c>
      <c r="AF319" s="71"/>
      <c r="AG319" s="79"/>
      <c r="AJ319" s="78"/>
    </row>
    <row r="320" ht="16.5" customHeight="1">
      <c r="B320" s="78"/>
      <c r="C320" s="78"/>
      <c r="D320" s="78"/>
      <c r="E320" s="78"/>
      <c r="F320" s="78"/>
      <c r="G320" s="78"/>
      <c r="I320" s="71"/>
      <c r="AA320" s="73" t="str">
        <f>IF(Z320=0,"",AVERAGEIFS(data_num!B:B, data_num!D:D, Y320, data_num!K:K, 1))
</f>
        <v/>
      </c>
      <c r="AF320" s="71"/>
      <c r="AG320" s="79"/>
      <c r="AJ320" s="78"/>
    </row>
    <row r="321" ht="16.5" customHeight="1">
      <c r="B321" s="78"/>
      <c r="C321" s="78"/>
      <c r="D321" s="78"/>
      <c r="E321" s="78"/>
      <c r="F321" s="78"/>
      <c r="G321" s="78"/>
      <c r="I321" s="71"/>
      <c r="AA321" s="73" t="str">
        <f>IF(Z321=0,"",AVERAGEIFS(data_num!B:B, data_num!D:D, Y321, data_num!K:K, 1))
</f>
        <v/>
      </c>
      <c r="AF321" s="71"/>
      <c r="AG321" s="79"/>
      <c r="AJ321" s="78"/>
    </row>
    <row r="322" ht="16.5" customHeight="1">
      <c r="B322" s="78"/>
      <c r="C322" s="78"/>
      <c r="D322" s="78"/>
      <c r="E322" s="78"/>
      <c r="F322" s="78"/>
      <c r="G322" s="78"/>
      <c r="I322" s="71"/>
      <c r="AA322" s="73" t="str">
        <f>IF(Z322=0,"",AVERAGEIFS(data_num!B:B, data_num!D:D, Y322, data_num!K:K, 1))
</f>
        <v/>
      </c>
      <c r="AF322" s="71"/>
      <c r="AG322" s="79"/>
      <c r="AJ322" s="78"/>
    </row>
    <row r="323" ht="16.5" customHeight="1">
      <c r="B323" s="78"/>
      <c r="C323" s="78"/>
      <c r="D323" s="78"/>
      <c r="E323" s="78"/>
      <c r="F323" s="78"/>
      <c r="G323" s="78"/>
      <c r="I323" s="71"/>
      <c r="AA323" s="73" t="str">
        <f>IF(Z323=0,"",AVERAGEIFS(data_num!B:B, data_num!D:D, Y323, data_num!K:K, 1))
</f>
        <v/>
      </c>
      <c r="AF323" s="71"/>
      <c r="AG323" s="79"/>
      <c r="AJ323" s="78"/>
    </row>
    <row r="324" ht="16.5" customHeight="1">
      <c r="B324" s="78"/>
      <c r="C324" s="78"/>
      <c r="D324" s="78"/>
      <c r="E324" s="78"/>
      <c r="F324" s="78"/>
      <c r="G324" s="78"/>
      <c r="I324" s="71"/>
      <c r="AA324" s="73" t="str">
        <f>IF(Z324=0,"",AVERAGEIFS(data_num!B:B, data_num!D:D, Y324, data_num!K:K, 1))
</f>
        <v/>
      </c>
      <c r="AF324" s="71"/>
      <c r="AG324" s="79"/>
      <c r="AJ324" s="78"/>
    </row>
    <row r="325" ht="16.5" customHeight="1">
      <c r="B325" s="78"/>
      <c r="C325" s="78"/>
      <c r="D325" s="78"/>
      <c r="E325" s="78"/>
      <c r="F325" s="78"/>
      <c r="G325" s="78"/>
      <c r="I325" s="71"/>
      <c r="AA325" s="73" t="str">
        <f>IF(Z325=0,"",AVERAGEIFS(data_num!B:B, data_num!D:D, Y325, data_num!K:K, 1))
</f>
        <v/>
      </c>
      <c r="AF325" s="71"/>
      <c r="AG325" s="79"/>
      <c r="AJ325" s="78"/>
    </row>
    <row r="326" ht="16.5" customHeight="1">
      <c r="B326" s="78"/>
      <c r="C326" s="78"/>
      <c r="D326" s="78"/>
      <c r="E326" s="78"/>
      <c r="F326" s="78"/>
      <c r="G326" s="78"/>
      <c r="I326" s="71"/>
      <c r="AA326" s="73" t="str">
        <f>IF(Z326=0,"",AVERAGEIFS(data_num!B:B, data_num!D:D, Y326, data_num!K:K, 1))
</f>
        <v/>
      </c>
      <c r="AF326" s="71"/>
      <c r="AG326" s="79"/>
      <c r="AJ326" s="78"/>
    </row>
    <row r="327" ht="16.5" customHeight="1">
      <c r="B327" s="78"/>
      <c r="C327" s="78"/>
      <c r="D327" s="78"/>
      <c r="E327" s="78"/>
      <c r="F327" s="78"/>
      <c r="G327" s="78"/>
      <c r="I327" s="71"/>
      <c r="AA327" s="73" t="str">
        <f>IF(Z327=0,"",AVERAGEIFS(data_num!B:B, data_num!D:D, Y327, data_num!K:K, 1))
</f>
        <v/>
      </c>
      <c r="AF327" s="71"/>
      <c r="AG327" s="79"/>
      <c r="AJ327" s="78"/>
    </row>
    <row r="328" ht="16.5" customHeight="1">
      <c r="B328" s="78"/>
      <c r="C328" s="78"/>
      <c r="D328" s="78"/>
      <c r="E328" s="78"/>
      <c r="F328" s="78"/>
      <c r="G328" s="78"/>
      <c r="I328" s="71"/>
      <c r="AA328" s="73" t="str">
        <f>IF(Z328=0,"",AVERAGEIFS(data_num!B:B, data_num!D:D, Y328, data_num!K:K, 1))
</f>
        <v/>
      </c>
      <c r="AF328" s="71"/>
      <c r="AG328" s="79"/>
      <c r="AJ328" s="78"/>
    </row>
    <row r="329" ht="16.5" customHeight="1">
      <c r="B329" s="78"/>
      <c r="C329" s="78"/>
      <c r="D329" s="78"/>
      <c r="E329" s="78"/>
      <c r="F329" s="78"/>
      <c r="G329" s="78"/>
      <c r="I329" s="71"/>
      <c r="AA329" s="73" t="str">
        <f>IF(Z329=0,"",AVERAGEIFS(data_num!B:B, data_num!D:D, Y329, data_num!K:K, 1))
</f>
        <v/>
      </c>
      <c r="AF329" s="71"/>
      <c r="AG329" s="79"/>
      <c r="AJ329" s="78"/>
    </row>
    <row r="330" ht="16.5" customHeight="1">
      <c r="B330" s="78"/>
      <c r="C330" s="78"/>
      <c r="D330" s="78"/>
      <c r="E330" s="78"/>
      <c r="F330" s="78"/>
      <c r="G330" s="78"/>
      <c r="I330" s="71"/>
      <c r="AA330" s="73" t="str">
        <f>IF(Z330=0,"",AVERAGEIFS(data_num!B:B, data_num!D:D, Y330, data_num!K:K, 1))
</f>
        <v/>
      </c>
      <c r="AF330" s="71"/>
      <c r="AG330" s="79"/>
      <c r="AJ330" s="78"/>
    </row>
    <row r="331" ht="16.5" customHeight="1">
      <c r="B331" s="78"/>
      <c r="C331" s="78"/>
      <c r="D331" s="78"/>
      <c r="E331" s="78"/>
      <c r="F331" s="78"/>
      <c r="G331" s="78"/>
      <c r="I331" s="71"/>
      <c r="AA331" s="73" t="str">
        <f>IF(Z331=0,"",AVERAGEIFS(data_num!B:B, data_num!D:D, Y331, data_num!K:K, 1))
</f>
        <v/>
      </c>
      <c r="AF331" s="71"/>
      <c r="AG331" s="79"/>
      <c r="AJ331" s="78"/>
    </row>
    <row r="332" ht="16.5" customHeight="1">
      <c r="B332" s="78"/>
      <c r="C332" s="78"/>
      <c r="D332" s="78"/>
      <c r="E332" s="78"/>
      <c r="F332" s="78"/>
      <c r="G332" s="78"/>
      <c r="I332" s="71"/>
      <c r="AA332" s="73" t="str">
        <f>IF(Z332=0,"",AVERAGEIFS(data_num!B:B, data_num!D:D, Y332, data_num!K:K, 1))
</f>
        <v/>
      </c>
      <c r="AF332" s="71"/>
      <c r="AG332" s="79"/>
      <c r="AJ332" s="78"/>
    </row>
    <row r="333" ht="16.5" customHeight="1">
      <c r="B333" s="78"/>
      <c r="C333" s="78"/>
      <c r="D333" s="78"/>
      <c r="E333" s="78"/>
      <c r="F333" s="78"/>
      <c r="G333" s="78"/>
      <c r="I333" s="71"/>
      <c r="AA333" s="73" t="str">
        <f>IF(Z333=0,"",AVERAGEIFS(data_num!B:B, data_num!D:D, Y333, data_num!K:K, 1))
</f>
        <v/>
      </c>
      <c r="AF333" s="71"/>
      <c r="AG333" s="79"/>
      <c r="AJ333" s="78"/>
    </row>
    <row r="334" ht="16.5" customHeight="1">
      <c r="B334" s="78"/>
      <c r="C334" s="78"/>
      <c r="D334" s="78"/>
      <c r="E334" s="78"/>
      <c r="F334" s="78"/>
      <c r="G334" s="78"/>
      <c r="I334" s="71"/>
      <c r="AA334" s="73" t="str">
        <f>IF(Z334=0,"",AVERAGEIFS(data_num!B:B, data_num!D:D, Y334, data_num!K:K, 1))
</f>
        <v/>
      </c>
      <c r="AF334" s="71"/>
      <c r="AG334" s="79"/>
      <c r="AJ334" s="78"/>
    </row>
    <row r="335" ht="16.5" customHeight="1">
      <c r="B335" s="78"/>
      <c r="C335" s="78"/>
      <c r="D335" s="78"/>
      <c r="E335" s="78"/>
      <c r="F335" s="78"/>
      <c r="G335" s="78"/>
      <c r="I335" s="71"/>
      <c r="AA335" s="73" t="str">
        <f>IF(Z335=0,"",AVERAGEIFS(data_num!B:B, data_num!D:D, Y335, data_num!K:K, 1))
</f>
        <v/>
      </c>
      <c r="AF335" s="71"/>
      <c r="AG335" s="79"/>
      <c r="AJ335" s="78"/>
    </row>
    <row r="336" ht="16.5" customHeight="1">
      <c r="B336" s="78"/>
      <c r="C336" s="78"/>
      <c r="D336" s="78"/>
      <c r="E336" s="78"/>
      <c r="F336" s="78"/>
      <c r="G336" s="78"/>
      <c r="I336" s="71"/>
      <c r="AA336" s="73" t="str">
        <f>IF(Z336=0,"",AVERAGEIFS(data_num!B:B, data_num!D:D, Y336, data_num!K:K, 1))
</f>
        <v/>
      </c>
      <c r="AF336" s="71"/>
      <c r="AG336" s="79"/>
      <c r="AJ336" s="78"/>
    </row>
    <row r="337" ht="16.5" customHeight="1">
      <c r="B337" s="78"/>
      <c r="C337" s="78"/>
      <c r="D337" s="78"/>
      <c r="E337" s="78"/>
      <c r="F337" s="78"/>
      <c r="G337" s="78"/>
      <c r="I337" s="71"/>
      <c r="AA337" s="73" t="str">
        <f>IF(Z337=0,"",AVERAGEIFS(data_num!B:B, data_num!D:D, Y337, data_num!K:K, 1))
</f>
        <v/>
      </c>
      <c r="AF337" s="71"/>
      <c r="AG337" s="79"/>
      <c r="AJ337" s="78"/>
    </row>
    <row r="338" ht="16.5" customHeight="1">
      <c r="B338" s="78"/>
      <c r="C338" s="78"/>
      <c r="D338" s="78"/>
      <c r="E338" s="78"/>
      <c r="F338" s="78"/>
      <c r="G338" s="78"/>
      <c r="I338" s="71"/>
      <c r="AA338" s="73" t="str">
        <f>IF(Z338=0,"",AVERAGEIFS(data_num!B:B, data_num!D:D, Y338, data_num!K:K, 1))
</f>
        <v/>
      </c>
      <c r="AF338" s="71"/>
      <c r="AG338" s="79"/>
      <c r="AJ338" s="78"/>
    </row>
    <row r="339" ht="16.5" customHeight="1">
      <c r="B339" s="78"/>
      <c r="C339" s="78"/>
      <c r="D339" s="78"/>
      <c r="E339" s="78"/>
      <c r="F339" s="78"/>
      <c r="G339" s="78"/>
      <c r="I339" s="71"/>
      <c r="AA339" s="73" t="str">
        <f>IF(Z339=0,"",AVERAGEIFS(data_num!B:B, data_num!D:D, Y339, data_num!K:K, 1))
</f>
        <v/>
      </c>
      <c r="AF339" s="71"/>
      <c r="AG339" s="79"/>
      <c r="AJ339" s="78"/>
    </row>
    <row r="340" ht="16.5" customHeight="1">
      <c r="B340" s="78"/>
      <c r="C340" s="78"/>
      <c r="D340" s="78"/>
      <c r="E340" s="78"/>
      <c r="F340" s="78"/>
      <c r="G340" s="78"/>
      <c r="I340" s="71"/>
      <c r="AA340" s="73" t="str">
        <f>IF(Z340=0,"",AVERAGEIFS(data_num!B:B, data_num!D:D, Y340, data_num!K:K, 1))
</f>
        <v/>
      </c>
      <c r="AF340" s="71"/>
      <c r="AG340" s="79"/>
      <c r="AJ340" s="78"/>
    </row>
    <row r="341" ht="16.5" customHeight="1">
      <c r="B341" s="78"/>
      <c r="C341" s="78"/>
      <c r="D341" s="78"/>
      <c r="E341" s="78"/>
      <c r="F341" s="78"/>
      <c r="G341" s="78"/>
      <c r="I341" s="71"/>
      <c r="AA341" s="73" t="str">
        <f>IF(Z341=0,"",AVERAGEIFS(data_num!B:B, data_num!D:D, Y341, data_num!K:K, 1))
</f>
        <v/>
      </c>
      <c r="AF341" s="71"/>
      <c r="AG341" s="79"/>
      <c r="AJ341" s="78"/>
    </row>
    <row r="342" ht="16.5" customHeight="1">
      <c r="B342" s="78"/>
      <c r="C342" s="78"/>
      <c r="D342" s="78"/>
      <c r="E342" s="78"/>
      <c r="F342" s="78"/>
      <c r="G342" s="78"/>
      <c r="I342" s="71"/>
      <c r="AA342" s="73" t="str">
        <f>IF(Z342=0,"",AVERAGEIFS(data_num!B:B, data_num!D:D, Y342, data_num!K:K, 1))
</f>
        <v/>
      </c>
      <c r="AF342" s="71"/>
      <c r="AG342" s="79"/>
      <c r="AJ342" s="78"/>
    </row>
    <row r="343" ht="16.5" customHeight="1">
      <c r="B343" s="78"/>
      <c r="C343" s="78"/>
      <c r="D343" s="78"/>
      <c r="E343" s="78"/>
      <c r="F343" s="78"/>
      <c r="G343" s="78"/>
      <c r="I343" s="71"/>
      <c r="AA343" s="73" t="str">
        <f>IF(Z343=0,"",AVERAGEIFS(data_num!B:B, data_num!D:D, Y343, data_num!K:K, 1))
</f>
        <v/>
      </c>
      <c r="AF343" s="71"/>
      <c r="AG343" s="79"/>
      <c r="AJ343" s="78"/>
    </row>
    <row r="344" ht="16.5" customHeight="1">
      <c r="B344" s="78"/>
      <c r="C344" s="78"/>
      <c r="D344" s="78"/>
      <c r="E344" s="78"/>
      <c r="F344" s="78"/>
      <c r="G344" s="78"/>
      <c r="I344" s="71"/>
      <c r="AA344" s="73" t="str">
        <f>IF(Z344=0,"",AVERAGEIFS(data_num!B:B, data_num!D:D, Y344, data_num!K:K, 1))
</f>
        <v/>
      </c>
      <c r="AF344" s="71"/>
      <c r="AG344" s="79"/>
      <c r="AJ344" s="78"/>
    </row>
    <row r="345" ht="16.5" customHeight="1">
      <c r="B345" s="78"/>
      <c r="C345" s="78"/>
      <c r="D345" s="78"/>
      <c r="E345" s="78"/>
      <c r="F345" s="78"/>
      <c r="G345" s="78"/>
      <c r="I345" s="71"/>
      <c r="AA345" s="73" t="str">
        <f>IF(Z345=0,"",AVERAGEIFS(data_num!B:B, data_num!D:D, Y345, data_num!K:K, 1))
</f>
        <v/>
      </c>
      <c r="AF345" s="71"/>
      <c r="AG345" s="79"/>
      <c r="AJ345" s="78"/>
    </row>
    <row r="346" ht="16.5" customHeight="1">
      <c r="B346" s="78"/>
      <c r="C346" s="78"/>
      <c r="D346" s="78"/>
      <c r="E346" s="78"/>
      <c r="F346" s="78"/>
      <c r="G346" s="78"/>
      <c r="I346" s="71"/>
      <c r="AA346" s="73" t="str">
        <f>IF(Z346=0,"",AVERAGEIFS(data_num!B:B, data_num!D:D, Y346, data_num!K:K, 1))
</f>
        <v/>
      </c>
      <c r="AF346" s="71"/>
      <c r="AG346" s="79"/>
      <c r="AJ346" s="78"/>
    </row>
    <row r="347" ht="16.5" customHeight="1">
      <c r="B347" s="78"/>
      <c r="C347" s="78"/>
      <c r="D347" s="78"/>
      <c r="E347" s="78"/>
      <c r="F347" s="78"/>
      <c r="G347" s="78"/>
      <c r="I347" s="71"/>
      <c r="AA347" s="73" t="str">
        <f>IF(Z347=0,"",AVERAGEIFS(data_num!B:B, data_num!D:D, Y347, data_num!K:K, 1))
</f>
        <v/>
      </c>
      <c r="AF347" s="71"/>
      <c r="AG347" s="79"/>
      <c r="AJ347" s="78"/>
    </row>
    <row r="348" ht="16.5" customHeight="1">
      <c r="B348" s="78"/>
      <c r="C348" s="78"/>
      <c r="D348" s="78"/>
      <c r="E348" s="78"/>
      <c r="F348" s="78"/>
      <c r="G348" s="78"/>
      <c r="I348" s="71"/>
      <c r="AA348" s="73" t="str">
        <f>IF(Z348=0,"",AVERAGEIFS(data_num!B:B, data_num!D:D, Y348, data_num!K:K, 1))
</f>
        <v/>
      </c>
      <c r="AF348" s="71"/>
      <c r="AG348" s="79"/>
      <c r="AJ348" s="78"/>
    </row>
    <row r="349" ht="16.5" customHeight="1">
      <c r="B349" s="78"/>
      <c r="C349" s="78"/>
      <c r="D349" s="78"/>
      <c r="E349" s="78"/>
      <c r="F349" s="78"/>
      <c r="G349" s="78"/>
      <c r="I349" s="71"/>
      <c r="AA349" s="73" t="str">
        <f>IF(Z349=0,"",AVERAGEIFS(data_num!B:B, data_num!D:D, Y349, data_num!K:K, 1))
</f>
        <v/>
      </c>
      <c r="AF349" s="71"/>
      <c r="AG349" s="79"/>
      <c r="AJ349" s="78"/>
    </row>
    <row r="350" ht="16.5" customHeight="1">
      <c r="B350" s="78"/>
      <c r="C350" s="78"/>
      <c r="D350" s="78"/>
      <c r="E350" s="78"/>
      <c r="F350" s="78"/>
      <c r="G350" s="78"/>
      <c r="I350" s="71"/>
      <c r="AA350" s="73" t="str">
        <f>IF(Z350=0,"",AVERAGEIFS(data_num!B:B, data_num!D:D, Y350, data_num!K:K, 1))
</f>
        <v/>
      </c>
      <c r="AF350" s="71"/>
      <c r="AG350" s="79"/>
      <c r="AJ350" s="78"/>
    </row>
    <row r="351" ht="16.5" customHeight="1">
      <c r="B351" s="78"/>
      <c r="C351" s="78"/>
      <c r="D351" s="78"/>
      <c r="E351" s="78"/>
      <c r="F351" s="78"/>
      <c r="G351" s="78"/>
      <c r="I351" s="71"/>
      <c r="AA351" s="73" t="str">
        <f>IF(Z351=0,"",AVERAGEIFS(data_num!B:B, data_num!D:D, Y351, data_num!K:K, 1))
</f>
        <v/>
      </c>
      <c r="AF351" s="71"/>
      <c r="AG351" s="79"/>
      <c r="AJ351" s="78"/>
    </row>
    <row r="352" ht="16.5" customHeight="1">
      <c r="B352" s="78"/>
      <c r="C352" s="78"/>
      <c r="D352" s="78"/>
      <c r="E352" s="78"/>
      <c r="F352" s="78"/>
      <c r="G352" s="78"/>
      <c r="I352" s="71"/>
      <c r="AA352" s="73" t="str">
        <f>IF(Z352=0,"",AVERAGEIFS(data_num!B:B, data_num!D:D, Y352, data_num!K:K, 1))
</f>
        <v/>
      </c>
      <c r="AF352" s="71"/>
      <c r="AG352" s="79"/>
      <c r="AJ352" s="78"/>
    </row>
    <row r="353" ht="16.5" customHeight="1">
      <c r="B353" s="78"/>
      <c r="C353" s="78"/>
      <c r="D353" s="78"/>
      <c r="E353" s="78"/>
      <c r="F353" s="78"/>
      <c r="G353" s="78"/>
      <c r="I353" s="71"/>
      <c r="AA353" s="73" t="str">
        <f>IF(Z353=0,"",AVERAGEIFS(data_num!B:B, data_num!D:D, Y353, data_num!K:K, 1))
</f>
        <v/>
      </c>
      <c r="AF353" s="71"/>
      <c r="AG353" s="79"/>
      <c r="AJ353" s="78"/>
    </row>
    <row r="354" ht="16.5" customHeight="1">
      <c r="B354" s="78"/>
      <c r="C354" s="78"/>
      <c r="D354" s="78"/>
      <c r="E354" s="78"/>
      <c r="F354" s="78"/>
      <c r="G354" s="78"/>
      <c r="I354" s="71"/>
      <c r="AA354" s="73" t="str">
        <f>IF(Z354=0,"",AVERAGEIFS(data_num!B:B, data_num!D:D, Y354, data_num!K:K, 1))
</f>
        <v/>
      </c>
      <c r="AF354" s="71"/>
      <c r="AG354" s="79"/>
      <c r="AJ354" s="78"/>
    </row>
    <row r="355" ht="16.5" customHeight="1">
      <c r="B355" s="78"/>
      <c r="C355" s="78"/>
      <c r="D355" s="78"/>
      <c r="E355" s="78"/>
      <c r="F355" s="78"/>
      <c r="G355" s="78"/>
      <c r="I355" s="71"/>
      <c r="AA355" s="73" t="str">
        <f>IF(Z355=0,"",AVERAGEIFS(data_num!B:B, data_num!D:D, Y355, data_num!K:K, 1))
</f>
        <v/>
      </c>
      <c r="AF355" s="71"/>
      <c r="AG355" s="79"/>
      <c r="AJ355" s="78"/>
    </row>
    <row r="356" ht="16.5" customHeight="1">
      <c r="B356" s="78"/>
      <c r="C356" s="78"/>
      <c r="D356" s="78"/>
      <c r="E356" s="78"/>
      <c r="F356" s="78"/>
      <c r="G356" s="78"/>
      <c r="I356" s="71"/>
      <c r="AA356" s="73" t="str">
        <f>IF(Z356=0,"",AVERAGEIFS(data_num!B:B, data_num!D:D, Y356, data_num!K:K, 1))
</f>
        <v/>
      </c>
      <c r="AF356" s="71"/>
      <c r="AG356" s="79"/>
      <c r="AJ356" s="78"/>
    </row>
    <row r="357" ht="16.5" customHeight="1">
      <c r="B357" s="78"/>
      <c r="C357" s="78"/>
      <c r="D357" s="78"/>
      <c r="E357" s="78"/>
      <c r="F357" s="78"/>
      <c r="G357" s="78"/>
      <c r="I357" s="71"/>
      <c r="AA357" s="73" t="str">
        <f>IF(Z357=0,"",AVERAGEIFS(data_num!B:B, data_num!D:D, Y357, data_num!K:K, 1))
</f>
        <v/>
      </c>
      <c r="AF357" s="71"/>
      <c r="AG357" s="79"/>
      <c r="AJ357" s="78"/>
    </row>
    <row r="358" ht="16.5" customHeight="1">
      <c r="B358" s="78"/>
      <c r="C358" s="78"/>
      <c r="D358" s="78"/>
      <c r="E358" s="78"/>
      <c r="F358" s="78"/>
      <c r="G358" s="78"/>
      <c r="I358" s="71"/>
      <c r="AA358" s="73" t="str">
        <f>IF(Z358=0,"",AVERAGEIFS(data_num!B:B, data_num!D:D, Y358, data_num!K:K, 1))
</f>
        <v/>
      </c>
      <c r="AF358" s="71"/>
      <c r="AG358" s="79"/>
      <c r="AJ358" s="78"/>
    </row>
    <row r="359" ht="16.5" customHeight="1">
      <c r="B359" s="78"/>
      <c r="C359" s="78"/>
      <c r="D359" s="78"/>
      <c r="E359" s="78"/>
      <c r="F359" s="78"/>
      <c r="G359" s="78"/>
      <c r="I359" s="71"/>
      <c r="AA359" s="73" t="str">
        <f>IF(Z359=0,"",AVERAGEIFS(data_num!B:B, data_num!D:D, Y359, data_num!K:K, 1))
</f>
        <v/>
      </c>
      <c r="AF359" s="71"/>
      <c r="AG359" s="79"/>
      <c r="AJ359" s="78"/>
    </row>
    <row r="360" ht="16.5" customHeight="1">
      <c r="B360" s="78"/>
      <c r="C360" s="78"/>
      <c r="D360" s="78"/>
      <c r="E360" s="78"/>
      <c r="F360" s="78"/>
      <c r="G360" s="78"/>
      <c r="I360" s="71"/>
      <c r="AA360" s="73" t="str">
        <f>IF(Z360=0,"",AVERAGEIFS(data_num!B:B, data_num!D:D, Y360, data_num!K:K, 1))
</f>
        <v/>
      </c>
      <c r="AF360" s="71"/>
      <c r="AG360" s="79"/>
      <c r="AJ360" s="78"/>
    </row>
    <row r="361" ht="16.5" customHeight="1">
      <c r="B361" s="78"/>
      <c r="C361" s="78"/>
      <c r="D361" s="78"/>
      <c r="E361" s="78"/>
      <c r="F361" s="78"/>
      <c r="G361" s="78"/>
      <c r="I361" s="71"/>
      <c r="AA361" s="73" t="str">
        <f>IF(Z361=0,"",AVERAGEIFS(data_num!B:B, data_num!D:D, Y361, data_num!K:K, 1))
</f>
        <v/>
      </c>
      <c r="AF361" s="71"/>
      <c r="AG361" s="79"/>
      <c r="AJ361" s="78"/>
    </row>
    <row r="362" ht="16.5" customHeight="1">
      <c r="B362" s="78"/>
      <c r="C362" s="78"/>
      <c r="D362" s="78"/>
      <c r="E362" s="78"/>
      <c r="F362" s="78"/>
      <c r="G362" s="78"/>
      <c r="I362" s="71"/>
      <c r="AA362" s="73" t="str">
        <f>IF(Z362=0,"",AVERAGEIFS(data_num!B:B, data_num!D:D, Y362, data_num!K:K, 1))
</f>
        <v/>
      </c>
      <c r="AF362" s="71"/>
      <c r="AG362" s="79"/>
      <c r="AJ362" s="78"/>
    </row>
    <row r="363" ht="16.5" customHeight="1">
      <c r="B363" s="78"/>
      <c r="C363" s="78"/>
      <c r="D363" s="78"/>
      <c r="E363" s="78"/>
      <c r="F363" s="78"/>
      <c r="G363" s="78"/>
      <c r="I363" s="71"/>
      <c r="AA363" s="73" t="str">
        <f>IF(Z363=0,"",AVERAGEIFS(data_num!B:B, data_num!D:D, Y363, data_num!K:K, 1))
</f>
        <v/>
      </c>
      <c r="AF363" s="71"/>
      <c r="AG363" s="79"/>
      <c r="AJ363" s="78"/>
    </row>
    <row r="364" ht="16.5" customHeight="1">
      <c r="B364" s="78"/>
      <c r="C364" s="78"/>
      <c r="D364" s="78"/>
      <c r="E364" s="78"/>
      <c r="F364" s="78"/>
      <c r="G364" s="78"/>
      <c r="I364" s="71"/>
      <c r="AA364" s="73" t="str">
        <f>IF(Z364=0,"",AVERAGEIFS(data_num!B:B, data_num!D:D, Y364, data_num!K:K, 1))
</f>
        <v/>
      </c>
      <c r="AF364" s="71"/>
      <c r="AG364" s="79"/>
      <c r="AJ364" s="78"/>
    </row>
    <row r="365" ht="16.5" customHeight="1">
      <c r="B365" s="78"/>
      <c r="C365" s="78"/>
      <c r="D365" s="78"/>
      <c r="E365" s="78"/>
      <c r="F365" s="78"/>
      <c r="G365" s="78"/>
      <c r="I365" s="71"/>
      <c r="AA365" s="73" t="str">
        <f>IF(Z365=0,"",AVERAGEIFS(data_num!B:B, data_num!D:D, Y365, data_num!K:K, 1))
</f>
        <v/>
      </c>
      <c r="AF365" s="71"/>
      <c r="AG365" s="79"/>
      <c r="AJ365" s="78"/>
    </row>
    <row r="366" ht="16.5" customHeight="1">
      <c r="B366" s="78"/>
      <c r="C366" s="78"/>
      <c r="D366" s="78"/>
      <c r="E366" s="78"/>
      <c r="F366" s="78"/>
      <c r="G366" s="78"/>
      <c r="I366" s="71"/>
      <c r="AA366" s="73" t="str">
        <f>IF(Z366=0,"",AVERAGEIFS(data_num!B:B, data_num!D:D, Y366, data_num!K:K, 1))
</f>
        <v/>
      </c>
      <c r="AF366" s="71"/>
      <c r="AG366" s="79"/>
      <c r="AJ366" s="78"/>
    </row>
    <row r="367" ht="16.5" customHeight="1">
      <c r="B367" s="78"/>
      <c r="C367" s="78"/>
      <c r="D367" s="78"/>
      <c r="E367" s="78"/>
      <c r="F367" s="78"/>
      <c r="G367" s="78"/>
      <c r="I367" s="71"/>
      <c r="AA367" s="73" t="str">
        <f>IF(Z367=0,"",AVERAGEIFS(data_num!B:B, data_num!D:D, Y367, data_num!K:K, 1))
</f>
        <v/>
      </c>
      <c r="AF367" s="71"/>
      <c r="AG367" s="79"/>
      <c r="AJ367" s="78"/>
    </row>
    <row r="368" ht="16.5" customHeight="1">
      <c r="B368" s="78"/>
      <c r="C368" s="78"/>
      <c r="D368" s="78"/>
      <c r="E368" s="78"/>
      <c r="F368" s="78"/>
      <c r="G368" s="78"/>
      <c r="I368" s="71"/>
      <c r="AA368" s="73" t="str">
        <f>IF(Z368=0,"",AVERAGEIFS(data_num!B:B, data_num!D:D, Y368, data_num!K:K, 1))
</f>
        <v/>
      </c>
      <c r="AF368" s="71"/>
      <c r="AG368" s="79"/>
      <c r="AJ368" s="78"/>
    </row>
    <row r="369" ht="16.5" customHeight="1">
      <c r="B369" s="78"/>
      <c r="C369" s="78"/>
      <c r="D369" s="78"/>
      <c r="E369" s="78"/>
      <c r="F369" s="78"/>
      <c r="G369" s="78"/>
      <c r="I369" s="71"/>
      <c r="AA369" s="73" t="str">
        <f>IF(Z369=0,"",AVERAGEIFS(data_num!B:B, data_num!D:D, Y369, data_num!K:K, 1))
</f>
        <v/>
      </c>
      <c r="AF369" s="71"/>
      <c r="AG369" s="79"/>
      <c r="AJ369" s="78"/>
    </row>
    <row r="370" ht="16.5" customHeight="1">
      <c r="B370" s="78"/>
      <c r="C370" s="78"/>
      <c r="D370" s="78"/>
      <c r="E370" s="78"/>
      <c r="F370" s="78"/>
      <c r="G370" s="78"/>
      <c r="I370" s="71"/>
      <c r="AA370" s="73" t="str">
        <f>IF(Z370=0,"",AVERAGEIFS(data_num!B:B, data_num!D:D, Y370, data_num!K:K, 1))
</f>
        <v/>
      </c>
      <c r="AF370" s="71"/>
      <c r="AG370" s="79"/>
      <c r="AJ370" s="78"/>
    </row>
    <row r="371" ht="16.5" customHeight="1">
      <c r="B371" s="78"/>
      <c r="C371" s="78"/>
      <c r="D371" s="78"/>
      <c r="E371" s="78"/>
      <c r="F371" s="78"/>
      <c r="G371" s="78"/>
      <c r="I371" s="71"/>
      <c r="AA371" s="73" t="str">
        <f>IF(Z371=0,"",AVERAGEIFS(data_num!B:B, data_num!D:D, Y371, data_num!K:K, 1))
</f>
        <v/>
      </c>
      <c r="AF371" s="71"/>
      <c r="AG371" s="79"/>
      <c r="AJ371" s="78"/>
    </row>
    <row r="372" ht="16.5" customHeight="1">
      <c r="B372" s="78"/>
      <c r="C372" s="78"/>
      <c r="D372" s="78"/>
      <c r="E372" s="78"/>
      <c r="F372" s="78"/>
      <c r="G372" s="78"/>
      <c r="I372" s="71"/>
      <c r="AA372" s="73" t="str">
        <f>IF(Z372=0,"",AVERAGEIFS(data_num!B:B, data_num!D:D, Y372, data_num!K:K, 1))
</f>
        <v/>
      </c>
      <c r="AF372" s="71"/>
      <c r="AG372" s="79"/>
      <c r="AJ372" s="78"/>
    </row>
    <row r="373" ht="16.5" customHeight="1">
      <c r="B373" s="78"/>
      <c r="C373" s="78"/>
      <c r="D373" s="78"/>
      <c r="E373" s="78"/>
      <c r="F373" s="78"/>
      <c r="G373" s="78"/>
      <c r="I373" s="71"/>
      <c r="AA373" s="73" t="str">
        <f>IF(Z373=0,"",AVERAGEIFS(data_num!B:B, data_num!D:D, Y373, data_num!K:K, 1))
</f>
        <v/>
      </c>
      <c r="AF373" s="71"/>
      <c r="AG373" s="79"/>
      <c r="AJ373" s="78"/>
    </row>
    <row r="374" ht="16.5" customHeight="1">
      <c r="B374" s="78"/>
      <c r="C374" s="78"/>
      <c r="D374" s="78"/>
      <c r="E374" s="78"/>
      <c r="F374" s="78"/>
      <c r="G374" s="78"/>
      <c r="I374" s="71"/>
      <c r="AA374" s="73" t="str">
        <f>IF(Z374=0,"",AVERAGEIFS(data_num!B:B, data_num!D:D, Y374, data_num!K:K, 1))
</f>
        <v/>
      </c>
      <c r="AF374" s="71"/>
      <c r="AG374" s="79"/>
      <c r="AJ374" s="78"/>
    </row>
    <row r="375" ht="16.5" customHeight="1">
      <c r="B375" s="78"/>
      <c r="C375" s="78"/>
      <c r="D375" s="78"/>
      <c r="E375" s="78"/>
      <c r="F375" s="78"/>
      <c r="G375" s="78"/>
      <c r="I375" s="71"/>
      <c r="AA375" s="73" t="str">
        <f>IF(Z375=0,"",AVERAGEIFS(data_num!B:B, data_num!D:D, Y375, data_num!K:K, 1))
</f>
        <v/>
      </c>
      <c r="AF375" s="71"/>
      <c r="AG375" s="79"/>
      <c r="AJ375" s="78"/>
    </row>
    <row r="376" ht="16.5" customHeight="1">
      <c r="B376" s="78"/>
      <c r="C376" s="78"/>
      <c r="D376" s="78"/>
      <c r="E376" s="78"/>
      <c r="F376" s="78"/>
      <c r="G376" s="78"/>
      <c r="I376" s="71"/>
      <c r="AA376" s="73" t="str">
        <f>IF(Z376=0,"",AVERAGEIFS(data_num!B:B, data_num!D:D, Y376, data_num!K:K, 1))
</f>
        <v/>
      </c>
      <c r="AF376" s="71"/>
      <c r="AG376" s="79"/>
      <c r="AJ376" s="78"/>
    </row>
    <row r="377" ht="16.5" customHeight="1">
      <c r="B377" s="78"/>
      <c r="C377" s="78"/>
      <c r="D377" s="78"/>
      <c r="E377" s="78"/>
      <c r="F377" s="78"/>
      <c r="G377" s="78"/>
      <c r="I377" s="71"/>
      <c r="AA377" s="73" t="str">
        <f>IF(Z377=0,"",AVERAGEIFS(data_num!B:B, data_num!D:D, Y377, data_num!K:K, 1))
</f>
        <v/>
      </c>
      <c r="AF377" s="71"/>
      <c r="AG377" s="79"/>
      <c r="AJ377" s="78"/>
    </row>
    <row r="378" ht="16.5" customHeight="1">
      <c r="B378" s="78"/>
      <c r="C378" s="78"/>
      <c r="D378" s="78"/>
      <c r="E378" s="78"/>
      <c r="F378" s="78"/>
      <c r="G378" s="78"/>
      <c r="I378" s="71"/>
      <c r="AA378" s="73" t="str">
        <f>IF(Z378=0,"",AVERAGEIFS(data_num!B:B, data_num!D:D, Y378, data_num!K:K, 1))
</f>
        <v/>
      </c>
      <c r="AF378" s="71"/>
      <c r="AG378" s="79"/>
      <c r="AJ378" s="78"/>
    </row>
    <row r="379" ht="16.5" customHeight="1">
      <c r="B379" s="78"/>
      <c r="C379" s="78"/>
      <c r="D379" s="78"/>
      <c r="E379" s="78"/>
      <c r="F379" s="78"/>
      <c r="G379" s="78"/>
      <c r="I379" s="71"/>
      <c r="AA379" s="73" t="str">
        <f>IF(Z379=0,"",AVERAGEIFS(data_num!B:B, data_num!D:D, Y379, data_num!K:K, 1))
</f>
        <v/>
      </c>
      <c r="AF379" s="71"/>
      <c r="AG379" s="79"/>
      <c r="AJ379" s="78"/>
    </row>
    <row r="380" ht="16.5" customHeight="1">
      <c r="B380" s="78"/>
      <c r="C380" s="78"/>
      <c r="D380" s="78"/>
      <c r="E380" s="78"/>
      <c r="F380" s="78"/>
      <c r="G380" s="78"/>
      <c r="I380" s="71"/>
      <c r="AA380" s="73" t="str">
        <f>IF(Z380=0,"",AVERAGEIFS(data_num!B:B, data_num!D:D, Y380, data_num!K:K, 1))
</f>
        <v/>
      </c>
      <c r="AF380" s="71"/>
      <c r="AG380" s="79"/>
      <c r="AJ380" s="78"/>
    </row>
    <row r="381" ht="16.5" customHeight="1">
      <c r="B381" s="78"/>
      <c r="C381" s="78"/>
      <c r="D381" s="78"/>
      <c r="E381" s="78"/>
      <c r="F381" s="78"/>
      <c r="G381" s="78"/>
      <c r="I381" s="71"/>
      <c r="AA381" s="73" t="str">
        <f>IF(Z381=0,"",AVERAGEIFS(data_num!B:B, data_num!D:D, Y381, data_num!K:K, 1))
</f>
        <v/>
      </c>
      <c r="AF381" s="71"/>
      <c r="AG381" s="79"/>
      <c r="AJ381" s="78"/>
    </row>
    <row r="382" ht="16.5" customHeight="1">
      <c r="B382" s="78"/>
      <c r="C382" s="78"/>
      <c r="D382" s="78"/>
      <c r="E382" s="78"/>
      <c r="F382" s="78"/>
      <c r="G382" s="78"/>
      <c r="I382" s="71"/>
      <c r="AA382" s="73" t="str">
        <f>IF(Z382=0,"",AVERAGEIFS(data_num!B:B, data_num!D:D, Y382, data_num!K:K, 1))
</f>
        <v/>
      </c>
      <c r="AF382" s="71"/>
      <c r="AG382" s="79"/>
      <c r="AJ382" s="78"/>
    </row>
    <row r="383" ht="16.5" customHeight="1">
      <c r="B383" s="78"/>
      <c r="C383" s="78"/>
      <c r="D383" s="78"/>
      <c r="E383" s="78"/>
      <c r="F383" s="78"/>
      <c r="G383" s="78"/>
      <c r="I383" s="71"/>
      <c r="AA383" s="73" t="str">
        <f>IF(Z383=0,"",AVERAGEIFS(data_num!B:B, data_num!D:D, Y383, data_num!K:K, 1))
</f>
        <v/>
      </c>
      <c r="AF383" s="71"/>
      <c r="AG383" s="79"/>
      <c r="AJ383" s="78"/>
    </row>
    <row r="384" ht="16.5" customHeight="1">
      <c r="B384" s="78"/>
      <c r="C384" s="78"/>
      <c r="D384" s="78"/>
      <c r="E384" s="78"/>
      <c r="F384" s="78"/>
      <c r="G384" s="78"/>
      <c r="I384" s="71"/>
      <c r="AA384" s="73" t="str">
        <f>IF(Z384=0,"",AVERAGEIFS(data_num!B:B, data_num!D:D, Y384, data_num!K:K, 1))
</f>
        <v/>
      </c>
      <c r="AF384" s="71"/>
      <c r="AG384" s="79"/>
      <c r="AJ384" s="78"/>
    </row>
    <row r="385" ht="16.5" customHeight="1">
      <c r="B385" s="78"/>
      <c r="C385" s="78"/>
      <c r="D385" s="78"/>
      <c r="E385" s="78"/>
      <c r="F385" s="78"/>
      <c r="G385" s="78"/>
      <c r="I385" s="71"/>
      <c r="AA385" s="73" t="str">
        <f>IF(Z385=0,"",AVERAGEIFS(data_num!B:B, data_num!D:D, Y385, data_num!K:K, 1))
</f>
        <v/>
      </c>
      <c r="AF385" s="71"/>
      <c r="AG385" s="79"/>
      <c r="AJ385" s="78"/>
    </row>
    <row r="386" ht="16.5" customHeight="1">
      <c r="B386" s="78"/>
      <c r="C386" s="78"/>
      <c r="D386" s="78"/>
      <c r="E386" s="78"/>
      <c r="F386" s="78"/>
      <c r="G386" s="78"/>
      <c r="I386" s="71"/>
      <c r="AA386" s="73" t="str">
        <f>IF(Z386=0,"",AVERAGEIFS(data_num!B:B, data_num!D:D, Y386, data_num!K:K, 1))
</f>
        <v/>
      </c>
      <c r="AF386" s="71"/>
      <c r="AG386" s="79"/>
      <c r="AJ386" s="78"/>
    </row>
    <row r="387" ht="16.5" customHeight="1">
      <c r="B387" s="78"/>
      <c r="C387" s="78"/>
      <c r="D387" s="78"/>
      <c r="E387" s="78"/>
      <c r="F387" s="78"/>
      <c r="G387" s="78"/>
      <c r="I387" s="71"/>
      <c r="AA387" s="73" t="str">
        <f>IF(Z387=0,"",AVERAGEIFS(data_num!B:B, data_num!D:D, Y387, data_num!K:K, 1))
</f>
        <v/>
      </c>
      <c r="AF387" s="71"/>
      <c r="AG387" s="79"/>
      <c r="AJ387" s="78"/>
    </row>
    <row r="388" ht="16.5" customHeight="1">
      <c r="B388" s="78"/>
      <c r="C388" s="78"/>
      <c r="D388" s="78"/>
      <c r="E388" s="78"/>
      <c r="F388" s="78"/>
      <c r="G388" s="78"/>
      <c r="I388" s="71"/>
      <c r="AA388" s="73" t="str">
        <f>IF(Z388=0,"",AVERAGEIFS(data_num!B:B, data_num!D:D, Y388, data_num!K:K, 1))
</f>
        <v/>
      </c>
      <c r="AF388" s="71"/>
      <c r="AG388" s="79"/>
      <c r="AJ388" s="78"/>
    </row>
    <row r="389" ht="16.5" customHeight="1">
      <c r="B389" s="78"/>
      <c r="C389" s="78"/>
      <c r="D389" s="78"/>
      <c r="E389" s="78"/>
      <c r="F389" s="78"/>
      <c r="G389" s="78"/>
      <c r="I389" s="71"/>
      <c r="AA389" s="73" t="str">
        <f>IF(Z389=0,"",AVERAGEIFS(data_num!B:B, data_num!D:D, Y389, data_num!K:K, 1))
</f>
        <v/>
      </c>
      <c r="AF389" s="71"/>
      <c r="AG389" s="79"/>
      <c r="AJ389" s="78"/>
    </row>
    <row r="390" ht="16.5" customHeight="1">
      <c r="B390" s="78"/>
      <c r="C390" s="78"/>
      <c r="D390" s="78"/>
      <c r="E390" s="78"/>
      <c r="F390" s="78"/>
      <c r="G390" s="78"/>
      <c r="I390" s="71"/>
      <c r="AA390" s="73" t="str">
        <f>IF(Z390=0,"",AVERAGEIFS(data_num!B:B, data_num!D:D, Y390, data_num!K:K, 1))
</f>
        <v/>
      </c>
      <c r="AF390" s="71"/>
      <c r="AG390" s="79"/>
      <c r="AJ390" s="78"/>
    </row>
    <row r="391" ht="16.5" customHeight="1">
      <c r="B391" s="78"/>
      <c r="C391" s="78"/>
      <c r="D391" s="78"/>
      <c r="E391" s="78"/>
      <c r="F391" s="78"/>
      <c r="G391" s="78"/>
      <c r="I391" s="71"/>
      <c r="AA391" s="73" t="str">
        <f>IF(Z391=0,"",AVERAGEIFS(data_num!B:B, data_num!D:D, Y391, data_num!K:K, 1))
</f>
        <v/>
      </c>
      <c r="AF391" s="71"/>
      <c r="AG391" s="79"/>
      <c r="AJ391" s="78"/>
    </row>
    <row r="392" ht="16.5" customHeight="1">
      <c r="B392" s="78"/>
      <c r="C392" s="78"/>
      <c r="D392" s="78"/>
      <c r="E392" s="78"/>
      <c r="F392" s="78"/>
      <c r="G392" s="78"/>
      <c r="I392" s="71"/>
      <c r="AA392" s="73" t="str">
        <f>IF(Z392=0,"",AVERAGEIFS(data_num!B:B, data_num!D:D, Y392, data_num!K:K, 1))
</f>
        <v/>
      </c>
      <c r="AF392" s="71"/>
      <c r="AG392" s="79"/>
      <c r="AJ392" s="78"/>
    </row>
    <row r="393" ht="16.5" customHeight="1">
      <c r="B393" s="78"/>
      <c r="C393" s="78"/>
      <c r="D393" s="78"/>
      <c r="E393" s="78"/>
      <c r="F393" s="78"/>
      <c r="G393" s="78"/>
      <c r="I393" s="71"/>
      <c r="AA393" s="73" t="str">
        <f>IF(Z393=0,"",AVERAGEIFS(data_num!B:B, data_num!D:D, Y393, data_num!K:K, 1))
</f>
        <v/>
      </c>
      <c r="AF393" s="71"/>
      <c r="AG393" s="79"/>
      <c r="AJ393" s="78"/>
    </row>
    <row r="394" ht="16.5" customHeight="1">
      <c r="B394" s="78"/>
      <c r="C394" s="78"/>
      <c r="D394" s="78"/>
      <c r="E394" s="78"/>
      <c r="F394" s="78"/>
      <c r="G394" s="78"/>
      <c r="I394" s="71"/>
      <c r="AA394" s="73" t="str">
        <f>IF(Z394=0,"",AVERAGEIFS(data_num!B:B, data_num!D:D, Y394, data_num!K:K, 1))
</f>
        <v/>
      </c>
      <c r="AF394" s="71"/>
      <c r="AG394" s="79"/>
      <c r="AJ394" s="78"/>
    </row>
    <row r="395" ht="16.5" customHeight="1">
      <c r="B395" s="78"/>
      <c r="C395" s="78"/>
      <c r="D395" s="78"/>
      <c r="E395" s="78"/>
      <c r="F395" s="78"/>
      <c r="G395" s="78"/>
      <c r="I395" s="71"/>
      <c r="AA395" s="73" t="str">
        <f>IF(Z395=0,"",AVERAGEIFS(data_num!B:B, data_num!D:D, Y395, data_num!K:K, 1))
</f>
        <v/>
      </c>
      <c r="AF395" s="71"/>
      <c r="AG395" s="79"/>
      <c r="AJ395" s="78"/>
    </row>
    <row r="396" ht="16.5" customHeight="1">
      <c r="B396" s="78"/>
      <c r="C396" s="78"/>
      <c r="D396" s="78"/>
      <c r="E396" s="78"/>
      <c r="F396" s="78"/>
      <c r="G396" s="78"/>
      <c r="I396" s="71"/>
      <c r="AA396" s="73" t="str">
        <f>IF(Z396=0,"",AVERAGEIFS(data_num!B:B, data_num!D:D, Y396, data_num!K:K, 1))
</f>
        <v/>
      </c>
      <c r="AF396" s="71"/>
      <c r="AG396" s="79"/>
      <c r="AJ396" s="78"/>
    </row>
    <row r="397" ht="16.5" customHeight="1">
      <c r="B397" s="78"/>
      <c r="C397" s="78"/>
      <c r="D397" s="78"/>
      <c r="E397" s="78"/>
      <c r="F397" s="78"/>
      <c r="G397" s="78"/>
      <c r="I397" s="71"/>
      <c r="AA397" s="73" t="str">
        <f>IF(Z397=0,"",AVERAGEIFS(data_num!B:B, data_num!D:D, Y397, data_num!K:K, 1))
</f>
        <v/>
      </c>
      <c r="AF397" s="71"/>
      <c r="AG397" s="79"/>
      <c r="AJ397" s="78"/>
    </row>
    <row r="398" ht="16.5" customHeight="1">
      <c r="B398" s="78"/>
      <c r="C398" s="78"/>
      <c r="D398" s="78"/>
      <c r="E398" s="78"/>
      <c r="F398" s="78"/>
      <c r="G398" s="78"/>
      <c r="I398" s="71"/>
      <c r="AA398" s="73" t="str">
        <f>IF(Z398=0,"",AVERAGEIFS(data_num!B:B, data_num!D:D, Y398, data_num!K:K, 1))
</f>
        <v/>
      </c>
      <c r="AF398" s="71"/>
      <c r="AG398" s="79"/>
      <c r="AJ398" s="78"/>
    </row>
    <row r="399" ht="16.5" customHeight="1">
      <c r="B399" s="78"/>
      <c r="C399" s="78"/>
      <c r="D399" s="78"/>
      <c r="E399" s="78"/>
      <c r="F399" s="78"/>
      <c r="G399" s="78"/>
      <c r="I399" s="71"/>
      <c r="AA399" s="73" t="str">
        <f>IF(Z399=0,"",AVERAGEIFS(data_num!B:B, data_num!D:D, Y399, data_num!K:K, 1))
</f>
        <v/>
      </c>
      <c r="AF399" s="71"/>
      <c r="AG399" s="79"/>
      <c r="AJ399" s="78"/>
    </row>
    <row r="400" ht="16.5" customHeight="1">
      <c r="B400" s="78"/>
      <c r="C400" s="78"/>
      <c r="D400" s="78"/>
      <c r="E400" s="78"/>
      <c r="F400" s="78"/>
      <c r="G400" s="78"/>
      <c r="I400" s="71"/>
      <c r="AA400" s="73" t="str">
        <f>IF(Z400=0,"",AVERAGEIFS(data_num!B:B, data_num!D:D, Y400, data_num!K:K, 1))
</f>
        <v/>
      </c>
      <c r="AF400" s="71"/>
      <c r="AG400" s="79"/>
      <c r="AJ400" s="78"/>
    </row>
    <row r="401" ht="16.5" customHeight="1">
      <c r="B401" s="78"/>
      <c r="C401" s="78"/>
      <c r="D401" s="78"/>
      <c r="E401" s="78"/>
      <c r="F401" s="78"/>
      <c r="G401" s="78"/>
      <c r="I401" s="71"/>
      <c r="AA401" s="73" t="str">
        <f>IF(Z401=0,"",AVERAGEIFS(data_num!B:B, data_num!D:D, Y401, data_num!K:K, 1))
</f>
        <v/>
      </c>
      <c r="AF401" s="71"/>
      <c r="AG401" s="79"/>
      <c r="AJ401" s="78"/>
    </row>
    <row r="402" ht="16.5" customHeight="1">
      <c r="B402" s="78"/>
      <c r="C402" s="78"/>
      <c r="D402" s="78"/>
      <c r="E402" s="78"/>
      <c r="F402" s="78"/>
      <c r="G402" s="78"/>
      <c r="I402" s="71"/>
      <c r="AA402" s="73" t="str">
        <f>IF(Z402=0,"",AVERAGEIFS(data_num!B:B, data_num!D:D, Y402, data_num!K:K, 1))
</f>
        <v/>
      </c>
      <c r="AF402" s="71"/>
      <c r="AG402" s="79"/>
      <c r="AJ402" s="78"/>
    </row>
    <row r="403" ht="16.5" customHeight="1">
      <c r="B403" s="78"/>
      <c r="C403" s="78"/>
      <c r="D403" s="78"/>
      <c r="E403" s="78"/>
      <c r="F403" s="78"/>
      <c r="G403" s="78"/>
      <c r="I403" s="71"/>
      <c r="AA403" s="73" t="str">
        <f>IF(Z403=0,"",AVERAGEIFS(data_num!B:B, data_num!D:D, Y403, data_num!K:K, 1))
</f>
        <v/>
      </c>
      <c r="AF403" s="71"/>
      <c r="AG403" s="79"/>
      <c r="AJ403" s="78"/>
    </row>
    <row r="404" ht="16.5" customHeight="1">
      <c r="B404" s="78"/>
      <c r="C404" s="78"/>
      <c r="D404" s="78"/>
      <c r="E404" s="78"/>
      <c r="F404" s="78"/>
      <c r="G404" s="78"/>
      <c r="I404" s="71"/>
      <c r="AA404" s="73" t="str">
        <f>IF(Z404=0,"",AVERAGEIFS(data_num!B:B, data_num!D:D, Y404, data_num!K:K, 1))
</f>
        <v/>
      </c>
      <c r="AF404" s="71"/>
      <c r="AG404" s="79"/>
      <c r="AJ404" s="78"/>
    </row>
    <row r="405" ht="16.5" customHeight="1">
      <c r="B405" s="78"/>
      <c r="C405" s="78"/>
      <c r="D405" s="78"/>
      <c r="E405" s="78"/>
      <c r="F405" s="78"/>
      <c r="G405" s="78"/>
      <c r="I405" s="71"/>
      <c r="AA405" s="73" t="str">
        <f>IF(Z405=0,"",AVERAGEIFS(data_num!B:B, data_num!D:D, Y405, data_num!K:K, 1))
</f>
        <v/>
      </c>
      <c r="AF405" s="71"/>
      <c r="AG405" s="79"/>
      <c r="AJ405" s="78"/>
    </row>
    <row r="406" ht="16.5" customHeight="1">
      <c r="B406" s="78"/>
      <c r="C406" s="78"/>
      <c r="D406" s="78"/>
      <c r="E406" s="78"/>
      <c r="F406" s="78"/>
      <c r="G406" s="78"/>
      <c r="I406" s="71"/>
      <c r="AA406" s="73" t="str">
        <f>IF(Z406=0,"",AVERAGEIFS(data_num!B:B, data_num!D:D, Y406, data_num!K:K, 1))
</f>
        <v/>
      </c>
      <c r="AF406" s="71"/>
      <c r="AG406" s="79"/>
      <c r="AJ406" s="78"/>
    </row>
    <row r="407" ht="16.5" customHeight="1">
      <c r="B407" s="78"/>
      <c r="C407" s="78"/>
      <c r="D407" s="78"/>
      <c r="E407" s="78"/>
      <c r="F407" s="78"/>
      <c r="G407" s="78"/>
      <c r="I407" s="71"/>
      <c r="AA407" s="73" t="str">
        <f>IF(Z407=0,"",AVERAGEIFS(data_num!B:B, data_num!D:D, Y407, data_num!K:K, 1))
</f>
        <v/>
      </c>
      <c r="AF407" s="71"/>
      <c r="AG407" s="79"/>
      <c r="AJ407" s="78"/>
    </row>
    <row r="408" ht="16.5" customHeight="1">
      <c r="B408" s="78"/>
      <c r="C408" s="78"/>
      <c r="D408" s="78"/>
      <c r="E408" s="78"/>
      <c r="F408" s="78"/>
      <c r="G408" s="78"/>
      <c r="I408" s="71"/>
      <c r="AA408" s="73" t="str">
        <f>IF(Z408=0,"",AVERAGEIFS(data_num!B:B, data_num!D:D, Y408, data_num!K:K, 1))
</f>
        <v/>
      </c>
      <c r="AF408" s="71"/>
      <c r="AG408" s="79"/>
      <c r="AJ408" s="78"/>
    </row>
    <row r="409" ht="16.5" customHeight="1">
      <c r="B409" s="78"/>
      <c r="C409" s="78"/>
      <c r="D409" s="78"/>
      <c r="E409" s="78"/>
      <c r="F409" s="78"/>
      <c r="G409" s="78"/>
      <c r="I409" s="71"/>
      <c r="AA409" s="73" t="str">
        <f>IF(Z409=0,"",AVERAGEIFS(data_num!B:B, data_num!D:D, Y409, data_num!K:K, 1))
</f>
        <v/>
      </c>
      <c r="AF409" s="71"/>
      <c r="AG409" s="79"/>
      <c r="AJ409" s="78"/>
    </row>
    <row r="410" ht="16.5" customHeight="1">
      <c r="B410" s="78"/>
      <c r="C410" s="78"/>
      <c r="D410" s="78"/>
      <c r="E410" s="78"/>
      <c r="F410" s="78"/>
      <c r="G410" s="78"/>
      <c r="I410" s="71"/>
      <c r="AA410" s="73" t="str">
        <f>IF(Z410=0,"",AVERAGEIFS(data_num!B:B, data_num!D:D, Y410, data_num!K:K, 1))
</f>
        <v/>
      </c>
      <c r="AF410" s="71"/>
      <c r="AG410" s="79"/>
      <c r="AJ410" s="78"/>
    </row>
    <row r="411" ht="16.5" customHeight="1">
      <c r="B411" s="78"/>
      <c r="C411" s="78"/>
      <c r="D411" s="78"/>
      <c r="E411" s="78"/>
      <c r="F411" s="78"/>
      <c r="G411" s="78"/>
      <c r="I411" s="71"/>
      <c r="AA411" s="73" t="str">
        <f>IF(Z411=0,"",AVERAGEIFS(data_num!B:B, data_num!D:D, Y411, data_num!K:K, 1))
</f>
        <v/>
      </c>
      <c r="AF411" s="71"/>
      <c r="AG411" s="79"/>
      <c r="AJ411" s="78"/>
    </row>
    <row r="412" ht="16.5" customHeight="1">
      <c r="B412" s="78"/>
      <c r="C412" s="78"/>
      <c r="D412" s="78"/>
      <c r="E412" s="78"/>
      <c r="F412" s="78"/>
      <c r="G412" s="78"/>
      <c r="I412" s="71"/>
      <c r="AA412" s="73" t="str">
        <f>IF(Z412=0,"",AVERAGEIFS(data_num!B:B, data_num!D:D, Y412, data_num!K:K, 1))
</f>
        <v/>
      </c>
      <c r="AF412" s="71"/>
      <c r="AG412" s="79"/>
      <c r="AJ412" s="78"/>
    </row>
    <row r="413" ht="16.5" customHeight="1">
      <c r="B413" s="78"/>
      <c r="C413" s="78"/>
      <c r="D413" s="78"/>
      <c r="E413" s="78"/>
      <c r="F413" s="78"/>
      <c r="G413" s="78"/>
      <c r="I413" s="71"/>
      <c r="AA413" s="73" t="str">
        <f>IF(Z413=0,"",AVERAGEIFS(data_num!B:B, data_num!D:D, Y413, data_num!K:K, 1))
</f>
        <v/>
      </c>
      <c r="AF413" s="71"/>
      <c r="AG413" s="79"/>
      <c r="AJ413" s="78"/>
    </row>
    <row r="414" ht="16.5" customHeight="1">
      <c r="B414" s="78"/>
      <c r="C414" s="78"/>
      <c r="D414" s="78"/>
      <c r="E414" s="78"/>
      <c r="F414" s="78"/>
      <c r="G414" s="78"/>
      <c r="I414" s="71"/>
      <c r="AA414" s="73" t="str">
        <f>IF(Z414=0,"",AVERAGEIFS(data_num!B:B, data_num!D:D, Y414, data_num!K:K, 1))
</f>
        <v/>
      </c>
      <c r="AF414" s="71"/>
      <c r="AG414" s="79"/>
      <c r="AJ414" s="78"/>
    </row>
    <row r="415" ht="16.5" customHeight="1">
      <c r="B415" s="78"/>
      <c r="C415" s="78"/>
      <c r="D415" s="78"/>
      <c r="E415" s="78"/>
      <c r="F415" s="78"/>
      <c r="G415" s="78"/>
      <c r="I415" s="71"/>
      <c r="AA415" s="73" t="str">
        <f>IF(Z415=0,"",AVERAGEIFS(data_num!B:B, data_num!D:D, Y415, data_num!K:K, 1))
</f>
        <v/>
      </c>
      <c r="AF415" s="71"/>
      <c r="AG415" s="79"/>
      <c r="AJ415" s="78"/>
    </row>
    <row r="416" ht="16.5" customHeight="1">
      <c r="B416" s="78"/>
      <c r="C416" s="78"/>
      <c r="D416" s="78"/>
      <c r="E416" s="78"/>
      <c r="F416" s="78"/>
      <c r="G416" s="78"/>
      <c r="I416" s="71"/>
      <c r="AA416" s="73" t="str">
        <f>IF(Z416=0,"",AVERAGEIFS(data_num!B:B, data_num!D:D, Y416, data_num!K:K, 1))
</f>
        <v/>
      </c>
      <c r="AF416" s="71"/>
      <c r="AG416" s="79"/>
      <c r="AJ416" s="78"/>
    </row>
    <row r="417" ht="16.5" customHeight="1">
      <c r="B417" s="78"/>
      <c r="C417" s="78"/>
      <c r="D417" s="78"/>
      <c r="E417" s="78"/>
      <c r="F417" s="78"/>
      <c r="G417" s="78"/>
      <c r="I417" s="71"/>
      <c r="AA417" s="73" t="str">
        <f>IF(Z417=0,"",AVERAGEIFS(data_num!B:B, data_num!D:D, Y417, data_num!K:K, 1))
</f>
        <v/>
      </c>
      <c r="AF417" s="71"/>
      <c r="AG417" s="79"/>
      <c r="AJ417" s="78"/>
    </row>
    <row r="418" ht="16.5" customHeight="1">
      <c r="B418" s="78"/>
      <c r="C418" s="78"/>
      <c r="D418" s="78"/>
      <c r="E418" s="78"/>
      <c r="F418" s="78"/>
      <c r="G418" s="78"/>
      <c r="I418" s="71"/>
      <c r="AA418" s="73" t="str">
        <f>IF(Z418=0,"",AVERAGEIFS(data_num!B:B, data_num!D:D, Y418, data_num!K:K, 1))
</f>
        <v/>
      </c>
      <c r="AF418" s="71"/>
      <c r="AG418" s="79"/>
      <c r="AJ418" s="78"/>
    </row>
    <row r="419" ht="16.5" customHeight="1">
      <c r="B419" s="78"/>
      <c r="C419" s="78"/>
      <c r="D419" s="78"/>
      <c r="E419" s="78"/>
      <c r="F419" s="78"/>
      <c r="G419" s="78"/>
      <c r="I419" s="71"/>
      <c r="AF419" s="71"/>
      <c r="AG419" s="79"/>
      <c r="AJ419" s="78"/>
    </row>
    <row r="420" ht="16.5" customHeight="1">
      <c r="B420" s="78"/>
      <c r="C420" s="78"/>
      <c r="D420" s="78"/>
      <c r="E420" s="78"/>
      <c r="F420" s="78"/>
      <c r="G420" s="78"/>
      <c r="I420" s="71"/>
      <c r="AF420" s="71"/>
      <c r="AG420" s="79"/>
      <c r="AJ420" s="78"/>
    </row>
    <row r="421" ht="16.5" customHeight="1">
      <c r="B421" s="78"/>
      <c r="C421" s="78"/>
      <c r="D421" s="78"/>
      <c r="E421" s="78"/>
      <c r="F421" s="78"/>
      <c r="G421" s="78"/>
      <c r="I421" s="71"/>
      <c r="AF421" s="71"/>
      <c r="AG421" s="79"/>
      <c r="AJ421" s="78"/>
    </row>
    <row r="422" ht="16.5" customHeight="1">
      <c r="B422" s="78"/>
      <c r="C422" s="78"/>
      <c r="D422" s="78"/>
      <c r="E422" s="78"/>
      <c r="F422" s="78"/>
      <c r="G422" s="78"/>
      <c r="I422" s="71"/>
      <c r="AF422" s="71"/>
      <c r="AG422" s="79"/>
      <c r="AJ422" s="78"/>
    </row>
    <row r="423" ht="16.5" customHeight="1">
      <c r="B423" s="78"/>
      <c r="C423" s="78"/>
      <c r="D423" s="78"/>
      <c r="E423" s="78"/>
      <c r="F423" s="78"/>
      <c r="G423" s="78"/>
      <c r="I423" s="71"/>
      <c r="AF423" s="71"/>
      <c r="AG423" s="79"/>
      <c r="AJ423" s="78"/>
    </row>
    <row r="424" ht="16.5" customHeight="1">
      <c r="B424" s="78"/>
      <c r="C424" s="78"/>
      <c r="D424" s="78"/>
      <c r="E424" s="78"/>
      <c r="F424" s="78"/>
      <c r="G424" s="78"/>
      <c r="I424" s="71"/>
      <c r="AF424" s="71"/>
      <c r="AG424" s="79"/>
      <c r="AJ424" s="78"/>
    </row>
    <row r="425" ht="16.5" customHeight="1">
      <c r="B425" s="78"/>
      <c r="C425" s="78"/>
      <c r="D425" s="78"/>
      <c r="E425" s="78"/>
      <c r="F425" s="78"/>
      <c r="G425" s="78"/>
      <c r="I425" s="71"/>
      <c r="AF425" s="71"/>
      <c r="AG425" s="79"/>
      <c r="AJ425" s="78"/>
    </row>
    <row r="426" ht="16.5" customHeight="1">
      <c r="B426" s="78"/>
      <c r="C426" s="78"/>
      <c r="D426" s="78"/>
      <c r="E426" s="78"/>
      <c r="F426" s="78"/>
      <c r="G426" s="78"/>
      <c r="I426" s="71"/>
      <c r="AF426" s="71"/>
      <c r="AG426" s="79"/>
      <c r="AJ426" s="78"/>
    </row>
    <row r="427" ht="16.5" customHeight="1">
      <c r="B427" s="78"/>
      <c r="C427" s="78"/>
      <c r="D427" s="78"/>
      <c r="E427" s="78"/>
      <c r="F427" s="78"/>
      <c r="G427" s="78"/>
      <c r="I427" s="71"/>
      <c r="AF427" s="71"/>
      <c r="AG427" s="79"/>
      <c r="AJ427" s="78"/>
    </row>
    <row r="428" ht="16.5" customHeight="1">
      <c r="B428" s="78"/>
      <c r="C428" s="78"/>
      <c r="D428" s="78"/>
      <c r="E428" s="78"/>
      <c r="F428" s="78"/>
      <c r="G428" s="78"/>
      <c r="I428" s="71"/>
      <c r="AF428" s="71"/>
      <c r="AG428" s="79"/>
      <c r="AJ428" s="78"/>
    </row>
    <row r="429" ht="16.5" customHeight="1">
      <c r="B429" s="78"/>
      <c r="C429" s="78"/>
      <c r="D429" s="78"/>
      <c r="E429" s="78"/>
      <c r="F429" s="78"/>
      <c r="G429" s="78"/>
      <c r="I429" s="71"/>
      <c r="AF429" s="71"/>
      <c r="AG429" s="79"/>
      <c r="AJ429" s="78"/>
    </row>
    <row r="430" ht="16.5" customHeight="1">
      <c r="B430" s="78"/>
      <c r="C430" s="78"/>
      <c r="D430" s="78"/>
      <c r="E430" s="78"/>
      <c r="F430" s="78"/>
      <c r="G430" s="78"/>
      <c r="I430" s="71"/>
      <c r="AF430" s="71"/>
      <c r="AG430" s="79"/>
      <c r="AJ430" s="78"/>
    </row>
    <row r="431" ht="16.5" customHeight="1">
      <c r="B431" s="78"/>
      <c r="C431" s="78"/>
      <c r="D431" s="78"/>
      <c r="E431" s="78"/>
      <c r="F431" s="78"/>
      <c r="G431" s="78"/>
      <c r="I431" s="71"/>
      <c r="AF431" s="71"/>
      <c r="AG431" s="79"/>
      <c r="AJ431" s="78"/>
    </row>
    <row r="432" ht="16.5" customHeight="1">
      <c r="B432" s="78"/>
      <c r="C432" s="78"/>
      <c r="D432" s="78"/>
      <c r="E432" s="78"/>
      <c r="F432" s="78"/>
      <c r="G432" s="78"/>
      <c r="I432" s="71"/>
      <c r="AF432" s="71"/>
      <c r="AG432" s="79"/>
      <c r="AJ432" s="78"/>
    </row>
    <row r="433" ht="16.5" customHeight="1">
      <c r="B433" s="78"/>
      <c r="C433" s="78"/>
      <c r="D433" s="78"/>
      <c r="E433" s="78"/>
      <c r="F433" s="78"/>
      <c r="G433" s="78"/>
      <c r="I433" s="71"/>
      <c r="AF433" s="71"/>
      <c r="AG433" s="79"/>
      <c r="AJ433" s="78"/>
    </row>
    <row r="434" ht="16.5" customHeight="1">
      <c r="B434" s="78"/>
      <c r="C434" s="78"/>
      <c r="D434" s="78"/>
      <c r="E434" s="78"/>
      <c r="F434" s="78"/>
      <c r="G434" s="78"/>
      <c r="I434" s="71"/>
      <c r="AF434" s="71"/>
      <c r="AG434" s="79"/>
      <c r="AJ434" s="78"/>
    </row>
    <row r="435" ht="16.5" customHeight="1">
      <c r="B435" s="78"/>
      <c r="C435" s="78"/>
      <c r="D435" s="78"/>
      <c r="E435" s="78"/>
      <c r="F435" s="78"/>
      <c r="G435" s="78"/>
      <c r="I435" s="71"/>
      <c r="AF435" s="71"/>
      <c r="AG435" s="79"/>
      <c r="AJ435" s="78"/>
    </row>
    <row r="436" ht="16.5" customHeight="1">
      <c r="B436" s="78"/>
      <c r="C436" s="78"/>
      <c r="D436" s="78"/>
      <c r="E436" s="78"/>
      <c r="F436" s="78"/>
      <c r="G436" s="78"/>
      <c r="I436" s="71"/>
      <c r="AF436" s="71"/>
      <c r="AG436" s="79"/>
      <c r="AJ436" s="78"/>
    </row>
    <row r="437" ht="16.5" customHeight="1">
      <c r="B437" s="78"/>
      <c r="C437" s="78"/>
      <c r="D437" s="78"/>
      <c r="E437" s="78"/>
      <c r="F437" s="78"/>
      <c r="G437" s="78"/>
      <c r="I437" s="71"/>
      <c r="AF437" s="71"/>
      <c r="AG437" s="79"/>
      <c r="AJ437" s="78"/>
    </row>
    <row r="438" ht="16.5" customHeight="1">
      <c r="B438" s="78"/>
      <c r="C438" s="78"/>
      <c r="D438" s="78"/>
      <c r="E438" s="78"/>
      <c r="F438" s="78"/>
      <c r="G438" s="78"/>
      <c r="I438" s="71"/>
      <c r="AF438" s="71"/>
      <c r="AG438" s="79"/>
      <c r="AJ438" s="78"/>
    </row>
    <row r="439" ht="16.5" customHeight="1">
      <c r="B439" s="78"/>
      <c r="C439" s="78"/>
      <c r="D439" s="78"/>
      <c r="E439" s="78"/>
      <c r="F439" s="78"/>
      <c r="G439" s="78"/>
      <c r="I439" s="71"/>
      <c r="AF439" s="71"/>
      <c r="AG439" s="79"/>
      <c r="AJ439" s="78"/>
    </row>
    <row r="440" ht="16.5" customHeight="1">
      <c r="B440" s="78"/>
      <c r="C440" s="78"/>
      <c r="D440" s="78"/>
      <c r="E440" s="78"/>
      <c r="F440" s="78"/>
      <c r="G440" s="78"/>
      <c r="I440" s="71"/>
      <c r="AF440" s="71"/>
      <c r="AG440" s="79"/>
      <c r="AJ440" s="78"/>
    </row>
    <row r="441" ht="16.5" customHeight="1">
      <c r="B441" s="78"/>
      <c r="C441" s="78"/>
      <c r="D441" s="78"/>
      <c r="E441" s="78"/>
      <c r="F441" s="78"/>
      <c r="G441" s="78"/>
      <c r="I441" s="71"/>
      <c r="AF441" s="71"/>
      <c r="AG441" s="79"/>
      <c r="AJ441" s="78"/>
    </row>
    <row r="442" ht="16.5" customHeight="1">
      <c r="B442" s="78"/>
      <c r="C442" s="78"/>
      <c r="D442" s="78"/>
      <c r="E442" s="78"/>
      <c r="F442" s="78"/>
      <c r="G442" s="78"/>
      <c r="I442" s="71"/>
      <c r="AF442" s="71"/>
      <c r="AG442" s="79"/>
      <c r="AJ442" s="78"/>
    </row>
    <row r="443" ht="16.5" customHeight="1">
      <c r="B443" s="78"/>
      <c r="C443" s="78"/>
      <c r="D443" s="78"/>
      <c r="E443" s="78"/>
      <c r="F443" s="78"/>
      <c r="G443" s="78"/>
      <c r="I443" s="71"/>
      <c r="AF443" s="71"/>
      <c r="AG443" s="79"/>
      <c r="AJ443" s="78"/>
    </row>
    <row r="444" ht="16.5" customHeight="1">
      <c r="B444" s="78"/>
      <c r="C444" s="78"/>
      <c r="D444" s="78"/>
      <c r="E444" s="78"/>
      <c r="F444" s="78"/>
      <c r="G444" s="78"/>
      <c r="I444" s="71"/>
      <c r="AF444" s="71"/>
      <c r="AG444" s="79"/>
      <c r="AJ444" s="78"/>
    </row>
    <row r="445" ht="16.5" customHeight="1">
      <c r="B445" s="78"/>
      <c r="C445" s="78"/>
      <c r="D445" s="78"/>
      <c r="E445" s="78"/>
      <c r="F445" s="78"/>
      <c r="G445" s="78"/>
      <c r="I445" s="71"/>
      <c r="AF445" s="71"/>
      <c r="AG445" s="79"/>
      <c r="AJ445" s="78"/>
    </row>
    <row r="446" ht="16.5" customHeight="1">
      <c r="B446" s="78"/>
      <c r="C446" s="78"/>
      <c r="D446" s="78"/>
      <c r="E446" s="78"/>
      <c r="F446" s="78"/>
      <c r="G446" s="78"/>
      <c r="I446" s="71"/>
      <c r="AF446" s="71"/>
      <c r="AG446" s="79"/>
      <c r="AJ446" s="78"/>
    </row>
    <row r="447" ht="16.5" customHeight="1">
      <c r="B447" s="78"/>
      <c r="C447" s="78"/>
      <c r="D447" s="78"/>
      <c r="E447" s="78"/>
      <c r="F447" s="78"/>
      <c r="G447" s="78"/>
      <c r="I447" s="71"/>
      <c r="AF447" s="71"/>
      <c r="AG447" s="79"/>
      <c r="AJ447" s="78"/>
    </row>
    <row r="448" ht="16.5" customHeight="1">
      <c r="B448" s="78"/>
      <c r="C448" s="78"/>
      <c r="D448" s="78"/>
      <c r="E448" s="78"/>
      <c r="F448" s="78"/>
      <c r="G448" s="78"/>
      <c r="I448" s="71"/>
      <c r="AF448" s="71"/>
      <c r="AG448" s="79"/>
      <c r="AJ448" s="78"/>
    </row>
    <row r="449" ht="16.5" customHeight="1">
      <c r="B449" s="78"/>
      <c r="C449" s="78"/>
      <c r="D449" s="78"/>
      <c r="E449" s="78"/>
      <c r="F449" s="78"/>
      <c r="G449" s="78"/>
      <c r="I449" s="71"/>
      <c r="AF449" s="71"/>
      <c r="AG449" s="79"/>
      <c r="AJ449" s="78"/>
    </row>
    <row r="450" ht="16.5" customHeight="1">
      <c r="B450" s="78"/>
      <c r="C450" s="78"/>
      <c r="D450" s="78"/>
      <c r="E450" s="78"/>
      <c r="F450" s="78"/>
      <c r="G450" s="78"/>
      <c r="I450" s="71"/>
      <c r="AF450" s="71"/>
      <c r="AG450" s="79"/>
      <c r="AJ450" s="78"/>
    </row>
    <row r="451" ht="16.5" customHeight="1">
      <c r="B451" s="78"/>
      <c r="C451" s="78"/>
      <c r="D451" s="78"/>
      <c r="E451" s="78"/>
      <c r="F451" s="78"/>
      <c r="G451" s="78"/>
      <c r="I451" s="71"/>
      <c r="AF451" s="71"/>
      <c r="AG451" s="79"/>
      <c r="AJ451" s="78"/>
    </row>
    <row r="452" ht="16.5" customHeight="1">
      <c r="B452" s="78"/>
      <c r="C452" s="78"/>
      <c r="D452" s="78"/>
      <c r="E452" s="78"/>
      <c r="F452" s="78"/>
      <c r="G452" s="78"/>
      <c r="I452" s="71"/>
      <c r="AF452" s="71"/>
      <c r="AG452" s="79"/>
      <c r="AJ452" s="78"/>
    </row>
    <row r="453" ht="16.5" customHeight="1">
      <c r="B453" s="78"/>
      <c r="C453" s="78"/>
      <c r="D453" s="78"/>
      <c r="E453" s="78"/>
      <c r="F453" s="78"/>
      <c r="G453" s="78"/>
      <c r="I453" s="71"/>
      <c r="AF453" s="71"/>
      <c r="AG453" s="79"/>
      <c r="AJ453" s="78"/>
    </row>
    <row r="454" ht="16.5" customHeight="1">
      <c r="B454" s="78"/>
      <c r="C454" s="78"/>
      <c r="D454" s="78"/>
      <c r="E454" s="78"/>
      <c r="F454" s="78"/>
      <c r="G454" s="78"/>
      <c r="I454" s="71"/>
      <c r="AF454" s="71"/>
      <c r="AG454" s="79"/>
      <c r="AJ454" s="78"/>
    </row>
    <row r="455" ht="16.5" customHeight="1">
      <c r="B455" s="78"/>
      <c r="C455" s="78"/>
      <c r="D455" s="78"/>
      <c r="E455" s="78"/>
      <c r="F455" s="78"/>
      <c r="G455" s="78"/>
      <c r="I455" s="71"/>
      <c r="AF455" s="71"/>
      <c r="AG455" s="79"/>
      <c r="AJ455" s="78"/>
    </row>
    <row r="456" ht="16.5" customHeight="1">
      <c r="B456" s="78"/>
      <c r="C456" s="78"/>
      <c r="D456" s="78"/>
      <c r="E456" s="78"/>
      <c r="F456" s="78"/>
      <c r="G456" s="78"/>
      <c r="I456" s="71"/>
      <c r="AF456" s="71"/>
      <c r="AG456" s="79"/>
      <c r="AJ456" s="78"/>
    </row>
    <row r="457" ht="16.5" customHeight="1">
      <c r="B457" s="78"/>
      <c r="C457" s="78"/>
      <c r="D457" s="78"/>
      <c r="E457" s="78"/>
      <c r="F457" s="78"/>
      <c r="G457" s="78"/>
      <c r="I457" s="71"/>
      <c r="AF457" s="71"/>
      <c r="AG457" s="79"/>
      <c r="AJ457" s="78"/>
    </row>
    <row r="458" ht="16.5" customHeight="1">
      <c r="B458" s="78"/>
      <c r="C458" s="78"/>
      <c r="D458" s="78"/>
      <c r="E458" s="78"/>
      <c r="F458" s="78"/>
      <c r="G458" s="78"/>
      <c r="I458" s="71"/>
      <c r="AF458" s="71"/>
      <c r="AG458" s="79"/>
      <c r="AJ458" s="78"/>
    </row>
    <row r="459" ht="16.5" customHeight="1">
      <c r="B459" s="78"/>
      <c r="C459" s="78"/>
      <c r="D459" s="78"/>
      <c r="E459" s="78"/>
      <c r="F459" s="78"/>
      <c r="G459" s="78"/>
      <c r="I459" s="71"/>
      <c r="AF459" s="71"/>
      <c r="AG459" s="79"/>
      <c r="AJ459" s="78"/>
    </row>
    <row r="460" ht="16.5" customHeight="1">
      <c r="B460" s="78"/>
      <c r="C460" s="78"/>
      <c r="D460" s="78"/>
      <c r="E460" s="78"/>
      <c r="F460" s="78"/>
      <c r="G460" s="78"/>
      <c r="I460" s="71"/>
      <c r="AF460" s="71"/>
      <c r="AG460" s="79"/>
      <c r="AJ460" s="78"/>
    </row>
    <row r="461" ht="16.5" customHeight="1">
      <c r="B461" s="78"/>
      <c r="C461" s="78"/>
      <c r="D461" s="78"/>
      <c r="E461" s="78"/>
      <c r="F461" s="78"/>
      <c r="G461" s="78"/>
      <c r="I461" s="71"/>
      <c r="AF461" s="71"/>
      <c r="AG461" s="79"/>
      <c r="AJ461" s="78"/>
    </row>
    <row r="462" ht="16.5" customHeight="1">
      <c r="B462" s="78"/>
      <c r="C462" s="78"/>
      <c r="D462" s="78"/>
      <c r="E462" s="78"/>
      <c r="F462" s="78"/>
      <c r="G462" s="78"/>
      <c r="I462" s="71"/>
      <c r="AF462" s="71"/>
      <c r="AG462" s="79"/>
      <c r="AJ462" s="78"/>
    </row>
    <row r="463" ht="16.5" customHeight="1">
      <c r="B463" s="78"/>
      <c r="C463" s="78"/>
      <c r="D463" s="78"/>
      <c r="E463" s="78"/>
      <c r="F463" s="78"/>
      <c r="G463" s="78"/>
      <c r="I463" s="71"/>
      <c r="AF463" s="71"/>
      <c r="AG463" s="79"/>
      <c r="AJ463" s="78"/>
    </row>
    <row r="464" ht="16.5" customHeight="1">
      <c r="B464" s="78"/>
      <c r="C464" s="78"/>
      <c r="D464" s="78"/>
      <c r="E464" s="78"/>
      <c r="F464" s="78"/>
      <c r="G464" s="78"/>
      <c r="I464" s="71"/>
      <c r="AF464" s="71"/>
      <c r="AG464" s="79"/>
      <c r="AJ464" s="78"/>
    </row>
    <row r="465" ht="16.5" customHeight="1">
      <c r="B465" s="78"/>
      <c r="C465" s="78"/>
      <c r="D465" s="78"/>
      <c r="E465" s="78"/>
      <c r="F465" s="78"/>
      <c r="G465" s="78"/>
      <c r="I465" s="71"/>
      <c r="AF465" s="71"/>
      <c r="AG465" s="79"/>
      <c r="AJ465" s="78"/>
    </row>
    <row r="466" ht="16.5" customHeight="1">
      <c r="B466" s="78"/>
      <c r="C466" s="78"/>
      <c r="D466" s="78"/>
      <c r="E466" s="78"/>
      <c r="F466" s="78"/>
      <c r="G466" s="78"/>
      <c r="I466" s="71"/>
      <c r="AF466" s="71"/>
      <c r="AG466" s="79"/>
      <c r="AJ466" s="78"/>
    </row>
    <row r="467" ht="16.5" customHeight="1">
      <c r="B467" s="78"/>
      <c r="C467" s="78"/>
      <c r="D467" s="78"/>
      <c r="E467" s="78"/>
      <c r="F467" s="78"/>
      <c r="G467" s="78"/>
      <c r="I467" s="71"/>
      <c r="AF467" s="71"/>
      <c r="AG467" s="79"/>
      <c r="AJ467" s="78"/>
    </row>
    <row r="468" ht="16.5" customHeight="1">
      <c r="B468" s="78"/>
      <c r="C468" s="78"/>
      <c r="D468" s="78"/>
      <c r="E468" s="78"/>
      <c r="F468" s="78"/>
      <c r="G468" s="78"/>
      <c r="I468" s="71"/>
      <c r="AF468" s="71"/>
      <c r="AG468" s="79"/>
      <c r="AJ468" s="78"/>
    </row>
    <row r="469" ht="16.5" customHeight="1">
      <c r="B469" s="78"/>
      <c r="C469" s="78"/>
      <c r="D469" s="78"/>
      <c r="E469" s="78"/>
      <c r="F469" s="78"/>
      <c r="G469" s="78"/>
      <c r="I469" s="71"/>
      <c r="AF469" s="71"/>
      <c r="AG469" s="79"/>
      <c r="AJ469" s="78"/>
    </row>
    <row r="470" ht="16.5" customHeight="1">
      <c r="B470" s="78"/>
      <c r="C470" s="78"/>
      <c r="D470" s="78"/>
      <c r="E470" s="78"/>
      <c r="F470" s="78"/>
      <c r="G470" s="78"/>
      <c r="I470" s="71"/>
      <c r="AF470" s="71"/>
      <c r="AG470" s="79"/>
      <c r="AJ470" s="78"/>
    </row>
    <row r="471" ht="16.5" customHeight="1">
      <c r="B471" s="78"/>
      <c r="C471" s="78"/>
      <c r="D471" s="78"/>
      <c r="E471" s="78"/>
      <c r="F471" s="78"/>
      <c r="G471" s="78"/>
      <c r="I471" s="71"/>
      <c r="AF471" s="71"/>
      <c r="AG471" s="79"/>
      <c r="AJ471" s="78"/>
    </row>
    <row r="472" ht="16.5" customHeight="1">
      <c r="B472" s="78"/>
      <c r="C472" s="78"/>
      <c r="D472" s="78"/>
      <c r="E472" s="78"/>
      <c r="F472" s="78"/>
      <c r="G472" s="78"/>
      <c r="I472" s="71"/>
      <c r="AF472" s="71"/>
      <c r="AG472" s="79"/>
      <c r="AJ472" s="78"/>
    </row>
    <row r="473" ht="16.5" customHeight="1">
      <c r="B473" s="78"/>
      <c r="C473" s="78"/>
      <c r="D473" s="78"/>
      <c r="E473" s="78"/>
      <c r="F473" s="78"/>
      <c r="G473" s="78"/>
      <c r="I473" s="71"/>
      <c r="AF473" s="71"/>
      <c r="AG473" s="79"/>
      <c r="AJ473" s="78"/>
    </row>
    <row r="474" ht="16.5" customHeight="1">
      <c r="B474" s="78"/>
      <c r="C474" s="78"/>
      <c r="D474" s="78"/>
      <c r="E474" s="78"/>
      <c r="F474" s="78"/>
      <c r="G474" s="78"/>
      <c r="I474" s="71"/>
      <c r="AF474" s="71"/>
      <c r="AG474" s="79"/>
      <c r="AJ474" s="78"/>
    </row>
    <row r="475" ht="16.5" customHeight="1">
      <c r="B475" s="78"/>
      <c r="C475" s="78"/>
      <c r="D475" s="78"/>
      <c r="E475" s="78"/>
      <c r="F475" s="78"/>
      <c r="G475" s="78"/>
      <c r="I475" s="71"/>
      <c r="AF475" s="71"/>
      <c r="AG475" s="79"/>
      <c r="AJ475" s="78"/>
    </row>
    <row r="476" ht="16.5" customHeight="1">
      <c r="B476" s="78"/>
      <c r="C476" s="78"/>
      <c r="D476" s="78"/>
      <c r="E476" s="78"/>
      <c r="F476" s="78"/>
      <c r="G476" s="78"/>
      <c r="I476" s="71"/>
      <c r="AF476" s="71"/>
      <c r="AG476" s="79"/>
      <c r="AJ476" s="78"/>
    </row>
    <row r="477" ht="16.5" customHeight="1">
      <c r="B477" s="78"/>
      <c r="C477" s="78"/>
      <c r="D477" s="78"/>
      <c r="E477" s="78"/>
      <c r="F477" s="78"/>
      <c r="G477" s="78"/>
      <c r="I477" s="71"/>
      <c r="AF477" s="71"/>
      <c r="AG477" s="79"/>
      <c r="AJ477" s="78"/>
    </row>
    <row r="478" ht="16.5" customHeight="1">
      <c r="B478" s="78"/>
      <c r="C478" s="78"/>
      <c r="D478" s="78"/>
      <c r="E478" s="78"/>
      <c r="F478" s="78"/>
      <c r="G478" s="78"/>
      <c r="I478" s="71"/>
      <c r="AF478" s="71"/>
      <c r="AG478" s="79"/>
      <c r="AJ478" s="78"/>
    </row>
    <row r="479" ht="16.5" customHeight="1">
      <c r="B479" s="78"/>
      <c r="C479" s="78"/>
      <c r="D479" s="78"/>
      <c r="E479" s="78"/>
      <c r="F479" s="78"/>
      <c r="G479" s="78"/>
      <c r="I479" s="71"/>
      <c r="AF479" s="71"/>
      <c r="AG479" s="79"/>
      <c r="AJ479" s="78"/>
    </row>
    <row r="480" ht="16.5" customHeight="1">
      <c r="B480" s="78"/>
      <c r="C480" s="78"/>
      <c r="D480" s="78"/>
      <c r="E480" s="78"/>
      <c r="F480" s="78"/>
      <c r="G480" s="78"/>
      <c r="I480" s="71"/>
      <c r="AF480" s="71"/>
      <c r="AG480" s="79"/>
      <c r="AJ480" s="78"/>
    </row>
    <row r="481" ht="16.5" customHeight="1">
      <c r="B481" s="78"/>
      <c r="C481" s="78"/>
      <c r="D481" s="78"/>
      <c r="E481" s="78"/>
      <c r="F481" s="78"/>
      <c r="G481" s="78"/>
      <c r="I481" s="71"/>
      <c r="AF481" s="71"/>
      <c r="AG481" s="79"/>
      <c r="AJ481" s="78"/>
    </row>
    <row r="482" ht="16.5" customHeight="1">
      <c r="B482" s="78"/>
      <c r="C482" s="78"/>
      <c r="D482" s="78"/>
      <c r="E482" s="78"/>
      <c r="F482" s="78"/>
      <c r="G482" s="78"/>
      <c r="I482" s="71"/>
      <c r="AF482" s="71"/>
      <c r="AG482" s="79"/>
      <c r="AJ482" s="78"/>
    </row>
    <row r="483" ht="16.5" customHeight="1">
      <c r="B483" s="78"/>
      <c r="C483" s="78"/>
      <c r="D483" s="78"/>
      <c r="E483" s="78"/>
      <c r="F483" s="78"/>
      <c r="G483" s="78"/>
      <c r="I483" s="71"/>
      <c r="AF483" s="71"/>
      <c r="AG483" s="79"/>
      <c r="AJ483" s="78"/>
    </row>
    <row r="484" ht="16.5" customHeight="1">
      <c r="B484" s="78"/>
      <c r="C484" s="78"/>
      <c r="D484" s="78"/>
      <c r="E484" s="78"/>
      <c r="F484" s="78"/>
      <c r="G484" s="78"/>
      <c r="I484" s="71"/>
      <c r="AF484" s="71"/>
      <c r="AG484" s="79"/>
      <c r="AJ484" s="78"/>
    </row>
    <row r="485" ht="16.5" customHeight="1">
      <c r="B485" s="78"/>
      <c r="C485" s="78"/>
      <c r="D485" s="78"/>
      <c r="E485" s="78"/>
      <c r="F485" s="78"/>
      <c r="G485" s="78"/>
      <c r="I485" s="71"/>
      <c r="AF485" s="71"/>
      <c r="AG485" s="79"/>
      <c r="AJ485" s="78"/>
    </row>
    <row r="486" ht="16.5" customHeight="1">
      <c r="B486" s="78"/>
      <c r="C486" s="78"/>
      <c r="D486" s="78"/>
      <c r="E486" s="78"/>
      <c r="F486" s="78"/>
      <c r="G486" s="78"/>
      <c r="I486" s="71"/>
      <c r="AF486" s="71"/>
      <c r="AG486" s="79"/>
      <c r="AJ486" s="78"/>
    </row>
    <row r="487" ht="16.5" customHeight="1">
      <c r="B487" s="78"/>
      <c r="C487" s="78"/>
      <c r="D487" s="78"/>
      <c r="E487" s="78"/>
      <c r="F487" s="78"/>
      <c r="G487" s="78"/>
      <c r="I487" s="71"/>
      <c r="AF487" s="71"/>
      <c r="AG487" s="79"/>
      <c r="AJ487" s="78"/>
    </row>
    <row r="488" ht="16.5" customHeight="1">
      <c r="B488" s="78"/>
      <c r="C488" s="78"/>
      <c r="D488" s="78"/>
      <c r="E488" s="78"/>
      <c r="F488" s="78"/>
      <c r="G488" s="78"/>
      <c r="I488" s="71"/>
      <c r="AF488" s="71"/>
      <c r="AG488" s="79"/>
      <c r="AJ488" s="78"/>
    </row>
    <row r="489" ht="16.5" customHeight="1">
      <c r="B489" s="78"/>
      <c r="C489" s="78"/>
      <c r="D489" s="78"/>
      <c r="E489" s="78"/>
      <c r="F489" s="78"/>
      <c r="G489" s="78"/>
      <c r="I489" s="71"/>
      <c r="AF489" s="71"/>
      <c r="AG489" s="79"/>
      <c r="AJ489" s="78"/>
    </row>
    <row r="490" ht="16.5" customHeight="1">
      <c r="B490" s="78"/>
      <c r="C490" s="78"/>
      <c r="D490" s="78"/>
      <c r="E490" s="78"/>
      <c r="F490" s="78"/>
      <c r="G490" s="78"/>
      <c r="I490" s="71"/>
      <c r="AF490" s="71"/>
      <c r="AG490" s="79"/>
      <c r="AJ490" s="78"/>
    </row>
    <row r="491" ht="16.5" customHeight="1">
      <c r="B491" s="78"/>
      <c r="C491" s="78"/>
      <c r="D491" s="78"/>
      <c r="E491" s="78"/>
      <c r="F491" s="78"/>
      <c r="G491" s="78"/>
      <c r="I491" s="71"/>
      <c r="AF491" s="71"/>
      <c r="AG491" s="79"/>
      <c r="AJ491" s="78"/>
    </row>
    <row r="492" ht="16.5" customHeight="1">
      <c r="B492" s="78"/>
      <c r="C492" s="78"/>
      <c r="D492" s="78"/>
      <c r="E492" s="78"/>
      <c r="F492" s="78"/>
      <c r="G492" s="78"/>
      <c r="I492" s="71"/>
      <c r="AF492" s="71"/>
      <c r="AG492" s="79"/>
      <c r="AJ492" s="78"/>
    </row>
    <row r="493" ht="16.5" customHeight="1">
      <c r="B493" s="78"/>
      <c r="C493" s="78"/>
      <c r="D493" s="78"/>
      <c r="E493" s="78"/>
      <c r="F493" s="78"/>
      <c r="G493" s="78"/>
      <c r="I493" s="71"/>
      <c r="AF493" s="71"/>
      <c r="AG493" s="79"/>
      <c r="AJ493" s="78"/>
    </row>
    <row r="494" ht="16.5" customHeight="1">
      <c r="B494" s="78"/>
      <c r="C494" s="78"/>
      <c r="D494" s="78"/>
      <c r="E494" s="78"/>
      <c r="F494" s="78"/>
      <c r="G494" s="78"/>
      <c r="I494" s="71"/>
      <c r="AF494" s="71"/>
      <c r="AG494" s="79"/>
      <c r="AJ494" s="78"/>
    </row>
    <row r="495" ht="16.5" customHeight="1">
      <c r="B495" s="78"/>
      <c r="C495" s="78"/>
      <c r="D495" s="78"/>
      <c r="E495" s="78"/>
      <c r="F495" s="78"/>
      <c r="G495" s="78"/>
      <c r="I495" s="71"/>
      <c r="AF495" s="71"/>
      <c r="AG495" s="79"/>
      <c r="AJ495" s="78"/>
    </row>
    <row r="496" ht="16.5" customHeight="1">
      <c r="B496" s="78"/>
      <c r="C496" s="78"/>
      <c r="D496" s="78"/>
      <c r="E496" s="78"/>
      <c r="F496" s="78"/>
      <c r="G496" s="78"/>
      <c r="I496" s="71"/>
      <c r="AF496" s="71"/>
      <c r="AG496" s="79"/>
      <c r="AJ496" s="78"/>
    </row>
    <row r="497" ht="16.5" customHeight="1">
      <c r="B497" s="78"/>
      <c r="C497" s="78"/>
      <c r="D497" s="78"/>
      <c r="E497" s="78"/>
      <c r="F497" s="78"/>
      <c r="G497" s="78"/>
      <c r="I497" s="71"/>
      <c r="AF497" s="71"/>
      <c r="AG497" s="79"/>
      <c r="AJ497" s="78"/>
    </row>
    <row r="498" ht="16.5" customHeight="1">
      <c r="B498" s="78"/>
      <c r="C498" s="78"/>
      <c r="D498" s="78"/>
      <c r="E498" s="78"/>
      <c r="F498" s="78"/>
      <c r="G498" s="78"/>
      <c r="I498" s="71"/>
      <c r="AF498" s="71"/>
      <c r="AG498" s="79"/>
      <c r="AJ498" s="78"/>
    </row>
    <row r="499" ht="16.5" customHeight="1">
      <c r="B499" s="78"/>
      <c r="C499" s="78"/>
      <c r="D499" s="78"/>
      <c r="E499" s="78"/>
      <c r="F499" s="78"/>
      <c r="G499" s="78"/>
      <c r="I499" s="71"/>
      <c r="AF499" s="71"/>
      <c r="AG499" s="79"/>
      <c r="AJ499" s="78"/>
    </row>
    <row r="500" ht="16.5" customHeight="1">
      <c r="B500" s="78"/>
      <c r="C500" s="78"/>
      <c r="D500" s="78"/>
      <c r="E500" s="78"/>
      <c r="F500" s="78"/>
      <c r="G500" s="78"/>
      <c r="I500" s="71"/>
      <c r="AF500" s="71"/>
      <c r="AG500" s="79"/>
      <c r="AJ500" s="78"/>
    </row>
    <row r="501" ht="16.5" customHeight="1">
      <c r="B501" s="78"/>
      <c r="C501" s="78"/>
      <c r="D501" s="78"/>
      <c r="E501" s="78"/>
      <c r="F501" s="78"/>
      <c r="G501" s="78"/>
      <c r="I501" s="71"/>
      <c r="AF501" s="71"/>
      <c r="AG501" s="79"/>
      <c r="AJ501" s="78"/>
    </row>
    <row r="502" ht="16.5" customHeight="1">
      <c r="B502" s="78"/>
      <c r="C502" s="78"/>
      <c r="D502" s="78"/>
      <c r="E502" s="78"/>
      <c r="F502" s="78"/>
      <c r="G502" s="78"/>
      <c r="I502" s="71"/>
      <c r="AF502" s="71"/>
      <c r="AG502" s="79"/>
      <c r="AJ502" s="78"/>
    </row>
    <row r="503" ht="16.5" customHeight="1">
      <c r="B503" s="78"/>
      <c r="C503" s="78"/>
      <c r="D503" s="78"/>
      <c r="E503" s="78"/>
      <c r="F503" s="78"/>
      <c r="G503" s="78"/>
      <c r="I503" s="71"/>
      <c r="AF503" s="71"/>
      <c r="AG503" s="79"/>
      <c r="AJ503" s="78"/>
    </row>
    <row r="504" ht="16.5" customHeight="1">
      <c r="B504" s="78"/>
      <c r="C504" s="78"/>
      <c r="D504" s="78"/>
      <c r="E504" s="78"/>
      <c r="F504" s="78"/>
      <c r="G504" s="78"/>
      <c r="I504" s="71"/>
      <c r="AF504" s="71"/>
      <c r="AG504" s="79"/>
      <c r="AJ504" s="78"/>
    </row>
    <row r="505" ht="16.5" customHeight="1">
      <c r="B505" s="78"/>
      <c r="C505" s="78"/>
      <c r="D505" s="78"/>
      <c r="E505" s="78"/>
      <c r="F505" s="78"/>
      <c r="G505" s="78"/>
      <c r="I505" s="71"/>
      <c r="AF505" s="71"/>
      <c r="AG505" s="79"/>
      <c r="AJ505" s="78"/>
    </row>
    <row r="506" ht="16.5" customHeight="1">
      <c r="B506" s="78"/>
      <c r="C506" s="78"/>
      <c r="D506" s="78"/>
      <c r="E506" s="78"/>
      <c r="F506" s="78"/>
      <c r="G506" s="78"/>
      <c r="I506" s="71"/>
      <c r="AF506" s="71"/>
      <c r="AG506" s="79"/>
      <c r="AJ506" s="78"/>
    </row>
    <row r="507" ht="16.5" customHeight="1">
      <c r="B507" s="78"/>
      <c r="C507" s="78"/>
      <c r="D507" s="78"/>
      <c r="E507" s="78"/>
      <c r="F507" s="78"/>
      <c r="G507" s="78"/>
      <c r="I507" s="71"/>
      <c r="AF507" s="71"/>
      <c r="AG507" s="79"/>
      <c r="AJ507" s="78"/>
    </row>
    <row r="508" ht="16.5" customHeight="1">
      <c r="B508" s="78"/>
      <c r="C508" s="78"/>
      <c r="D508" s="78"/>
      <c r="E508" s="78"/>
      <c r="F508" s="78"/>
      <c r="G508" s="78"/>
      <c r="I508" s="71"/>
      <c r="AF508" s="71"/>
      <c r="AG508" s="79"/>
      <c r="AJ508" s="78"/>
    </row>
    <row r="509" ht="16.5" customHeight="1">
      <c r="B509" s="78"/>
      <c r="C509" s="78"/>
      <c r="D509" s="78"/>
      <c r="E509" s="78"/>
      <c r="F509" s="78"/>
      <c r="G509" s="78"/>
      <c r="I509" s="71"/>
      <c r="AF509" s="71"/>
      <c r="AG509" s="79"/>
      <c r="AJ509" s="78"/>
    </row>
    <row r="510" ht="16.5" customHeight="1">
      <c r="B510" s="78"/>
      <c r="C510" s="78"/>
      <c r="D510" s="78"/>
      <c r="E510" s="78"/>
      <c r="F510" s="78"/>
      <c r="G510" s="78"/>
      <c r="I510" s="71"/>
      <c r="AF510" s="71"/>
      <c r="AG510" s="79"/>
      <c r="AJ510" s="78"/>
    </row>
    <row r="511" ht="16.5" customHeight="1">
      <c r="B511" s="78"/>
      <c r="C511" s="78"/>
      <c r="D511" s="78"/>
      <c r="E511" s="78"/>
      <c r="F511" s="78"/>
      <c r="G511" s="78"/>
      <c r="I511" s="71"/>
      <c r="AF511" s="71"/>
      <c r="AG511" s="79"/>
      <c r="AJ511" s="78"/>
    </row>
    <row r="512" ht="16.5" customHeight="1">
      <c r="B512" s="78"/>
      <c r="C512" s="78"/>
      <c r="D512" s="78"/>
      <c r="E512" s="78"/>
      <c r="F512" s="78"/>
      <c r="G512" s="78"/>
      <c r="I512" s="71"/>
      <c r="AF512" s="71"/>
      <c r="AG512" s="79"/>
      <c r="AJ512" s="78"/>
    </row>
    <row r="513" ht="16.5" customHeight="1">
      <c r="B513" s="78"/>
      <c r="C513" s="78"/>
      <c r="D513" s="78"/>
      <c r="E513" s="78"/>
      <c r="F513" s="78"/>
      <c r="G513" s="78"/>
      <c r="I513" s="71"/>
      <c r="AF513" s="71"/>
      <c r="AG513" s="79"/>
      <c r="AJ513" s="78"/>
    </row>
    <row r="514" ht="16.5" customHeight="1">
      <c r="B514" s="78"/>
      <c r="C514" s="78"/>
      <c r="D514" s="78"/>
      <c r="E514" s="78"/>
      <c r="F514" s="78"/>
      <c r="G514" s="78"/>
      <c r="I514" s="71"/>
      <c r="AF514" s="71"/>
      <c r="AG514" s="79"/>
      <c r="AJ514" s="78"/>
    </row>
    <row r="515" ht="16.5" customHeight="1">
      <c r="B515" s="78"/>
      <c r="C515" s="78"/>
      <c r="D515" s="78"/>
      <c r="E515" s="78"/>
      <c r="F515" s="78"/>
      <c r="G515" s="78"/>
      <c r="I515" s="71"/>
      <c r="AF515" s="71"/>
      <c r="AG515" s="79"/>
      <c r="AJ515" s="78"/>
    </row>
    <row r="516" ht="16.5" customHeight="1">
      <c r="B516" s="78"/>
      <c r="C516" s="78"/>
      <c r="D516" s="78"/>
      <c r="E516" s="78"/>
      <c r="F516" s="78"/>
      <c r="G516" s="78"/>
      <c r="I516" s="71"/>
      <c r="AF516" s="71"/>
      <c r="AG516" s="79"/>
      <c r="AJ516" s="78"/>
    </row>
    <row r="517" ht="16.5" customHeight="1">
      <c r="B517" s="78"/>
      <c r="C517" s="78"/>
      <c r="D517" s="78"/>
      <c r="E517" s="78"/>
      <c r="F517" s="78"/>
      <c r="G517" s="78"/>
      <c r="I517" s="71"/>
      <c r="AF517" s="71"/>
      <c r="AG517" s="79"/>
      <c r="AJ517" s="78"/>
    </row>
    <row r="518" ht="16.5" customHeight="1">
      <c r="B518" s="78"/>
      <c r="C518" s="78"/>
      <c r="D518" s="78"/>
      <c r="E518" s="78"/>
      <c r="F518" s="78"/>
      <c r="G518" s="78"/>
      <c r="I518" s="71"/>
      <c r="AF518" s="71"/>
      <c r="AG518" s="79"/>
      <c r="AJ518" s="78"/>
    </row>
    <row r="519" ht="16.5" customHeight="1">
      <c r="B519" s="78"/>
      <c r="C519" s="78"/>
      <c r="D519" s="78"/>
      <c r="E519" s="78"/>
      <c r="F519" s="78"/>
      <c r="G519" s="78"/>
      <c r="I519" s="71"/>
      <c r="AF519" s="71"/>
      <c r="AG519" s="79"/>
      <c r="AJ519" s="78"/>
    </row>
    <row r="520" ht="16.5" customHeight="1">
      <c r="B520" s="78"/>
      <c r="C520" s="78"/>
      <c r="D520" s="78"/>
      <c r="E520" s="78"/>
      <c r="F520" s="78"/>
      <c r="G520" s="78"/>
      <c r="I520" s="71"/>
      <c r="AF520" s="71"/>
      <c r="AG520" s="79"/>
      <c r="AJ520" s="78"/>
    </row>
    <row r="521" ht="16.5" customHeight="1">
      <c r="B521" s="78"/>
      <c r="C521" s="78"/>
      <c r="D521" s="78"/>
      <c r="E521" s="78"/>
      <c r="F521" s="78"/>
      <c r="G521" s="78"/>
      <c r="I521" s="71"/>
      <c r="AF521" s="71"/>
      <c r="AG521" s="79"/>
      <c r="AJ521" s="78"/>
    </row>
    <row r="522" ht="16.5" customHeight="1">
      <c r="B522" s="78"/>
      <c r="C522" s="78"/>
      <c r="D522" s="78"/>
      <c r="E522" s="78"/>
      <c r="F522" s="78"/>
      <c r="G522" s="78"/>
      <c r="I522" s="71"/>
      <c r="AF522" s="71"/>
      <c r="AG522" s="79"/>
      <c r="AJ522" s="78"/>
    </row>
    <row r="523" ht="16.5" customHeight="1">
      <c r="B523" s="78"/>
      <c r="C523" s="78"/>
      <c r="D523" s="78"/>
      <c r="E523" s="78"/>
      <c r="F523" s="78"/>
      <c r="G523" s="78"/>
      <c r="I523" s="71"/>
      <c r="AF523" s="71"/>
      <c r="AG523" s="79"/>
      <c r="AJ523" s="78"/>
    </row>
    <row r="524" ht="16.5" customHeight="1">
      <c r="B524" s="78"/>
      <c r="C524" s="78"/>
      <c r="D524" s="78"/>
      <c r="E524" s="78"/>
      <c r="F524" s="78"/>
      <c r="G524" s="78"/>
      <c r="I524" s="71"/>
      <c r="AF524" s="71"/>
      <c r="AG524" s="79"/>
      <c r="AJ524" s="78"/>
    </row>
    <row r="525" ht="16.5" customHeight="1">
      <c r="B525" s="78"/>
      <c r="C525" s="78"/>
      <c r="D525" s="78"/>
      <c r="E525" s="78"/>
      <c r="F525" s="78"/>
      <c r="G525" s="78"/>
      <c r="I525" s="71"/>
      <c r="AF525" s="71"/>
      <c r="AG525" s="79"/>
      <c r="AJ525" s="78"/>
    </row>
    <row r="526" ht="16.5" customHeight="1">
      <c r="B526" s="78"/>
      <c r="C526" s="78"/>
      <c r="D526" s="78"/>
      <c r="E526" s="78"/>
      <c r="F526" s="78"/>
      <c r="G526" s="78"/>
      <c r="I526" s="71"/>
      <c r="AF526" s="71"/>
      <c r="AG526" s="79"/>
      <c r="AJ526" s="78"/>
    </row>
    <row r="527" ht="16.5" customHeight="1">
      <c r="B527" s="78"/>
      <c r="C527" s="78"/>
      <c r="D527" s="78"/>
      <c r="E527" s="78"/>
      <c r="F527" s="78"/>
      <c r="G527" s="78"/>
      <c r="I527" s="71"/>
      <c r="AF527" s="71"/>
      <c r="AG527" s="79"/>
      <c r="AJ527" s="78"/>
    </row>
    <row r="528" ht="16.5" customHeight="1">
      <c r="B528" s="78"/>
      <c r="C528" s="78"/>
      <c r="D528" s="78"/>
      <c r="E528" s="78"/>
      <c r="F528" s="78"/>
      <c r="G528" s="78"/>
      <c r="I528" s="71"/>
      <c r="AF528" s="71"/>
      <c r="AG528" s="79"/>
      <c r="AJ528" s="78"/>
    </row>
    <row r="529" ht="16.5" customHeight="1">
      <c r="B529" s="78"/>
      <c r="C529" s="78"/>
      <c r="D529" s="78"/>
      <c r="E529" s="78"/>
      <c r="F529" s="78"/>
      <c r="G529" s="78"/>
      <c r="I529" s="71"/>
      <c r="AF529" s="71"/>
      <c r="AG529" s="79"/>
      <c r="AJ529" s="78"/>
    </row>
    <row r="530" ht="16.5" customHeight="1">
      <c r="B530" s="78"/>
      <c r="C530" s="78"/>
      <c r="D530" s="78"/>
      <c r="E530" s="78"/>
      <c r="F530" s="78"/>
      <c r="G530" s="78"/>
      <c r="I530" s="71"/>
      <c r="AF530" s="71"/>
      <c r="AG530" s="79"/>
      <c r="AJ530" s="78"/>
    </row>
    <row r="531" ht="16.5" customHeight="1">
      <c r="B531" s="78"/>
      <c r="C531" s="78"/>
      <c r="D531" s="78"/>
      <c r="E531" s="78"/>
      <c r="F531" s="78"/>
      <c r="G531" s="78"/>
      <c r="I531" s="71"/>
      <c r="AF531" s="71"/>
      <c r="AG531" s="79"/>
      <c r="AJ531" s="78"/>
    </row>
    <row r="532" ht="16.5" customHeight="1">
      <c r="B532" s="78"/>
      <c r="C532" s="78"/>
      <c r="D532" s="78"/>
      <c r="E532" s="78"/>
      <c r="F532" s="78"/>
      <c r="G532" s="78"/>
      <c r="I532" s="71"/>
      <c r="AF532" s="71"/>
      <c r="AG532" s="79"/>
      <c r="AJ532" s="78"/>
    </row>
    <row r="533" ht="16.5" customHeight="1">
      <c r="B533" s="78"/>
      <c r="C533" s="78"/>
      <c r="D533" s="78"/>
      <c r="E533" s="78"/>
      <c r="F533" s="78"/>
      <c r="G533" s="78"/>
      <c r="I533" s="71"/>
      <c r="AF533" s="71"/>
      <c r="AG533" s="79"/>
      <c r="AJ533" s="78"/>
    </row>
    <row r="534" ht="16.5" customHeight="1">
      <c r="B534" s="78"/>
      <c r="C534" s="78"/>
      <c r="D534" s="78"/>
      <c r="E534" s="78"/>
      <c r="F534" s="78"/>
      <c r="G534" s="78"/>
      <c r="I534" s="71"/>
      <c r="AF534" s="71"/>
      <c r="AG534" s="79"/>
      <c r="AJ534" s="78"/>
    </row>
    <row r="535" ht="16.5" customHeight="1">
      <c r="B535" s="78"/>
      <c r="C535" s="78"/>
      <c r="D535" s="78"/>
      <c r="E535" s="78"/>
      <c r="F535" s="78"/>
      <c r="G535" s="78"/>
      <c r="I535" s="71"/>
      <c r="AF535" s="71"/>
      <c r="AG535" s="79"/>
      <c r="AJ535" s="78"/>
    </row>
    <row r="536" ht="16.5" customHeight="1">
      <c r="B536" s="78"/>
      <c r="C536" s="78"/>
      <c r="D536" s="78"/>
      <c r="E536" s="78"/>
      <c r="F536" s="78"/>
      <c r="G536" s="78"/>
      <c r="I536" s="71"/>
      <c r="AF536" s="71"/>
      <c r="AG536" s="79"/>
      <c r="AJ536" s="78"/>
    </row>
    <row r="537" ht="16.5" customHeight="1">
      <c r="B537" s="78"/>
      <c r="C537" s="78"/>
      <c r="D537" s="78"/>
      <c r="E537" s="78"/>
      <c r="F537" s="78"/>
      <c r="G537" s="78"/>
      <c r="I537" s="71"/>
      <c r="AF537" s="71"/>
      <c r="AG537" s="79"/>
      <c r="AJ537" s="78"/>
    </row>
    <row r="538" ht="16.5" customHeight="1">
      <c r="B538" s="78"/>
      <c r="C538" s="78"/>
      <c r="D538" s="78"/>
      <c r="E538" s="78"/>
      <c r="F538" s="78"/>
      <c r="G538" s="78"/>
      <c r="I538" s="71"/>
      <c r="AF538" s="71"/>
      <c r="AG538" s="79"/>
      <c r="AJ538" s="78"/>
    </row>
    <row r="539" ht="16.5" customHeight="1">
      <c r="B539" s="78"/>
      <c r="C539" s="78"/>
      <c r="D539" s="78"/>
      <c r="E539" s="78"/>
      <c r="F539" s="78"/>
      <c r="G539" s="78"/>
      <c r="I539" s="71"/>
      <c r="AF539" s="71"/>
      <c r="AG539" s="79"/>
      <c r="AJ539" s="78"/>
    </row>
    <row r="540" ht="16.5" customHeight="1">
      <c r="B540" s="78"/>
      <c r="C540" s="78"/>
      <c r="D540" s="78"/>
      <c r="E540" s="78"/>
      <c r="F540" s="78"/>
      <c r="G540" s="78"/>
      <c r="I540" s="71"/>
      <c r="AF540" s="71"/>
      <c r="AG540" s="79"/>
      <c r="AJ540" s="78"/>
    </row>
    <row r="541" ht="16.5" customHeight="1">
      <c r="B541" s="78"/>
      <c r="C541" s="78"/>
      <c r="D541" s="78"/>
      <c r="E541" s="78"/>
      <c r="F541" s="78"/>
      <c r="G541" s="78"/>
      <c r="I541" s="71"/>
      <c r="AF541" s="71"/>
      <c r="AG541" s="79"/>
      <c r="AJ541" s="78"/>
    </row>
    <row r="542" ht="16.5" customHeight="1">
      <c r="B542" s="78"/>
      <c r="C542" s="78"/>
      <c r="D542" s="78"/>
      <c r="E542" s="78"/>
      <c r="F542" s="78"/>
      <c r="G542" s="78"/>
      <c r="I542" s="71"/>
      <c r="AF542" s="71"/>
      <c r="AG542" s="79"/>
      <c r="AJ542" s="78"/>
    </row>
    <row r="543" ht="16.5" customHeight="1">
      <c r="B543" s="78"/>
      <c r="C543" s="78"/>
      <c r="D543" s="78"/>
      <c r="E543" s="78"/>
      <c r="F543" s="78"/>
      <c r="G543" s="78"/>
      <c r="I543" s="71"/>
      <c r="AF543" s="71"/>
      <c r="AG543" s="79"/>
      <c r="AJ543" s="78"/>
    </row>
    <row r="544" ht="16.5" customHeight="1">
      <c r="B544" s="78"/>
      <c r="C544" s="78"/>
      <c r="D544" s="78"/>
      <c r="E544" s="78"/>
      <c r="F544" s="78"/>
      <c r="G544" s="78"/>
      <c r="I544" s="71"/>
      <c r="AF544" s="71"/>
      <c r="AG544" s="79"/>
      <c r="AJ544" s="78"/>
    </row>
    <row r="545" ht="16.5" customHeight="1">
      <c r="B545" s="78"/>
      <c r="C545" s="78"/>
      <c r="D545" s="78"/>
      <c r="E545" s="78"/>
      <c r="F545" s="78"/>
      <c r="G545" s="78"/>
      <c r="I545" s="71"/>
      <c r="AF545" s="71"/>
      <c r="AG545" s="79"/>
      <c r="AJ545" s="78"/>
    </row>
    <row r="546" ht="16.5" customHeight="1">
      <c r="B546" s="78"/>
      <c r="C546" s="78"/>
      <c r="D546" s="78"/>
      <c r="E546" s="78"/>
      <c r="F546" s="78"/>
      <c r="G546" s="78"/>
      <c r="I546" s="71"/>
      <c r="AF546" s="71"/>
      <c r="AG546" s="79"/>
      <c r="AJ546" s="78"/>
    </row>
    <row r="547" ht="16.5" customHeight="1">
      <c r="B547" s="78"/>
      <c r="C547" s="78"/>
      <c r="D547" s="78"/>
      <c r="E547" s="78"/>
      <c r="F547" s="78"/>
      <c r="G547" s="78"/>
      <c r="I547" s="71"/>
      <c r="AF547" s="71"/>
      <c r="AG547" s="79"/>
      <c r="AJ547" s="78"/>
    </row>
    <row r="548" ht="16.5" customHeight="1">
      <c r="B548" s="78"/>
      <c r="C548" s="78"/>
      <c r="D548" s="78"/>
      <c r="E548" s="78"/>
      <c r="F548" s="78"/>
      <c r="G548" s="78"/>
      <c r="I548" s="71"/>
      <c r="AF548" s="71"/>
      <c r="AG548" s="79"/>
      <c r="AJ548" s="78"/>
    </row>
    <row r="549" ht="16.5" customHeight="1">
      <c r="B549" s="78"/>
      <c r="C549" s="78"/>
      <c r="D549" s="78"/>
      <c r="E549" s="78"/>
      <c r="F549" s="78"/>
      <c r="G549" s="78"/>
      <c r="I549" s="71"/>
      <c r="AF549" s="71"/>
      <c r="AG549" s="79"/>
      <c r="AJ549" s="78"/>
    </row>
    <row r="550" ht="16.5" customHeight="1">
      <c r="B550" s="78"/>
      <c r="C550" s="78"/>
      <c r="D550" s="78"/>
      <c r="E550" s="78"/>
      <c r="F550" s="78"/>
      <c r="G550" s="78"/>
      <c r="I550" s="71"/>
      <c r="AF550" s="71"/>
      <c r="AG550" s="79"/>
      <c r="AJ550" s="78"/>
    </row>
    <row r="551" ht="16.5" customHeight="1">
      <c r="B551" s="78"/>
      <c r="C551" s="78"/>
      <c r="D551" s="78"/>
      <c r="E551" s="78"/>
      <c r="F551" s="78"/>
      <c r="G551" s="78"/>
      <c r="I551" s="71"/>
      <c r="AF551" s="71"/>
      <c r="AG551" s="79"/>
      <c r="AJ551" s="78"/>
    </row>
    <row r="552" ht="16.5" customHeight="1">
      <c r="B552" s="78"/>
      <c r="C552" s="78"/>
      <c r="D552" s="78"/>
      <c r="E552" s="78"/>
      <c r="F552" s="78"/>
      <c r="G552" s="78"/>
      <c r="I552" s="71"/>
      <c r="AF552" s="71"/>
      <c r="AG552" s="79"/>
      <c r="AJ552" s="78"/>
    </row>
    <row r="553" ht="16.5" customHeight="1">
      <c r="B553" s="78"/>
      <c r="C553" s="78"/>
      <c r="D553" s="78"/>
      <c r="E553" s="78"/>
      <c r="F553" s="78"/>
      <c r="G553" s="78"/>
      <c r="I553" s="71"/>
      <c r="AF553" s="71"/>
      <c r="AG553" s="79"/>
      <c r="AJ553" s="78"/>
    </row>
    <row r="554" ht="16.5" customHeight="1">
      <c r="B554" s="78"/>
      <c r="C554" s="78"/>
      <c r="D554" s="78"/>
      <c r="E554" s="78"/>
      <c r="F554" s="78"/>
      <c r="G554" s="78"/>
      <c r="I554" s="71"/>
      <c r="AF554" s="71"/>
      <c r="AG554" s="79"/>
      <c r="AJ554" s="78"/>
    </row>
    <row r="555" ht="16.5" customHeight="1">
      <c r="B555" s="78"/>
      <c r="C555" s="78"/>
      <c r="D555" s="78"/>
      <c r="E555" s="78"/>
      <c r="F555" s="78"/>
      <c r="G555" s="78"/>
      <c r="I555" s="71"/>
      <c r="AF555" s="71"/>
      <c r="AG555" s="79"/>
      <c r="AJ555" s="78"/>
    </row>
    <row r="556" ht="16.5" customHeight="1">
      <c r="B556" s="78"/>
      <c r="C556" s="78"/>
      <c r="D556" s="78"/>
      <c r="E556" s="78"/>
      <c r="F556" s="78"/>
      <c r="G556" s="78"/>
      <c r="I556" s="71"/>
      <c r="AF556" s="71"/>
      <c r="AG556" s="79"/>
      <c r="AJ556" s="78"/>
    </row>
    <row r="557" ht="16.5" customHeight="1">
      <c r="B557" s="78"/>
      <c r="C557" s="78"/>
      <c r="D557" s="78"/>
      <c r="E557" s="78"/>
      <c r="F557" s="78"/>
      <c r="G557" s="78"/>
      <c r="I557" s="71"/>
      <c r="AF557" s="71"/>
      <c r="AG557" s="79"/>
      <c r="AJ557" s="78"/>
    </row>
    <row r="558" ht="16.5" customHeight="1">
      <c r="B558" s="78"/>
      <c r="C558" s="78"/>
      <c r="D558" s="78"/>
      <c r="E558" s="78"/>
      <c r="F558" s="78"/>
      <c r="G558" s="78"/>
      <c r="I558" s="71"/>
      <c r="AF558" s="71"/>
      <c r="AG558" s="79"/>
      <c r="AJ558" s="78"/>
    </row>
    <row r="559" ht="16.5" customHeight="1">
      <c r="B559" s="78"/>
      <c r="C559" s="78"/>
      <c r="D559" s="78"/>
      <c r="E559" s="78"/>
      <c r="F559" s="78"/>
      <c r="G559" s="78"/>
      <c r="I559" s="71"/>
      <c r="AF559" s="71"/>
      <c r="AG559" s="79"/>
      <c r="AJ559" s="78"/>
    </row>
    <row r="560" ht="16.5" customHeight="1">
      <c r="B560" s="78"/>
      <c r="C560" s="78"/>
      <c r="D560" s="78"/>
      <c r="E560" s="78"/>
      <c r="F560" s="78"/>
      <c r="G560" s="78"/>
      <c r="I560" s="71"/>
      <c r="AF560" s="71"/>
      <c r="AG560" s="79"/>
      <c r="AJ560" s="78"/>
    </row>
    <row r="561" ht="16.5" customHeight="1">
      <c r="B561" s="78"/>
      <c r="C561" s="78"/>
      <c r="D561" s="78"/>
      <c r="E561" s="78"/>
      <c r="F561" s="78"/>
      <c r="G561" s="78"/>
      <c r="I561" s="71"/>
      <c r="AF561" s="71"/>
      <c r="AG561" s="79"/>
      <c r="AJ561" s="78"/>
    </row>
    <row r="562" ht="16.5" customHeight="1">
      <c r="B562" s="78"/>
      <c r="C562" s="78"/>
      <c r="D562" s="78"/>
      <c r="E562" s="78"/>
      <c r="F562" s="78"/>
      <c r="G562" s="78"/>
      <c r="I562" s="71"/>
      <c r="AF562" s="71"/>
      <c r="AG562" s="79"/>
      <c r="AJ562" s="78"/>
    </row>
    <row r="563" ht="16.5" customHeight="1">
      <c r="B563" s="78"/>
      <c r="C563" s="78"/>
      <c r="D563" s="78"/>
      <c r="E563" s="78"/>
      <c r="F563" s="78"/>
      <c r="G563" s="78"/>
      <c r="I563" s="71"/>
      <c r="AF563" s="71"/>
      <c r="AG563" s="79"/>
      <c r="AJ563" s="78"/>
    </row>
    <row r="564" ht="16.5" customHeight="1">
      <c r="B564" s="78"/>
      <c r="C564" s="78"/>
      <c r="D564" s="78"/>
      <c r="E564" s="78"/>
      <c r="F564" s="78"/>
      <c r="G564" s="78"/>
      <c r="I564" s="71"/>
      <c r="AF564" s="71"/>
      <c r="AG564" s="79"/>
      <c r="AJ564" s="78"/>
    </row>
    <row r="565" ht="16.5" customHeight="1">
      <c r="B565" s="78"/>
      <c r="C565" s="78"/>
      <c r="D565" s="78"/>
      <c r="E565" s="78"/>
      <c r="F565" s="78"/>
      <c r="G565" s="78"/>
      <c r="I565" s="71"/>
      <c r="AF565" s="71"/>
      <c r="AG565" s="79"/>
      <c r="AJ565" s="78"/>
    </row>
    <row r="566" ht="16.5" customHeight="1">
      <c r="B566" s="78"/>
      <c r="C566" s="78"/>
      <c r="D566" s="78"/>
      <c r="E566" s="78"/>
      <c r="F566" s="78"/>
      <c r="G566" s="78"/>
      <c r="I566" s="71"/>
      <c r="AF566" s="71"/>
      <c r="AG566" s="79"/>
      <c r="AJ566" s="78"/>
    </row>
    <row r="567" ht="16.5" customHeight="1">
      <c r="B567" s="78"/>
      <c r="C567" s="78"/>
      <c r="D567" s="78"/>
      <c r="E567" s="78"/>
      <c r="F567" s="78"/>
      <c r="G567" s="78"/>
      <c r="I567" s="71"/>
      <c r="AF567" s="71"/>
      <c r="AG567" s="79"/>
      <c r="AJ567" s="78"/>
    </row>
    <row r="568" ht="16.5" customHeight="1">
      <c r="B568" s="78"/>
      <c r="C568" s="78"/>
      <c r="D568" s="78"/>
      <c r="E568" s="78"/>
      <c r="F568" s="78"/>
      <c r="G568" s="78"/>
      <c r="I568" s="71"/>
      <c r="AF568" s="71"/>
      <c r="AG568" s="79"/>
      <c r="AJ568" s="78"/>
    </row>
    <row r="569" ht="16.5" customHeight="1">
      <c r="B569" s="78"/>
      <c r="C569" s="78"/>
      <c r="D569" s="78"/>
      <c r="E569" s="78"/>
      <c r="F569" s="78"/>
      <c r="G569" s="78"/>
      <c r="I569" s="71"/>
      <c r="AF569" s="71"/>
      <c r="AG569" s="79"/>
      <c r="AJ569" s="78"/>
    </row>
    <row r="570" ht="16.5" customHeight="1">
      <c r="B570" s="78"/>
      <c r="C570" s="78"/>
      <c r="D570" s="78"/>
      <c r="E570" s="78"/>
      <c r="F570" s="78"/>
      <c r="G570" s="78"/>
      <c r="I570" s="71"/>
      <c r="AF570" s="71"/>
      <c r="AG570" s="79"/>
      <c r="AJ570" s="78"/>
    </row>
    <row r="571" ht="16.5" customHeight="1">
      <c r="B571" s="78"/>
      <c r="C571" s="78"/>
      <c r="D571" s="78"/>
      <c r="E571" s="78"/>
      <c r="F571" s="78"/>
      <c r="G571" s="78"/>
      <c r="I571" s="71"/>
      <c r="AF571" s="71"/>
      <c r="AG571" s="79"/>
      <c r="AJ571" s="78"/>
    </row>
    <row r="572" ht="16.5" customHeight="1">
      <c r="B572" s="78"/>
      <c r="C572" s="78"/>
      <c r="D572" s="78"/>
      <c r="E572" s="78"/>
      <c r="F572" s="78"/>
      <c r="G572" s="78"/>
      <c r="I572" s="71"/>
      <c r="AF572" s="71"/>
      <c r="AG572" s="79"/>
      <c r="AJ572" s="78"/>
    </row>
    <row r="573" ht="16.5" customHeight="1">
      <c r="B573" s="78"/>
      <c r="C573" s="78"/>
      <c r="D573" s="78"/>
      <c r="E573" s="78"/>
      <c r="F573" s="78"/>
      <c r="G573" s="78"/>
      <c r="I573" s="71"/>
      <c r="AF573" s="71"/>
      <c r="AG573" s="79"/>
      <c r="AJ573" s="78"/>
    </row>
    <row r="574" ht="16.5" customHeight="1">
      <c r="B574" s="78"/>
      <c r="C574" s="78"/>
      <c r="D574" s="78"/>
      <c r="E574" s="78"/>
      <c r="F574" s="78"/>
      <c r="G574" s="78"/>
      <c r="I574" s="71"/>
      <c r="AF574" s="71"/>
      <c r="AG574" s="79"/>
      <c r="AJ574" s="78"/>
    </row>
    <row r="575" ht="16.5" customHeight="1">
      <c r="B575" s="78"/>
      <c r="C575" s="78"/>
      <c r="D575" s="78"/>
      <c r="E575" s="78"/>
      <c r="F575" s="78"/>
      <c r="G575" s="78"/>
      <c r="I575" s="71"/>
      <c r="AF575" s="71"/>
      <c r="AG575" s="79"/>
      <c r="AJ575" s="78"/>
    </row>
    <row r="576" ht="16.5" customHeight="1">
      <c r="B576" s="78"/>
      <c r="C576" s="78"/>
      <c r="D576" s="78"/>
      <c r="E576" s="78"/>
      <c r="F576" s="78"/>
      <c r="G576" s="78"/>
      <c r="I576" s="71"/>
      <c r="AF576" s="71"/>
      <c r="AG576" s="79"/>
      <c r="AJ576" s="78"/>
    </row>
    <row r="577" ht="16.5" customHeight="1">
      <c r="B577" s="78"/>
      <c r="C577" s="78"/>
      <c r="D577" s="78"/>
      <c r="E577" s="78"/>
      <c r="F577" s="78"/>
      <c r="G577" s="78"/>
      <c r="I577" s="71"/>
      <c r="AF577" s="71"/>
      <c r="AG577" s="79"/>
      <c r="AJ577" s="78"/>
    </row>
    <row r="578" ht="16.5" customHeight="1">
      <c r="B578" s="78"/>
      <c r="C578" s="78"/>
      <c r="D578" s="78"/>
      <c r="E578" s="78"/>
      <c r="F578" s="78"/>
      <c r="G578" s="78"/>
      <c r="I578" s="71"/>
      <c r="AF578" s="71"/>
      <c r="AG578" s="79"/>
      <c r="AJ578" s="78"/>
    </row>
    <row r="579" ht="16.5" customHeight="1">
      <c r="B579" s="78"/>
      <c r="C579" s="78"/>
      <c r="D579" s="78"/>
      <c r="E579" s="78"/>
      <c r="F579" s="78"/>
      <c r="G579" s="78"/>
      <c r="I579" s="71"/>
      <c r="AF579" s="71"/>
      <c r="AG579" s="79"/>
      <c r="AJ579" s="78"/>
    </row>
    <row r="580" ht="16.5" customHeight="1">
      <c r="B580" s="78"/>
      <c r="C580" s="78"/>
      <c r="D580" s="78"/>
      <c r="E580" s="78"/>
      <c r="F580" s="78"/>
      <c r="G580" s="78"/>
      <c r="I580" s="71"/>
      <c r="AF580" s="71"/>
      <c r="AG580" s="79"/>
      <c r="AJ580" s="78"/>
    </row>
    <row r="581" ht="16.5" customHeight="1">
      <c r="B581" s="78"/>
      <c r="C581" s="78"/>
      <c r="D581" s="78"/>
      <c r="E581" s="78"/>
      <c r="F581" s="78"/>
      <c r="G581" s="78"/>
      <c r="I581" s="71"/>
      <c r="AF581" s="71"/>
      <c r="AG581" s="79"/>
      <c r="AJ581" s="78"/>
    </row>
    <row r="582" ht="16.5" customHeight="1">
      <c r="B582" s="78"/>
      <c r="C582" s="78"/>
      <c r="D582" s="78"/>
      <c r="E582" s="78"/>
      <c r="F582" s="78"/>
      <c r="G582" s="78"/>
      <c r="I582" s="71"/>
      <c r="AF582" s="71"/>
      <c r="AG582" s="79"/>
      <c r="AJ582" s="78"/>
    </row>
    <row r="583" ht="16.5" customHeight="1">
      <c r="B583" s="78"/>
      <c r="C583" s="78"/>
      <c r="D583" s="78"/>
      <c r="E583" s="78"/>
      <c r="F583" s="78"/>
      <c r="G583" s="78"/>
      <c r="I583" s="71"/>
      <c r="AF583" s="71"/>
      <c r="AG583" s="79"/>
      <c r="AJ583" s="78"/>
    </row>
    <row r="584" ht="16.5" customHeight="1">
      <c r="B584" s="78"/>
      <c r="C584" s="78"/>
      <c r="D584" s="78"/>
      <c r="E584" s="78"/>
      <c r="F584" s="78"/>
      <c r="G584" s="78"/>
      <c r="I584" s="71"/>
      <c r="AF584" s="71"/>
      <c r="AG584" s="79"/>
      <c r="AJ584" s="78"/>
    </row>
    <row r="585" ht="16.5" customHeight="1">
      <c r="B585" s="78"/>
      <c r="C585" s="78"/>
      <c r="D585" s="78"/>
      <c r="E585" s="78"/>
      <c r="F585" s="78"/>
      <c r="G585" s="78"/>
      <c r="I585" s="71"/>
      <c r="AF585" s="71"/>
      <c r="AG585" s="79"/>
      <c r="AJ585" s="78"/>
    </row>
    <row r="586" ht="16.5" customHeight="1">
      <c r="B586" s="78"/>
      <c r="C586" s="78"/>
      <c r="D586" s="78"/>
      <c r="E586" s="78"/>
      <c r="F586" s="78"/>
      <c r="G586" s="78"/>
      <c r="I586" s="71"/>
      <c r="AF586" s="71"/>
      <c r="AG586" s="79"/>
      <c r="AJ586" s="78"/>
    </row>
    <row r="587" ht="16.5" customHeight="1">
      <c r="B587" s="78"/>
      <c r="C587" s="78"/>
      <c r="D587" s="78"/>
      <c r="E587" s="78"/>
      <c r="F587" s="78"/>
      <c r="G587" s="78"/>
      <c r="I587" s="71"/>
      <c r="AF587" s="71"/>
      <c r="AG587" s="79"/>
      <c r="AJ587" s="78"/>
    </row>
    <row r="588" ht="16.5" customHeight="1">
      <c r="B588" s="78"/>
      <c r="C588" s="78"/>
      <c r="D588" s="78"/>
      <c r="E588" s="78"/>
      <c r="F588" s="78"/>
      <c r="G588" s="78"/>
      <c r="I588" s="71"/>
      <c r="AF588" s="71"/>
      <c r="AG588" s="79"/>
      <c r="AJ588" s="78"/>
    </row>
    <row r="589" ht="16.5" customHeight="1">
      <c r="B589" s="78"/>
      <c r="C589" s="78"/>
      <c r="D589" s="78"/>
      <c r="E589" s="78"/>
      <c r="F589" s="78"/>
      <c r="G589" s="78"/>
      <c r="I589" s="71"/>
      <c r="AF589" s="71"/>
      <c r="AG589" s="79"/>
      <c r="AJ589" s="78"/>
    </row>
    <row r="590" ht="16.5" customHeight="1">
      <c r="B590" s="78"/>
      <c r="C590" s="78"/>
      <c r="D590" s="78"/>
      <c r="E590" s="78"/>
      <c r="F590" s="78"/>
      <c r="G590" s="78"/>
      <c r="I590" s="71"/>
      <c r="AF590" s="71"/>
      <c r="AG590" s="79"/>
      <c r="AJ590" s="78"/>
    </row>
    <row r="591" ht="16.5" customHeight="1">
      <c r="B591" s="78"/>
      <c r="C591" s="78"/>
      <c r="D591" s="78"/>
      <c r="E591" s="78"/>
      <c r="F591" s="78"/>
      <c r="G591" s="78"/>
      <c r="I591" s="71"/>
      <c r="AF591" s="71"/>
      <c r="AG591" s="79"/>
      <c r="AJ591" s="78"/>
    </row>
    <row r="592" ht="16.5" customHeight="1">
      <c r="B592" s="78"/>
      <c r="C592" s="78"/>
      <c r="D592" s="78"/>
      <c r="E592" s="78"/>
      <c r="F592" s="78"/>
      <c r="G592" s="78"/>
      <c r="I592" s="71"/>
      <c r="AF592" s="71"/>
      <c r="AG592" s="79"/>
      <c r="AJ592" s="78"/>
    </row>
    <row r="593" ht="16.5" customHeight="1">
      <c r="B593" s="78"/>
      <c r="C593" s="78"/>
      <c r="D593" s="78"/>
      <c r="E593" s="78"/>
      <c r="F593" s="78"/>
      <c r="G593" s="78"/>
      <c r="I593" s="71"/>
      <c r="AF593" s="71"/>
      <c r="AG593" s="79"/>
      <c r="AJ593" s="78"/>
    </row>
    <row r="594" ht="16.5" customHeight="1">
      <c r="B594" s="78"/>
      <c r="C594" s="78"/>
      <c r="D594" s="78"/>
      <c r="E594" s="78"/>
      <c r="F594" s="78"/>
      <c r="G594" s="78"/>
      <c r="I594" s="71"/>
      <c r="AF594" s="71"/>
      <c r="AG594" s="79"/>
      <c r="AJ594" s="78"/>
    </row>
    <row r="595" ht="16.5" customHeight="1">
      <c r="B595" s="78"/>
      <c r="C595" s="78"/>
      <c r="D595" s="78"/>
      <c r="E595" s="78"/>
      <c r="F595" s="78"/>
      <c r="G595" s="78"/>
      <c r="I595" s="71"/>
      <c r="AF595" s="71"/>
      <c r="AG595" s="79"/>
      <c r="AJ595" s="78"/>
    </row>
    <row r="596" ht="16.5" customHeight="1">
      <c r="B596" s="78"/>
      <c r="C596" s="78"/>
      <c r="D596" s="78"/>
      <c r="E596" s="78"/>
      <c r="F596" s="78"/>
      <c r="G596" s="78"/>
      <c r="I596" s="71"/>
      <c r="AF596" s="71"/>
      <c r="AG596" s="79"/>
      <c r="AJ596" s="78"/>
    </row>
    <row r="597" ht="16.5" customHeight="1">
      <c r="B597" s="78"/>
      <c r="C597" s="78"/>
      <c r="D597" s="78"/>
      <c r="E597" s="78"/>
      <c r="F597" s="78"/>
      <c r="G597" s="78"/>
      <c r="I597" s="71"/>
      <c r="AF597" s="71"/>
      <c r="AG597" s="79"/>
      <c r="AJ597" s="78"/>
    </row>
    <row r="598" ht="16.5" customHeight="1">
      <c r="B598" s="78"/>
      <c r="C598" s="78"/>
      <c r="D598" s="78"/>
      <c r="E598" s="78"/>
      <c r="F598" s="78"/>
      <c r="G598" s="78"/>
      <c r="I598" s="71"/>
      <c r="AF598" s="71"/>
      <c r="AG598" s="79"/>
      <c r="AJ598" s="78"/>
    </row>
    <row r="599" ht="16.5" customHeight="1">
      <c r="B599" s="78"/>
      <c r="C599" s="78"/>
      <c r="D599" s="78"/>
      <c r="E599" s="78"/>
      <c r="F599" s="78"/>
      <c r="G599" s="78"/>
      <c r="I599" s="71"/>
      <c r="AF599" s="71"/>
      <c r="AG599" s="79"/>
      <c r="AJ599" s="78"/>
    </row>
    <row r="600" ht="16.5" customHeight="1">
      <c r="B600" s="78"/>
      <c r="C600" s="78"/>
      <c r="D600" s="78"/>
      <c r="E600" s="78"/>
      <c r="F600" s="78"/>
      <c r="G600" s="78"/>
      <c r="I600" s="71"/>
      <c r="AF600" s="71"/>
      <c r="AG600" s="79"/>
      <c r="AJ600" s="78"/>
    </row>
    <row r="601" ht="16.5" customHeight="1">
      <c r="B601" s="78"/>
      <c r="C601" s="78"/>
      <c r="D601" s="78"/>
      <c r="E601" s="78"/>
      <c r="F601" s="78"/>
      <c r="G601" s="78"/>
      <c r="I601" s="71"/>
      <c r="AF601" s="71"/>
      <c r="AG601" s="79"/>
      <c r="AJ601" s="78"/>
    </row>
    <row r="602" ht="16.5" customHeight="1">
      <c r="B602" s="78"/>
      <c r="C602" s="78"/>
      <c r="D602" s="78"/>
      <c r="E602" s="78"/>
      <c r="F602" s="78"/>
      <c r="G602" s="78"/>
      <c r="I602" s="71"/>
      <c r="AF602" s="71"/>
      <c r="AG602" s="79"/>
      <c r="AJ602" s="78"/>
    </row>
    <row r="603" ht="16.5" customHeight="1">
      <c r="B603" s="78"/>
      <c r="C603" s="78"/>
      <c r="D603" s="78"/>
      <c r="E603" s="78"/>
      <c r="F603" s="78"/>
      <c r="G603" s="78"/>
      <c r="I603" s="71"/>
      <c r="AF603" s="71"/>
      <c r="AG603" s="79"/>
      <c r="AJ603" s="78"/>
    </row>
    <row r="604" ht="16.5" customHeight="1">
      <c r="B604" s="78"/>
      <c r="C604" s="78"/>
      <c r="D604" s="78"/>
      <c r="E604" s="78"/>
      <c r="F604" s="78"/>
      <c r="G604" s="78"/>
      <c r="I604" s="71"/>
      <c r="AF604" s="71"/>
      <c r="AG604" s="79"/>
      <c r="AJ604" s="78"/>
    </row>
    <row r="605" ht="16.5" customHeight="1">
      <c r="B605" s="78"/>
      <c r="C605" s="78"/>
      <c r="D605" s="78"/>
      <c r="E605" s="78"/>
      <c r="F605" s="78"/>
      <c r="G605" s="78"/>
      <c r="I605" s="71"/>
      <c r="AF605" s="71"/>
      <c r="AG605" s="79"/>
      <c r="AJ605" s="78"/>
    </row>
    <row r="606" ht="16.5" customHeight="1">
      <c r="B606" s="78"/>
      <c r="C606" s="78"/>
      <c r="D606" s="78"/>
      <c r="E606" s="78"/>
      <c r="F606" s="78"/>
      <c r="G606" s="78"/>
      <c r="I606" s="71"/>
      <c r="AF606" s="71"/>
      <c r="AG606" s="79"/>
      <c r="AJ606" s="78"/>
    </row>
    <row r="607" ht="16.5" customHeight="1">
      <c r="B607" s="78"/>
      <c r="C607" s="78"/>
      <c r="D607" s="78"/>
      <c r="E607" s="78"/>
      <c r="F607" s="78"/>
      <c r="G607" s="78"/>
      <c r="I607" s="71"/>
      <c r="AF607" s="71"/>
      <c r="AG607" s="79"/>
      <c r="AJ607" s="78"/>
    </row>
    <row r="608" ht="16.5" customHeight="1">
      <c r="B608" s="78"/>
      <c r="C608" s="78"/>
      <c r="D608" s="78"/>
      <c r="E608" s="78"/>
      <c r="F608" s="78"/>
      <c r="G608" s="78"/>
      <c r="I608" s="71"/>
      <c r="AF608" s="71"/>
      <c r="AG608" s="79"/>
      <c r="AJ608" s="78"/>
    </row>
    <row r="609" ht="16.5" customHeight="1">
      <c r="B609" s="78"/>
      <c r="C609" s="78"/>
      <c r="D609" s="78"/>
      <c r="E609" s="78"/>
      <c r="F609" s="78"/>
      <c r="G609" s="78"/>
      <c r="I609" s="71"/>
      <c r="AF609" s="71"/>
      <c r="AG609" s="79"/>
      <c r="AJ609" s="78"/>
    </row>
    <row r="610" ht="16.5" customHeight="1">
      <c r="B610" s="78"/>
      <c r="C610" s="78"/>
      <c r="D610" s="78"/>
      <c r="E610" s="78"/>
      <c r="F610" s="78"/>
      <c r="G610" s="78"/>
      <c r="I610" s="71"/>
      <c r="AF610" s="71"/>
      <c r="AG610" s="79"/>
      <c r="AJ610" s="78"/>
    </row>
    <row r="611" ht="16.5" customHeight="1">
      <c r="B611" s="78"/>
      <c r="C611" s="78"/>
      <c r="D611" s="78"/>
      <c r="E611" s="78"/>
      <c r="F611" s="78"/>
      <c r="G611" s="78"/>
      <c r="I611" s="71"/>
      <c r="AF611" s="71"/>
      <c r="AG611" s="79"/>
      <c r="AJ611" s="78"/>
    </row>
    <row r="612" ht="16.5" customHeight="1">
      <c r="B612" s="78"/>
      <c r="C612" s="78"/>
      <c r="D612" s="78"/>
      <c r="E612" s="78"/>
      <c r="F612" s="78"/>
      <c r="G612" s="78"/>
      <c r="I612" s="71"/>
      <c r="AF612" s="71"/>
      <c r="AG612" s="79"/>
      <c r="AJ612" s="78"/>
    </row>
    <row r="613" ht="16.5" customHeight="1">
      <c r="B613" s="78"/>
      <c r="C613" s="78"/>
      <c r="D613" s="78"/>
      <c r="E613" s="78"/>
      <c r="F613" s="78"/>
      <c r="G613" s="78"/>
      <c r="I613" s="71"/>
      <c r="AF613" s="71"/>
      <c r="AG613" s="79"/>
      <c r="AJ613" s="78"/>
    </row>
    <row r="614" ht="16.5" customHeight="1">
      <c r="B614" s="78"/>
      <c r="C614" s="78"/>
      <c r="D614" s="78"/>
      <c r="E614" s="78"/>
      <c r="F614" s="78"/>
      <c r="G614" s="78"/>
      <c r="I614" s="71"/>
      <c r="AF614" s="71"/>
      <c r="AG614" s="79"/>
      <c r="AJ614" s="78"/>
    </row>
    <row r="615" ht="16.5" customHeight="1">
      <c r="B615" s="78"/>
      <c r="C615" s="78"/>
      <c r="D615" s="78"/>
      <c r="E615" s="78"/>
      <c r="F615" s="78"/>
      <c r="G615" s="78"/>
      <c r="I615" s="71"/>
      <c r="AF615" s="71"/>
      <c r="AG615" s="79"/>
      <c r="AJ615" s="78"/>
    </row>
    <row r="616" ht="16.5" customHeight="1">
      <c r="B616" s="78"/>
      <c r="C616" s="78"/>
      <c r="D616" s="78"/>
      <c r="E616" s="78"/>
      <c r="F616" s="78"/>
      <c r="G616" s="78"/>
      <c r="I616" s="71"/>
      <c r="AF616" s="71"/>
      <c r="AG616" s="79"/>
      <c r="AJ616" s="78"/>
    </row>
    <row r="617" ht="16.5" customHeight="1">
      <c r="B617" s="78"/>
      <c r="C617" s="78"/>
      <c r="D617" s="78"/>
      <c r="E617" s="78"/>
      <c r="F617" s="78"/>
      <c r="G617" s="78"/>
      <c r="I617" s="71"/>
      <c r="AF617" s="71"/>
      <c r="AG617" s="79"/>
      <c r="AJ617" s="78"/>
    </row>
    <row r="618" ht="16.5" customHeight="1">
      <c r="B618" s="78"/>
      <c r="C618" s="78"/>
      <c r="D618" s="78"/>
      <c r="E618" s="78"/>
      <c r="F618" s="78"/>
      <c r="G618" s="78"/>
      <c r="I618" s="71"/>
      <c r="AF618" s="71"/>
      <c r="AG618" s="79"/>
      <c r="AJ618" s="78"/>
    </row>
  </sheetData>
  <mergeCells count="5">
    <mergeCell ref="A1:G1"/>
    <mergeCell ref="I1:Q1"/>
    <mergeCell ref="T1:W1"/>
    <mergeCell ref="Y1:AD1"/>
    <mergeCell ref="AF1:AJ1"/>
  </mergeCells>
  <hyperlinks>
    <hyperlink r:id="rId1" ref="O3"/>
    <hyperlink r:id="rId2" ref="O4"/>
    <hyperlink r:id="rId3" ref="O5"/>
    <hyperlink r:id="rId4" ref="O6"/>
    <hyperlink r:id="rId5" ref="O7"/>
    <hyperlink r:id="rId6" ref="O8"/>
    <hyperlink r:id="rId7" ref="O9"/>
    <hyperlink r:id="rId8" ref="O10"/>
    <hyperlink r:id="rId9" ref="O11"/>
    <hyperlink r:id="rId10" ref="O12"/>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7.63"/>
    <col customWidth="1" min="2" max="2" width="13.13"/>
    <col customWidth="1" min="3" max="3" width="12.13"/>
    <col customWidth="1" min="4" max="4" width="12.5"/>
    <col customWidth="1" min="5" max="11" width="4.5"/>
    <col customWidth="1" min="12" max="12" width="4.0"/>
    <col customWidth="1" min="13" max="13" width="2.5"/>
    <col customWidth="1" min="14" max="16" width="4.5"/>
    <col customWidth="1" min="17" max="17" width="6.25"/>
    <col customWidth="1" min="18" max="18" width="5.38"/>
    <col customWidth="1" min="19" max="19" width="4.5"/>
    <col customWidth="1" min="20" max="20" width="5.5"/>
    <col customWidth="1" min="21" max="24" width="4.5"/>
    <col customWidth="1" min="25" max="25" width="4.0"/>
    <col customWidth="1" min="26" max="27" width="4.5"/>
  </cols>
  <sheetData>
    <row r="1" ht="27.75" customHeight="1">
      <c r="A1" s="80"/>
      <c r="B1" s="80"/>
      <c r="C1" s="80"/>
      <c r="D1" s="80"/>
      <c r="E1" s="80"/>
      <c r="F1" s="80"/>
      <c r="G1" s="80"/>
      <c r="H1" s="80"/>
      <c r="I1" s="80"/>
      <c r="J1" s="80"/>
      <c r="K1" s="80"/>
      <c r="L1" s="80"/>
      <c r="M1" s="80"/>
      <c r="N1" s="80"/>
      <c r="O1" s="80"/>
      <c r="P1" s="80"/>
      <c r="Q1" s="80"/>
      <c r="R1" s="80"/>
      <c r="S1" s="80"/>
      <c r="T1" s="80"/>
      <c r="U1" s="80"/>
      <c r="V1" s="80"/>
      <c r="W1" s="80"/>
      <c r="X1" s="80"/>
      <c r="Y1" s="80"/>
      <c r="Z1" s="80"/>
      <c r="AA1" s="80"/>
    </row>
    <row r="2" ht="61.5" customHeight="1">
      <c r="A2" s="80" t="s">
        <v>388</v>
      </c>
      <c r="B2" s="56" t="s">
        <v>389</v>
      </c>
      <c r="C2" s="56" t="s">
        <v>390</v>
      </c>
      <c r="D2" s="56" t="s">
        <v>391</v>
      </c>
      <c r="E2" s="56"/>
      <c r="F2" s="56"/>
      <c r="G2" s="56"/>
      <c r="H2" s="56"/>
      <c r="I2" s="56"/>
      <c r="J2" s="56"/>
      <c r="K2" s="56"/>
      <c r="L2" s="56"/>
      <c r="M2" s="56"/>
      <c r="N2" s="56"/>
      <c r="O2" s="56"/>
      <c r="P2" s="56"/>
      <c r="Q2" s="56"/>
      <c r="R2" s="81"/>
      <c r="S2" s="56"/>
      <c r="T2" s="54"/>
      <c r="U2" s="54"/>
      <c r="V2" s="56"/>
      <c r="W2" s="56"/>
      <c r="X2" s="56"/>
      <c r="Y2" s="56"/>
      <c r="Z2" s="56"/>
      <c r="AA2" s="56"/>
    </row>
    <row r="3" ht="16.5" customHeight="1">
      <c r="A3" s="82" t="s">
        <v>382</v>
      </c>
      <c r="B3" s="62">
        <f>IFERROR(__xludf.DUMMYFUNCTION("IFERROR(ROWS(FILTER(data!A2:A618, (data!E2:E618&amp;"""")=""3"", data!B2:B618&lt;&gt;"""", data!C2:C618&lt;&gt;"""")), 0)
"),54.0)</f>
        <v>54</v>
      </c>
      <c r="C3" s="63">
        <f>IFERROR(__xludf.DUMMYFUNCTION("IFERROR(ROWS(FILTER(data_num!A2:A618, data_num!B2:B618&lt;&gt;"""", data_num!C2:C618&lt;&gt;"""")), 0)
"),36.0)</f>
        <v>36</v>
      </c>
      <c r="D3" s="62">
        <f t="shared" ref="D3:D14" si="1">C3-B3
</f>
        <v>-18</v>
      </c>
      <c r="E3" s="63"/>
      <c r="F3" s="62"/>
      <c r="G3" s="62"/>
      <c r="H3" s="62"/>
      <c r="I3" s="61"/>
      <c r="J3" s="62"/>
      <c r="K3" s="62"/>
      <c r="L3" s="43"/>
      <c r="M3" s="62"/>
      <c r="N3" s="43"/>
      <c r="O3" s="43"/>
      <c r="P3" s="43"/>
      <c r="Q3" s="62"/>
      <c r="R3" s="43"/>
      <c r="S3" s="62"/>
      <c r="T3" s="61"/>
      <c r="U3" s="65"/>
      <c r="V3" s="61"/>
      <c r="W3" s="62"/>
      <c r="X3" s="62"/>
      <c r="Y3" s="62"/>
      <c r="Z3" s="62"/>
      <c r="AA3" s="62"/>
    </row>
    <row r="4" ht="16.5" customHeight="1">
      <c r="A4" s="82" t="s">
        <v>368</v>
      </c>
      <c r="B4" s="62">
        <f>IFERROR(__xludf.DUMMYFUNCTION("IF(B3=0,"""",IFERROR(AVERAGE(FILTER(IFERROR(VALEUR(data!B2:B618),data!B2:B618), (data!E2:E618&amp;"""")=""3"", data!B2:B618&lt;&gt;"""", data!C2:C618&lt;&gt;"""")), """"))
"),4.7592592592592595)</f>
        <v>4.759259259</v>
      </c>
      <c r="C4" s="63">
        <f>IFERROR(__xludf.DUMMYFUNCTION("IF(C3=0,"""",IFERROR(AVERAGE(FILTER(IFERROR(VALEUR(data_num!B2:B618),data_num!B2:B618), data_num!B2:B618&lt;&gt;"""", data_num!C2:C618&lt;&gt;"""")), """"))
"),3.6944444444444446)</f>
        <v>3.694444444</v>
      </c>
      <c r="D4" s="62">
        <f t="shared" si="1"/>
        <v>-1.064814815</v>
      </c>
      <c r="E4" s="63"/>
      <c r="F4" s="62"/>
      <c r="G4" s="62"/>
      <c r="H4" s="62"/>
      <c r="I4" s="61"/>
      <c r="J4" s="62"/>
      <c r="K4" s="62"/>
      <c r="L4" s="43"/>
      <c r="M4" s="62"/>
      <c r="N4" s="43"/>
      <c r="O4" s="43"/>
      <c r="P4" s="43"/>
      <c r="Q4" s="62"/>
      <c r="R4" s="43"/>
      <c r="S4" s="62"/>
      <c r="T4" s="61"/>
      <c r="U4" s="65"/>
      <c r="V4" s="61"/>
      <c r="W4" s="62"/>
      <c r="X4" s="62"/>
      <c r="Y4" s="62"/>
      <c r="Z4" s="62"/>
      <c r="AA4" s="62"/>
    </row>
    <row r="5" ht="16.5" customHeight="1">
      <c r="A5" s="82" t="s">
        <v>381</v>
      </c>
      <c r="B5" s="62">
        <f>IFERROR(__xludf.DUMMYFUNCTION("IF(B3=0,"""",IFERROR(AVERAGE(FILTER(IFERROR(VALEUR(data!C2:C618),data!C2:C618), (data!E2:E618&amp;"""")=""3"", data!B2:B618&lt;&gt;"""", data!C2:C618&lt;&gt;"""")), """"))
"),7.333333333333333)</f>
        <v>7.333333333</v>
      </c>
      <c r="C5" s="63">
        <f>IFERROR(__xludf.DUMMYFUNCTION("IF(C3=0,"""",IFERROR(AVERAGE(FILTER(IFERROR(VALEUR(data_num!C2:C618),data_num!C2:C618), data_num!B2:B618&lt;&gt;"""", data_num!C2:C618&lt;&gt;"""")), """"))
"),5.361111111111111)</f>
        <v>5.361111111</v>
      </c>
      <c r="D5" s="62">
        <f t="shared" si="1"/>
        <v>-1.972222222</v>
      </c>
      <c r="E5" s="63"/>
      <c r="F5" s="62"/>
      <c r="G5" s="62"/>
      <c r="H5" s="62"/>
      <c r="I5" s="61"/>
      <c r="J5" s="62"/>
      <c r="K5" s="62"/>
      <c r="L5" s="43"/>
      <c r="M5" s="62"/>
      <c r="N5" s="43"/>
      <c r="O5" s="43"/>
      <c r="P5" s="43"/>
      <c r="Q5" s="62"/>
      <c r="R5" s="43"/>
      <c r="S5" s="62"/>
      <c r="T5" s="61"/>
      <c r="U5" s="65"/>
      <c r="V5" s="61"/>
      <c r="W5" s="62"/>
      <c r="X5" s="62"/>
      <c r="Y5" s="62"/>
      <c r="Z5" s="62"/>
      <c r="AA5" s="62"/>
    </row>
    <row r="6" ht="16.5" customHeight="1">
      <c r="A6" s="82" t="s">
        <v>392</v>
      </c>
      <c r="B6" s="62">
        <f>IFERROR(__xludf.DUMMYFUNCTION("IF(B3=0,"""",IFERROR(ROWS(FILTER(data!A2:A618, (data!E2:E618&amp;"""")=""3"", IFERROR(VALEUR(data!B2:B618),data!B2:B618)&gt;5, IFERROR(VALEUR(data!C2:C618),data!C2:C618)&gt;5))/B3, """"))
"),0.37037037037037035)</f>
        <v>0.3703703704</v>
      </c>
      <c r="C6" s="63">
        <f>IFERROR(__xludf.DUMMYFUNCTION("IF(C3=0,"""",IFERROR(ROWS(FILTER(data_num!A2:A618, IFERROR(VALEUR(data_num!B2:B618),data_num!B2:B618)&gt;5, IFERROR(VALEUR(data_num!C2:C618),data_num!C2:C618)&gt;5))/C3, """"))
"),0.2777777777777778)</f>
        <v>0.2777777778</v>
      </c>
      <c r="D6" s="62">
        <f t="shared" si="1"/>
        <v>-0.09259259259</v>
      </c>
      <c r="E6" s="63"/>
      <c r="F6" s="62"/>
      <c r="G6" s="62" t="str">
        <f>IFERROR(__xludf.DUMMYFUNCTION("IFERROR(
  IF(
    ROWS(FILTER(data_num!A2:A618, data_num!B2:B618&lt;&gt;"""", data_num!C2:C618&lt;&gt;""""))&lt;2,
    """",
    IF(
      OR(
        ECARTYPE.STANDARD(FILTER(IFERROR(VALEUR(data_num!B2:B618),), data_num!B2:B618&lt;&gt;"""", data_num!C2:C618&lt;&gt;""""))=0,
     "&amp;"   ECARTYPE.STANDARD(FILTER(IFERROR(VALEUR(data_num!C2:C618),), data_num!B2:B618&lt;&gt;"""", data_num!C2:C618&lt;&gt;""""))=0
      ),
      """",
      CORREL(
        FILTER(IFERROR(VALEUR(data_num!B2:B618),), data_num!B2:B618&lt;&gt;"""", data_num!C2:C618&lt;&gt;""""),
     "&amp;"   FILTER(IFERROR(VALEUR(data_num!C2:C618),), data_num!B2:B618&lt;&gt;"""", data_num!C2:C618&lt;&gt;"""")
      )
    )
  ),
"""")
"),"")</f>
        <v/>
      </c>
      <c r="H6" s="62"/>
      <c r="I6" s="61"/>
      <c r="J6" s="62"/>
      <c r="K6" s="62"/>
      <c r="L6" s="43"/>
      <c r="M6" s="62"/>
      <c r="N6" s="43"/>
      <c r="O6" s="43"/>
      <c r="P6" s="43"/>
      <c r="Q6" s="62"/>
      <c r="R6" s="43"/>
      <c r="S6" s="62"/>
      <c r="T6" s="61"/>
      <c r="U6" s="65"/>
      <c r="V6" s="61"/>
      <c r="W6" s="62"/>
      <c r="X6" s="62"/>
      <c r="Y6" s="62"/>
      <c r="Z6" s="62"/>
      <c r="AA6" s="62"/>
    </row>
    <row r="7" ht="16.5" customHeight="1">
      <c r="A7" s="82" t="s">
        <v>393</v>
      </c>
      <c r="B7" s="62">
        <f>IFERROR(__xludf.DUMMYFUNCTION("IF(B3=0,"""",IFERROR(MEDIAN(FILTER(IFERROR(VALEUR(data!B2:B618),data!B2:B618), (data!E2:E618&amp;"""")=""3"", data!B2:B618&lt;&gt;"""", data!C2:C618&lt;&gt;"""")), """"))
"),5.0)</f>
        <v>5</v>
      </c>
      <c r="C7" s="63">
        <f>IFERROR(__xludf.DUMMYFUNCTION("IF(C3=0,"""",IFERROR(MEDIAN(FILTER(IFERROR(VALEUR(data_num!B2:B618),data_num!B2:B618), data_num!B2:B618&lt;&gt;"""", data_num!C2:C618&lt;&gt;"""")), """"))
"),3.5)</f>
        <v>3.5</v>
      </c>
      <c r="D7" s="62">
        <f t="shared" si="1"/>
        <v>-1.5</v>
      </c>
      <c r="E7" s="63"/>
      <c r="F7" s="62"/>
      <c r="G7" s="62"/>
      <c r="H7" s="62"/>
      <c r="I7" s="61"/>
      <c r="J7" s="62"/>
      <c r="K7" s="62"/>
      <c r="L7" s="43"/>
      <c r="M7" s="62"/>
      <c r="N7" s="43"/>
      <c r="O7" s="43"/>
      <c r="P7" s="43"/>
      <c r="Q7" s="62"/>
      <c r="R7" s="43"/>
      <c r="S7" s="62"/>
      <c r="T7" s="61"/>
      <c r="U7" s="65"/>
      <c r="V7" s="61"/>
      <c r="W7" s="62"/>
      <c r="X7" s="62"/>
      <c r="Y7" s="62"/>
      <c r="Z7" s="62"/>
      <c r="AA7" s="62"/>
    </row>
    <row r="8" ht="16.5" customHeight="1">
      <c r="A8" s="82" t="s">
        <v>394</v>
      </c>
      <c r="B8" s="62">
        <f>IFERROR(__xludf.DUMMYFUNCTION("IF(B3=0,"""",IFERROR(MEDIAN(FILTER(IFERROR(VALEUR(data!C2:C618),data!C2:C618), (data!E2:E618&amp;"""")=""3"", data!B2:B618&lt;&gt;"""", data!C2:C618&lt;&gt;"""")), """"))
"),8.0)</f>
        <v>8</v>
      </c>
      <c r="C8" s="63">
        <f>IFERROR(__xludf.DUMMYFUNCTION("IF(C3=0,"""",IFERROR(MEDIAN(FILTER(IFERROR(VALEUR(data_num!C2:C618),data_num!C2:C618), data_num!B2:B618&lt;&gt;"""", data_num!C2:C618&lt;&gt;"""")), """"))
"),5.5)</f>
        <v>5.5</v>
      </c>
      <c r="D8" s="62">
        <f t="shared" si="1"/>
        <v>-2.5</v>
      </c>
      <c r="E8" s="63"/>
      <c r="F8" s="62"/>
      <c r="G8" s="62"/>
      <c r="H8" s="62"/>
      <c r="I8" s="61"/>
      <c r="J8" s="62"/>
      <c r="K8" s="62"/>
      <c r="L8" s="43"/>
      <c r="M8" s="62"/>
      <c r="N8" s="43"/>
      <c r="O8" s="43"/>
      <c r="P8" s="43"/>
      <c r="Q8" s="62"/>
      <c r="R8" s="43"/>
      <c r="S8" s="62"/>
      <c r="T8" s="61"/>
      <c r="U8" s="65"/>
      <c r="V8" s="61"/>
      <c r="W8" s="62"/>
      <c r="X8" s="63"/>
      <c r="Y8" s="63"/>
      <c r="Z8" s="62"/>
      <c r="AA8" s="62"/>
    </row>
    <row r="9" ht="16.5" customHeight="1">
      <c r="A9" s="82" t="s">
        <v>395</v>
      </c>
      <c r="B9" s="62">
        <f>IFERROR(__xludf.DUMMYFUNCTION("IF(
  ROWS(FILTER(data!A2:A618, (data!E2:E618&amp;"""")=""3"", data!B2:B618&lt;&gt;"""", data!C2:C618&lt;&gt;""""))&lt;2,
  """",
  IFERROR(
    CORREL(
      FILTER(IFERROR(VALEUR(data!B2:B618), data!B2:B618), (data!E2:E618&amp;"""")=""3"", data!B2:B618&lt;&gt;"""", data!C2:C618&lt;&gt;"""&amp;"""),
      FILTER(IFERROR(VALEUR(data!C2:C618), data!C2:C618), (data!E2:E618&amp;"""")=""3"", data!B2:B618&lt;&gt;"""", data!C2:C618&lt;&gt;"""")
    ),
    """"
  )
)
"),-0.011071995366651394)</f>
        <v>-0.01107199537</v>
      </c>
      <c r="C9" s="63">
        <f>IFERROR(__xludf.DUMMYFUNCTION("IF(
  ROWS(FILTER(data_num!A2:A618, data_num!B2:B618&lt;&gt;"""", data_num!C2:C618&lt;&gt;""""))&lt;2,
  """",
  IFERROR(
    CORREL(
      FILTER(IFERROR(VALEUR(data_num!B2:B618), data_num!B2:B618), data_num!B2:B618&lt;&gt;"""", data_num!C2:C618&lt;&gt;""""),
      FILTER(IFERROR("&amp;"VALEUR(data_num!C2:C618), data_num!C2:C618), data_num!B2:B618&lt;&gt;"""", data_num!C2:C618&lt;&gt;"""")
    ),
    """"
  )
)
"),0.3677620481987338)</f>
        <v>0.3677620482</v>
      </c>
      <c r="D9" s="62">
        <f t="shared" si="1"/>
        <v>0.3788340436</v>
      </c>
      <c r="E9" s="63"/>
      <c r="F9" s="62"/>
      <c r="G9" s="62"/>
      <c r="H9" s="62"/>
      <c r="I9" s="61"/>
      <c r="J9" s="62"/>
      <c r="K9" s="62"/>
      <c r="L9" s="43"/>
      <c r="M9" s="62"/>
      <c r="N9" s="43"/>
      <c r="O9" s="43"/>
      <c r="P9" s="43"/>
      <c r="Q9" s="62"/>
      <c r="R9" s="43"/>
      <c r="S9" s="62"/>
      <c r="T9" s="61"/>
      <c r="U9" s="65"/>
      <c r="V9" s="61"/>
      <c r="W9" s="62"/>
      <c r="X9" s="63"/>
      <c r="Y9" s="63"/>
      <c r="Z9" s="62"/>
      <c r="AA9" s="62"/>
    </row>
    <row r="10" ht="16.5" customHeight="1">
      <c r="A10" s="82" t="s">
        <v>396</v>
      </c>
      <c r="B10" s="62">
        <f>IFERROR(__xludf.DUMMYFUNCTION("IF(B3=0,"""",IFERROR(
  AVERAGE(
    FILTER(
      SQRT((10-IFERROR(VALEUR(data!B2:B618),data!B2:B618))^2 + (10-IFERROR(VALEUR(data!C2:C618),data!C2:C618))^2),
      (data!E2:E618&amp;"""")=""3"",
      data!B2:B618&lt;&gt;"""",
      data!C2:C618&lt;&gt;""""
    )
  ),
"&amp;"""""))
"),6.260065260425445)</f>
        <v>6.26006526</v>
      </c>
      <c r="C10" s="63">
        <f>IFERROR(__xludf.DUMMYFUNCTION("IF(C3=0,"""",IFERROR(AVERAGE(FILTER(data_num!M2:M618, data_num!M2:M618&lt;&gt;"""")), """"))
"),9.527261484600437)</f>
        <v>9.527261485</v>
      </c>
      <c r="D10" s="62">
        <f t="shared" si="1"/>
        <v>3.267196224</v>
      </c>
      <c r="E10" s="63"/>
      <c r="F10" s="62"/>
      <c r="G10" s="62"/>
      <c r="H10" s="62"/>
      <c r="I10" s="61"/>
      <c r="J10" s="62"/>
      <c r="K10" s="62"/>
      <c r="L10" s="43"/>
      <c r="M10" s="62"/>
      <c r="N10" s="43"/>
      <c r="O10" s="43"/>
      <c r="P10" s="43"/>
      <c r="Q10" s="62"/>
      <c r="R10" s="43"/>
      <c r="S10" s="62"/>
      <c r="T10" s="61"/>
      <c r="U10" s="65"/>
      <c r="V10" s="61"/>
      <c r="W10" s="62"/>
      <c r="X10" s="63"/>
      <c r="Y10" s="63"/>
      <c r="Z10" s="62"/>
      <c r="AA10" s="62"/>
    </row>
    <row r="11" ht="16.5" customHeight="1">
      <c r="A11" s="83" t="s">
        <v>397</v>
      </c>
      <c r="B11" s="84">
        <f>IFERROR(__xludf.DUMMYFUNCTION("IF(B3=0,"""",IFERROR(
  ROWS(FILTER(data!A2:A1000, (data!E2:E1000&amp;"""")=""3"", data!B2:B1000&lt;&gt;"""", data!C2:C1000&lt;&gt;"""", IFERROR(VALEUR(data!B2:B1000),data!B2:B1000)&lt;=2)) / B3,
""""))
"),0.24074074074074073)</f>
        <v>0.2407407407</v>
      </c>
      <c r="C11" s="85">
        <f>IFERROR(__xludf.DUMMYFUNCTION("IF(C3=0,"""",IFERROR(
  ROWS(FILTER(data_num!A2:A1000, data_num!B2:B1000&lt;&gt;"""", data_num!C2:C1000&lt;&gt;"""", IFERROR(VALEUR(data_num!B2:B1000),data_num!B2:B1000)&lt;=2)) / C3,
""""))
"),0.3888888888888889)</f>
        <v>0.3888888889</v>
      </c>
      <c r="D11" s="84">
        <f t="shared" si="1"/>
        <v>0.1481481481</v>
      </c>
      <c r="E11" s="63"/>
      <c r="F11" s="62"/>
      <c r="G11" s="62"/>
      <c r="H11" s="62"/>
      <c r="I11" s="61"/>
      <c r="J11" s="62"/>
      <c r="K11" s="62"/>
      <c r="L11" s="43"/>
      <c r="M11" s="62"/>
      <c r="N11" s="43"/>
      <c r="O11" s="43"/>
      <c r="P11" s="43"/>
      <c r="Q11" s="62"/>
      <c r="R11" s="43"/>
      <c r="S11" s="62"/>
      <c r="T11" s="61"/>
      <c r="U11" s="65"/>
      <c r="V11" s="61"/>
      <c r="W11" s="62"/>
      <c r="X11" s="63"/>
      <c r="Y11" s="63"/>
      <c r="Z11" s="62"/>
      <c r="AA11" s="62"/>
    </row>
    <row r="12" ht="16.5" customHeight="1">
      <c r="A12" s="83" t="s">
        <v>398</v>
      </c>
      <c r="B12" s="84">
        <f>IFERROR(__xludf.DUMMYFUNCTION("IF(B3=0,"""",IFERROR(
  ROWS(FILTER(data!A2:A1000, (data!E2:E1000&amp;"""")=""3"", data!B2:B1000&lt;&gt;"""", data!C2:C1000&lt;&gt;"""", IFERROR(VALEUR(data!B2:B1000),data!B2:B1000)&gt;=8)) / B3,
""""))
"),0.16666666666666666)</f>
        <v>0.1666666667</v>
      </c>
      <c r="C12" s="85">
        <f>IFERROR(__xludf.DUMMYFUNCTION("IF(C3=0,"""",IFERROR(
  ROWS(FILTER(data_num!A2:A1000, data_num!B2:B1000&lt;&gt;"""", data_num!C2:C1000&lt;&gt;"""", IFERROR(VALEUR(data_num!B2:B1000),data_num!B2:B1000)&gt;=8)) / C3,
""""))
"),0.1111111111111111)</f>
        <v>0.1111111111</v>
      </c>
      <c r="D12" s="84">
        <f t="shared" si="1"/>
        <v>-0.05555555556</v>
      </c>
      <c r="E12" s="63"/>
      <c r="F12" s="62"/>
      <c r="G12" s="62"/>
      <c r="H12" s="62"/>
      <c r="I12" s="61"/>
      <c r="J12" s="62"/>
      <c r="K12" s="62"/>
      <c r="L12" s="43"/>
      <c r="M12" s="62"/>
      <c r="N12" s="43"/>
      <c r="O12" s="43"/>
      <c r="P12" s="43"/>
      <c r="Q12" s="62"/>
      <c r="R12" s="43"/>
      <c r="S12" s="62"/>
      <c r="T12" s="61"/>
      <c r="U12" s="65"/>
      <c r="V12" s="61"/>
      <c r="W12" s="62"/>
      <c r="X12" s="63"/>
      <c r="Y12" s="63"/>
      <c r="Z12" s="62"/>
      <c r="AA12" s="62"/>
    </row>
    <row r="13" ht="16.5" customHeight="1">
      <c r="A13" s="83" t="s">
        <v>399</v>
      </c>
      <c r="B13" s="84">
        <f>IFERROR(__xludf.DUMMYFUNCTION("IF(B5=0,"""",IFERROR(
  ROWS(FILTER(data!A4:A1000, (data!E4:E1000&amp;"""")=""3"", data!B4:B1000&lt;&gt;"""", data!C4:C1000&lt;&gt;"""", IFERROR(VALEUR(data!B4:B1000),data!B4:B1000)&lt;=2)) / B5,
""""))
"),1.7727272727272727)</f>
        <v>1.772727273</v>
      </c>
      <c r="C13" s="85">
        <f>IFERROR(__xludf.DUMMYFUNCTION("IF(C5=0,"""",IFERROR(
  ROWS(FILTER(data_num!A4:A1000, data_num!B4:B1000&lt;&gt;"""", data_num!C4:C1000&lt;&gt;"""", IFERROR(VALEUR(data_num!B4:B1000),data_num!B4:B1000)&lt;=2)) / C5,
""""))
"),2.6113989637305703)</f>
        <v>2.611398964</v>
      </c>
      <c r="D13" s="84">
        <f t="shared" si="1"/>
        <v>0.838671691</v>
      </c>
      <c r="E13" s="63"/>
      <c r="F13" s="62"/>
      <c r="G13" s="62"/>
      <c r="H13" s="62"/>
      <c r="I13" s="61"/>
      <c r="J13" s="62"/>
      <c r="K13" s="62"/>
      <c r="L13" s="62"/>
      <c r="M13" s="62"/>
      <c r="N13" s="62"/>
      <c r="O13" s="62"/>
      <c r="P13" s="62"/>
      <c r="Q13" s="62"/>
      <c r="R13" s="62"/>
      <c r="S13" s="62"/>
      <c r="T13" s="61"/>
      <c r="U13" s="65"/>
      <c r="V13" s="61"/>
      <c r="W13" s="62"/>
      <c r="X13" s="63"/>
      <c r="Y13" s="63"/>
      <c r="Z13" s="62"/>
      <c r="AA13" s="62"/>
    </row>
    <row r="14" ht="16.5" customHeight="1">
      <c r="A14" s="83" t="s">
        <v>400</v>
      </c>
      <c r="B14" s="84">
        <f>IFERROR(__xludf.DUMMYFUNCTION("IF(B5=0,"""",IFERROR(
  ROWS(FILTER(data!A4:A1000, (data!E4:E1000&amp;"""")=""3"", data!B4:B1000&lt;&gt;"""", data!C4:C1000&lt;&gt;"""", IFERROR(VALEUR(data!B4:B1000),data!B4:B1000)&gt;=8)) / B5,
""""))
"),1.2272727272727273)</f>
        <v>1.227272727</v>
      </c>
      <c r="C14" s="85">
        <f>IFERROR(__xludf.DUMMYFUNCTION("IF(C5=0,"""",IFERROR(
  ROWS(FILTER(data_num!A4:A1000, data_num!B4:B1000&lt;&gt;"""", data_num!C4:C1000&lt;&gt;"""", IFERROR(VALEUR(data_num!B4:B1000),data_num!B4:B1000)&gt;=8)) / C5,
""""))
"),0.7461139896373058)</f>
        <v>0.7461139896</v>
      </c>
      <c r="D14" s="84">
        <f t="shared" si="1"/>
        <v>-0.4811587376</v>
      </c>
      <c r="E14" s="63"/>
      <c r="F14" s="62"/>
      <c r="G14" s="62"/>
      <c r="H14" s="62"/>
      <c r="I14" s="61"/>
      <c r="J14" s="62"/>
      <c r="K14" s="62"/>
      <c r="L14" s="62"/>
      <c r="M14" s="62"/>
      <c r="N14" s="62"/>
      <c r="O14" s="62"/>
      <c r="P14" s="62"/>
      <c r="Q14" s="62"/>
      <c r="R14" s="62"/>
      <c r="S14" s="62"/>
      <c r="T14" s="61"/>
      <c r="U14" s="65"/>
      <c r="V14" s="61"/>
      <c r="W14" s="62"/>
      <c r="X14" s="63"/>
      <c r="Y14" s="63"/>
      <c r="Z14" s="62"/>
      <c r="AA14" s="62"/>
    </row>
    <row r="15" ht="16.5" customHeight="1">
      <c r="A15" s="82"/>
      <c r="B15" s="62"/>
      <c r="C15" s="63"/>
      <c r="D15" s="62"/>
      <c r="E15" s="63"/>
      <c r="F15" s="62"/>
      <c r="G15" s="62"/>
      <c r="H15" s="62"/>
      <c r="I15" s="61"/>
      <c r="J15" s="62"/>
      <c r="K15" s="62"/>
      <c r="L15" s="62"/>
      <c r="M15" s="62"/>
      <c r="N15" s="62"/>
      <c r="O15" s="62"/>
      <c r="P15" s="62"/>
      <c r="Q15" s="62"/>
      <c r="R15" s="62"/>
      <c r="S15" s="62"/>
      <c r="T15" s="61"/>
      <c r="U15" s="65"/>
      <c r="V15" s="61"/>
      <c r="W15" s="62"/>
      <c r="X15" s="63"/>
      <c r="Y15" s="63"/>
      <c r="Z15" s="62"/>
      <c r="AA15" s="62"/>
    </row>
    <row r="16" ht="16.5" customHeight="1">
      <c r="A16" s="82"/>
      <c r="B16" s="62"/>
      <c r="C16" s="63"/>
      <c r="D16" s="62"/>
      <c r="E16" s="63"/>
      <c r="F16" s="62"/>
      <c r="G16" s="62"/>
      <c r="H16" s="62"/>
      <c r="I16" s="61"/>
      <c r="J16" s="62"/>
      <c r="K16" s="62"/>
      <c r="L16" s="62"/>
      <c r="M16" s="62"/>
      <c r="N16" s="62"/>
      <c r="O16" s="62"/>
      <c r="P16" s="62"/>
      <c r="Q16" s="62"/>
      <c r="R16" s="62"/>
      <c r="S16" s="62"/>
      <c r="T16" s="61"/>
      <c r="U16" s="65"/>
      <c r="V16" s="61"/>
      <c r="W16" s="62"/>
      <c r="X16" s="63"/>
      <c r="Y16" s="63"/>
      <c r="Z16" s="62"/>
      <c r="AA16" s="62"/>
    </row>
    <row r="17" ht="16.5" customHeight="1">
      <c r="A17" s="82"/>
      <c r="B17" s="62"/>
      <c r="C17" s="63"/>
      <c r="D17" s="62"/>
      <c r="E17" s="63"/>
      <c r="F17" s="62"/>
      <c r="G17" s="62"/>
      <c r="H17" s="62"/>
      <c r="I17" s="61"/>
      <c r="J17" s="62"/>
      <c r="K17" s="62"/>
      <c r="L17" s="62"/>
      <c r="M17" s="62"/>
      <c r="N17" s="62"/>
      <c r="O17" s="62"/>
      <c r="P17" s="62"/>
      <c r="Q17" s="62"/>
      <c r="R17" s="62"/>
      <c r="S17" s="62"/>
      <c r="T17" s="61"/>
      <c r="U17" s="65"/>
      <c r="V17" s="61"/>
      <c r="W17" s="62"/>
      <c r="X17" s="63"/>
      <c r="Y17" s="63"/>
      <c r="Z17" s="62"/>
      <c r="AA17" s="62"/>
    </row>
    <row r="18" ht="16.5" customHeight="1">
      <c r="A18" s="82"/>
      <c r="B18" s="62"/>
      <c r="C18" s="63"/>
      <c r="D18" s="62"/>
      <c r="E18" s="63"/>
      <c r="F18" s="62"/>
      <c r="G18" s="62"/>
      <c r="H18" s="62"/>
      <c r="I18" s="61"/>
      <c r="J18" s="62"/>
      <c r="K18" s="62"/>
      <c r="L18" s="62"/>
      <c r="M18" s="62"/>
      <c r="N18" s="62"/>
      <c r="O18" s="62"/>
      <c r="P18" s="62"/>
      <c r="Q18" s="62"/>
      <c r="R18" s="62"/>
      <c r="S18" s="62"/>
      <c r="T18" s="61"/>
      <c r="U18" s="65"/>
      <c r="V18" s="61"/>
      <c r="W18" s="62"/>
      <c r="X18" s="63"/>
      <c r="Y18" s="63"/>
      <c r="Z18" s="62"/>
      <c r="AA18" s="62"/>
    </row>
    <row r="19" ht="16.5" customHeight="1">
      <c r="A19" s="82"/>
      <c r="B19" s="62"/>
      <c r="C19" s="63"/>
      <c r="D19" s="62"/>
      <c r="E19" s="63"/>
      <c r="F19" s="62"/>
      <c r="G19" s="62"/>
      <c r="H19" s="62"/>
      <c r="I19" s="61"/>
      <c r="J19" s="62"/>
      <c r="K19" s="62"/>
      <c r="L19" s="62"/>
      <c r="M19" s="62"/>
      <c r="N19" s="62"/>
      <c r="O19" s="62"/>
      <c r="P19" s="62"/>
      <c r="Q19" s="62"/>
      <c r="R19" s="62"/>
      <c r="S19" s="62"/>
      <c r="T19" s="61"/>
      <c r="U19" s="65"/>
      <c r="V19" s="61"/>
      <c r="W19" s="62"/>
      <c r="X19" s="63"/>
      <c r="Y19" s="63"/>
      <c r="Z19" s="62"/>
      <c r="AA19" s="62"/>
    </row>
    <row r="20" ht="16.5" customHeight="1">
      <c r="A20" s="82"/>
      <c r="B20" s="62"/>
      <c r="C20" s="63"/>
      <c r="D20" s="62"/>
      <c r="E20" s="63"/>
      <c r="F20" s="62"/>
      <c r="G20" s="62"/>
      <c r="H20" s="62"/>
      <c r="I20" s="61"/>
      <c r="J20" s="62"/>
      <c r="K20" s="62"/>
      <c r="L20" s="62"/>
      <c r="M20" s="62"/>
      <c r="N20" s="62"/>
      <c r="O20" s="62"/>
      <c r="P20" s="62"/>
      <c r="Q20" s="62"/>
      <c r="R20" s="62"/>
      <c r="S20" s="62"/>
      <c r="T20" s="61"/>
      <c r="U20" s="65"/>
      <c r="V20" s="61"/>
      <c r="W20" s="62"/>
      <c r="X20" s="63"/>
      <c r="Y20" s="63"/>
      <c r="Z20" s="62"/>
      <c r="AA20" s="62"/>
    </row>
    <row r="21" ht="16.5" customHeight="1">
      <c r="A21" s="82"/>
      <c r="B21" s="62"/>
      <c r="C21" s="63"/>
      <c r="D21" s="62"/>
      <c r="E21" s="63"/>
      <c r="F21" s="62"/>
      <c r="G21" s="62"/>
      <c r="H21" s="63"/>
      <c r="I21" s="61"/>
      <c r="J21" s="63"/>
      <c r="K21" s="63"/>
      <c r="L21" s="62"/>
      <c r="M21" s="63"/>
      <c r="N21" s="62"/>
      <c r="O21" s="63"/>
      <c r="P21" s="62"/>
      <c r="Q21" s="63"/>
      <c r="R21" s="62"/>
      <c r="S21" s="63"/>
      <c r="T21" s="61"/>
      <c r="U21" s="65"/>
      <c r="V21" s="61"/>
      <c r="W21" s="62"/>
      <c r="X21" s="63"/>
      <c r="Y21" s="63"/>
      <c r="Z21" s="62"/>
      <c r="AA21" s="62"/>
    </row>
    <row r="22" ht="16.5" customHeight="1">
      <c r="A22" s="82"/>
      <c r="B22" s="62"/>
      <c r="C22" s="63"/>
      <c r="D22" s="62"/>
      <c r="E22" s="63"/>
      <c r="F22" s="62"/>
      <c r="G22" s="62"/>
      <c r="H22" s="63"/>
      <c r="I22" s="61"/>
      <c r="J22" s="63"/>
      <c r="K22" s="63"/>
      <c r="L22" s="62"/>
      <c r="M22" s="63"/>
      <c r="N22" s="62"/>
      <c r="O22" s="63"/>
      <c r="P22" s="62"/>
      <c r="Q22" s="63"/>
      <c r="R22" s="62"/>
      <c r="S22" s="63"/>
      <c r="T22" s="61"/>
      <c r="U22" s="65"/>
      <c r="V22" s="61"/>
      <c r="W22" s="62"/>
      <c r="X22" s="63"/>
      <c r="Y22" s="63"/>
      <c r="Z22" s="62"/>
      <c r="AA22" s="62"/>
    </row>
    <row r="23" ht="16.5" customHeight="1">
      <c r="A23" s="82"/>
      <c r="B23" s="62"/>
      <c r="C23" s="63"/>
      <c r="D23" s="62"/>
      <c r="E23" s="63"/>
      <c r="F23" s="62"/>
      <c r="G23" s="62"/>
      <c r="H23" s="62"/>
      <c r="I23" s="61"/>
      <c r="J23" s="62"/>
      <c r="K23" s="62"/>
      <c r="L23" s="62"/>
      <c r="M23" s="62"/>
      <c r="N23" s="62"/>
      <c r="O23" s="62"/>
      <c r="P23" s="62"/>
      <c r="Q23" s="62"/>
      <c r="R23" s="62"/>
      <c r="S23" s="62"/>
      <c r="T23" s="61"/>
      <c r="U23" s="65"/>
      <c r="V23" s="63"/>
      <c r="W23" s="63"/>
      <c r="X23" s="63"/>
      <c r="Y23" s="63"/>
      <c r="Z23" s="62"/>
      <c r="AA23" s="62"/>
    </row>
    <row r="24" ht="16.5" customHeight="1">
      <c r="A24" s="82"/>
      <c r="B24" s="62"/>
      <c r="C24" s="63"/>
      <c r="D24" s="62"/>
      <c r="E24" s="63"/>
      <c r="F24" s="62"/>
      <c r="G24" s="62"/>
      <c r="H24" s="62"/>
      <c r="I24" s="61"/>
      <c r="J24" s="62"/>
      <c r="K24" s="62"/>
      <c r="L24" s="62"/>
      <c r="M24" s="62"/>
      <c r="N24" s="62"/>
      <c r="O24" s="62"/>
      <c r="P24" s="62"/>
      <c r="Q24" s="62"/>
      <c r="R24" s="62"/>
      <c r="S24" s="62"/>
      <c r="T24" s="61"/>
      <c r="U24" s="65"/>
      <c r="V24" s="63"/>
      <c r="W24" s="63"/>
      <c r="X24" s="63"/>
      <c r="Y24" s="63"/>
      <c r="Z24" s="62"/>
      <c r="AA24" s="62"/>
    </row>
    <row r="25" ht="16.5" customHeight="1">
      <c r="A25" s="82"/>
      <c r="B25" s="62"/>
      <c r="C25" s="63"/>
      <c r="D25" s="62"/>
      <c r="E25" s="63"/>
      <c r="F25" s="62"/>
      <c r="G25" s="62"/>
      <c r="H25" s="62"/>
      <c r="I25" s="61"/>
      <c r="J25" s="62"/>
      <c r="K25" s="62"/>
      <c r="L25" s="62"/>
      <c r="M25" s="62"/>
      <c r="N25" s="62"/>
      <c r="O25" s="62"/>
      <c r="P25" s="62"/>
      <c r="Q25" s="62"/>
      <c r="R25" s="62"/>
      <c r="S25" s="62"/>
      <c r="T25" s="61"/>
      <c r="U25" s="65"/>
      <c r="V25" s="63"/>
      <c r="W25" s="63"/>
      <c r="X25" s="63"/>
      <c r="Y25" s="63"/>
      <c r="Z25" s="62"/>
      <c r="AA25" s="62"/>
    </row>
    <row r="26" ht="16.5" customHeight="1">
      <c r="A26" s="82"/>
      <c r="B26" s="62"/>
      <c r="C26" s="63"/>
      <c r="D26" s="62"/>
      <c r="E26" s="63"/>
      <c r="F26" s="62"/>
      <c r="G26" s="62"/>
      <c r="H26" s="62"/>
      <c r="I26" s="61"/>
      <c r="J26" s="62"/>
      <c r="K26" s="62"/>
      <c r="L26" s="62"/>
      <c r="M26" s="62"/>
      <c r="N26" s="62"/>
      <c r="O26" s="62"/>
      <c r="P26" s="62"/>
      <c r="Q26" s="62"/>
      <c r="R26" s="62"/>
      <c r="S26" s="62"/>
      <c r="T26" s="61"/>
      <c r="U26" s="65"/>
      <c r="V26" s="63"/>
      <c r="W26" s="63"/>
      <c r="X26" s="63"/>
      <c r="Y26" s="63"/>
      <c r="Z26" s="62"/>
      <c r="AA26" s="62"/>
    </row>
    <row r="27" ht="16.5" customHeight="1">
      <c r="A27" s="82"/>
      <c r="B27" s="62"/>
      <c r="C27" s="63"/>
      <c r="D27" s="62"/>
      <c r="E27" s="63"/>
      <c r="F27" s="62"/>
      <c r="G27" s="62"/>
      <c r="H27" s="62"/>
      <c r="I27" s="61"/>
      <c r="J27" s="62"/>
      <c r="K27" s="62"/>
      <c r="L27" s="62"/>
      <c r="M27" s="62"/>
      <c r="N27" s="62"/>
      <c r="O27" s="62"/>
      <c r="P27" s="62"/>
      <c r="Q27" s="62"/>
      <c r="R27" s="62"/>
      <c r="S27" s="62"/>
      <c r="T27" s="61"/>
      <c r="U27" s="65"/>
      <c r="V27" s="63"/>
      <c r="W27" s="63"/>
      <c r="X27" s="63"/>
      <c r="Y27" s="63"/>
      <c r="Z27" s="62"/>
      <c r="AA27" s="62"/>
    </row>
    <row r="28" ht="16.5" customHeight="1">
      <c r="A28" s="82"/>
      <c r="B28" s="62"/>
      <c r="C28" s="63"/>
      <c r="D28" s="62"/>
      <c r="E28" s="63"/>
      <c r="F28" s="62"/>
      <c r="G28" s="62"/>
      <c r="H28" s="62"/>
      <c r="I28" s="61"/>
      <c r="J28" s="62"/>
      <c r="K28" s="62"/>
      <c r="L28" s="62"/>
      <c r="M28" s="62"/>
      <c r="N28" s="62"/>
      <c r="O28" s="62"/>
      <c r="P28" s="62"/>
      <c r="Q28" s="62"/>
      <c r="R28" s="62"/>
      <c r="S28" s="62"/>
      <c r="T28" s="61"/>
      <c r="U28" s="65"/>
      <c r="V28" s="63"/>
      <c r="W28" s="63"/>
      <c r="X28" s="63"/>
      <c r="Y28" s="63"/>
      <c r="Z28" s="62"/>
      <c r="AA28" s="62"/>
    </row>
    <row r="29" ht="16.5" customHeight="1">
      <c r="A29" s="82"/>
      <c r="B29" s="62"/>
      <c r="C29" s="63"/>
      <c r="D29" s="62"/>
      <c r="E29" s="63"/>
      <c r="F29" s="62"/>
      <c r="G29" s="62"/>
      <c r="H29" s="62"/>
      <c r="I29" s="61"/>
      <c r="J29" s="62"/>
      <c r="K29" s="62"/>
      <c r="L29" s="62"/>
      <c r="M29" s="62"/>
      <c r="N29" s="62"/>
      <c r="O29" s="62"/>
      <c r="P29" s="62"/>
      <c r="Q29" s="62"/>
      <c r="R29" s="62"/>
      <c r="S29" s="62"/>
      <c r="T29" s="61"/>
      <c r="U29" s="65"/>
      <c r="V29" s="63"/>
      <c r="W29" s="63"/>
      <c r="X29" s="63"/>
      <c r="Y29" s="63"/>
      <c r="Z29" s="62"/>
      <c r="AA29" s="62"/>
    </row>
    <row r="30" ht="16.5" customHeight="1">
      <c r="A30" s="82"/>
      <c r="B30" s="62"/>
      <c r="C30" s="63"/>
      <c r="D30" s="62"/>
      <c r="E30" s="63"/>
      <c r="F30" s="62"/>
      <c r="G30" s="62"/>
      <c r="H30" s="62"/>
      <c r="I30" s="61"/>
      <c r="J30" s="62"/>
      <c r="K30" s="62"/>
      <c r="L30" s="62"/>
      <c r="M30" s="62"/>
      <c r="N30" s="62"/>
      <c r="O30" s="62"/>
      <c r="P30" s="62"/>
      <c r="Q30" s="62"/>
      <c r="R30" s="62"/>
      <c r="S30" s="62"/>
      <c r="T30" s="61"/>
      <c r="U30" s="65"/>
      <c r="V30" s="63"/>
      <c r="W30" s="63"/>
      <c r="X30" s="63"/>
      <c r="Y30" s="63"/>
      <c r="Z30" s="62"/>
      <c r="AA30" s="62"/>
    </row>
    <row r="31" ht="16.5" customHeight="1">
      <c r="A31" s="82"/>
      <c r="B31" s="62"/>
      <c r="C31" s="63"/>
      <c r="D31" s="62"/>
      <c r="E31" s="63"/>
      <c r="F31" s="62"/>
      <c r="G31" s="62"/>
      <c r="H31" s="62"/>
      <c r="I31" s="61"/>
      <c r="J31" s="62"/>
      <c r="K31" s="62"/>
      <c r="L31" s="62"/>
      <c r="M31" s="62"/>
      <c r="N31" s="62"/>
      <c r="O31" s="62"/>
      <c r="P31" s="62"/>
      <c r="Q31" s="62"/>
      <c r="R31" s="62"/>
      <c r="S31" s="62"/>
      <c r="T31" s="61"/>
      <c r="U31" s="65"/>
      <c r="V31" s="63"/>
      <c r="W31" s="63"/>
      <c r="X31" s="63"/>
      <c r="Y31" s="63"/>
      <c r="Z31" s="62"/>
      <c r="AA31" s="62"/>
    </row>
    <row r="32" ht="16.5" customHeight="1">
      <c r="A32" s="82"/>
      <c r="B32" s="62"/>
      <c r="C32" s="63"/>
      <c r="D32" s="62"/>
      <c r="E32" s="63"/>
      <c r="F32" s="62"/>
      <c r="G32" s="62"/>
      <c r="H32" s="62"/>
      <c r="I32" s="61"/>
      <c r="J32" s="62"/>
      <c r="K32" s="62"/>
      <c r="L32" s="62"/>
      <c r="M32" s="62"/>
      <c r="N32" s="62"/>
      <c r="O32" s="62"/>
      <c r="P32" s="62"/>
      <c r="Q32" s="62"/>
      <c r="R32" s="62"/>
      <c r="S32" s="62"/>
      <c r="T32" s="61"/>
      <c r="U32" s="65"/>
      <c r="V32" s="63"/>
      <c r="W32" s="63"/>
      <c r="X32" s="63"/>
      <c r="Y32" s="63"/>
      <c r="Z32" s="62"/>
      <c r="AA32" s="62"/>
    </row>
    <row r="33" ht="16.5" customHeight="1">
      <c r="A33" s="82"/>
      <c r="B33" s="62"/>
      <c r="C33" s="63"/>
      <c r="D33" s="62"/>
      <c r="E33" s="63"/>
      <c r="F33" s="62"/>
      <c r="G33" s="62"/>
      <c r="H33" s="62"/>
      <c r="I33" s="61"/>
      <c r="J33" s="62"/>
      <c r="K33" s="62"/>
      <c r="L33" s="62"/>
      <c r="M33" s="62"/>
      <c r="N33" s="62"/>
      <c r="O33" s="62"/>
      <c r="P33" s="62"/>
      <c r="Q33" s="62"/>
      <c r="R33" s="62"/>
      <c r="S33" s="62"/>
      <c r="T33" s="61"/>
      <c r="U33" s="65"/>
      <c r="V33" s="63"/>
      <c r="W33" s="63"/>
      <c r="X33" s="63"/>
      <c r="Y33" s="63"/>
      <c r="Z33" s="62"/>
      <c r="AA33" s="62"/>
    </row>
    <row r="34" ht="16.5" customHeight="1">
      <c r="A34" s="82"/>
      <c r="B34" s="62"/>
      <c r="C34" s="63"/>
      <c r="D34" s="62"/>
      <c r="E34" s="63"/>
      <c r="F34" s="62"/>
      <c r="G34" s="62"/>
      <c r="H34" s="62"/>
      <c r="I34" s="61"/>
      <c r="J34" s="62"/>
      <c r="K34" s="62"/>
      <c r="L34" s="62"/>
      <c r="M34" s="62"/>
      <c r="N34" s="62"/>
      <c r="O34" s="62"/>
      <c r="P34" s="62"/>
      <c r="Q34" s="62"/>
      <c r="R34" s="62"/>
      <c r="S34" s="62"/>
      <c r="T34" s="61"/>
      <c r="U34" s="65"/>
      <c r="V34" s="63"/>
      <c r="W34" s="63"/>
      <c r="X34" s="63"/>
      <c r="Y34" s="63"/>
      <c r="Z34" s="62"/>
      <c r="AA34" s="62"/>
    </row>
    <row r="35" ht="16.5" customHeight="1">
      <c r="A35" s="82"/>
      <c r="B35" s="62"/>
      <c r="C35" s="63"/>
      <c r="D35" s="62"/>
      <c r="E35" s="63"/>
      <c r="F35" s="62"/>
      <c r="G35" s="62"/>
      <c r="H35" s="62"/>
      <c r="I35" s="61"/>
      <c r="J35" s="62"/>
      <c r="K35" s="62"/>
      <c r="L35" s="62"/>
      <c r="M35" s="62"/>
      <c r="N35" s="62"/>
      <c r="O35" s="62"/>
      <c r="P35" s="62"/>
      <c r="Q35" s="62"/>
      <c r="R35" s="62"/>
      <c r="S35" s="62"/>
      <c r="T35" s="61"/>
      <c r="U35" s="65"/>
      <c r="V35" s="63"/>
      <c r="W35" s="63"/>
      <c r="X35" s="63"/>
      <c r="Y35" s="63"/>
      <c r="Z35" s="62"/>
      <c r="AA35" s="62"/>
    </row>
    <row r="36" ht="16.5" customHeight="1">
      <c r="A36" s="82"/>
      <c r="B36" s="62"/>
      <c r="C36" s="63"/>
      <c r="D36" s="62"/>
      <c r="E36" s="63"/>
      <c r="F36" s="62"/>
      <c r="G36" s="62"/>
      <c r="H36" s="62"/>
      <c r="I36" s="61"/>
      <c r="J36" s="62"/>
      <c r="K36" s="62"/>
      <c r="L36" s="62"/>
      <c r="M36" s="62"/>
      <c r="N36" s="62"/>
      <c r="O36" s="62"/>
      <c r="P36" s="62"/>
      <c r="Q36" s="62"/>
      <c r="R36" s="62"/>
      <c r="S36" s="62"/>
      <c r="T36" s="61"/>
      <c r="U36" s="65"/>
      <c r="V36" s="63"/>
      <c r="W36" s="63"/>
      <c r="X36" s="63"/>
      <c r="Y36" s="63"/>
      <c r="Z36" s="62"/>
      <c r="AA36" s="62"/>
    </row>
    <row r="37" ht="16.5" customHeight="1">
      <c r="A37" s="82"/>
      <c r="B37" s="62"/>
      <c r="C37" s="63"/>
      <c r="D37" s="62"/>
      <c r="E37" s="63"/>
      <c r="F37" s="62"/>
      <c r="G37" s="62"/>
      <c r="H37" s="62"/>
      <c r="I37" s="61"/>
      <c r="J37" s="62"/>
      <c r="K37" s="62"/>
      <c r="L37" s="62"/>
      <c r="M37" s="62"/>
      <c r="N37" s="62"/>
      <c r="O37" s="62"/>
      <c r="P37" s="62"/>
      <c r="Q37" s="62"/>
      <c r="R37" s="62"/>
      <c r="S37" s="62"/>
      <c r="T37" s="61"/>
      <c r="U37" s="65"/>
      <c r="V37" s="63"/>
      <c r="W37" s="63"/>
      <c r="X37" s="63"/>
      <c r="Y37" s="63"/>
      <c r="Z37" s="62"/>
      <c r="AA37" s="62"/>
    </row>
    <row r="38" ht="16.5" customHeight="1">
      <c r="A38" s="82"/>
      <c r="B38" s="62"/>
      <c r="C38" s="63"/>
      <c r="D38" s="62"/>
      <c r="E38" s="63"/>
      <c r="F38" s="62"/>
      <c r="G38" s="62"/>
      <c r="H38" s="63"/>
      <c r="I38" s="61"/>
      <c r="J38" s="63"/>
      <c r="K38" s="63"/>
      <c r="L38" s="62"/>
      <c r="M38" s="63"/>
      <c r="N38" s="62"/>
      <c r="O38" s="63"/>
      <c r="P38" s="62"/>
      <c r="Q38" s="63"/>
      <c r="R38" s="62"/>
      <c r="S38" s="63"/>
      <c r="T38" s="61"/>
      <c r="U38" s="65"/>
      <c r="V38" s="63"/>
      <c r="W38" s="63"/>
      <c r="X38" s="63"/>
      <c r="Y38" s="63"/>
      <c r="Z38" s="62"/>
      <c r="AA38" s="62"/>
    </row>
    <row r="39" ht="16.5" customHeight="1">
      <c r="A39" s="82"/>
      <c r="B39" s="62"/>
      <c r="C39" s="63"/>
      <c r="D39" s="62"/>
      <c r="E39" s="63"/>
      <c r="F39" s="62"/>
      <c r="G39" s="62"/>
      <c r="H39" s="63"/>
      <c r="I39" s="61"/>
      <c r="J39" s="63"/>
      <c r="K39" s="63"/>
      <c r="L39" s="62"/>
      <c r="M39" s="63"/>
      <c r="N39" s="62"/>
      <c r="O39" s="63"/>
      <c r="P39" s="62"/>
      <c r="Q39" s="63"/>
      <c r="R39" s="62"/>
      <c r="S39" s="63"/>
      <c r="T39" s="65"/>
      <c r="U39" s="65"/>
      <c r="V39" s="63"/>
      <c r="W39" s="63"/>
      <c r="X39" s="63"/>
      <c r="Y39" s="63"/>
      <c r="Z39" s="62"/>
      <c r="AA39" s="62"/>
    </row>
    <row r="40" ht="16.5" customHeight="1">
      <c r="A40" s="82"/>
      <c r="B40" s="62"/>
      <c r="C40" s="63"/>
      <c r="D40" s="62"/>
      <c r="E40" s="63"/>
      <c r="F40" s="62"/>
      <c r="G40" s="62"/>
      <c r="H40" s="63"/>
      <c r="I40" s="61"/>
      <c r="J40" s="63"/>
      <c r="K40" s="63"/>
      <c r="L40" s="62"/>
      <c r="M40" s="63"/>
      <c r="N40" s="62"/>
      <c r="O40" s="63"/>
      <c r="P40" s="62"/>
      <c r="Q40" s="63"/>
      <c r="R40" s="62"/>
      <c r="S40" s="63"/>
      <c r="T40" s="65"/>
      <c r="U40" s="65"/>
      <c r="V40" s="63"/>
      <c r="W40" s="63"/>
      <c r="X40" s="63"/>
      <c r="Y40" s="63"/>
      <c r="Z40" s="62"/>
      <c r="AA40" s="62"/>
    </row>
    <row r="41" ht="16.5" customHeight="1">
      <c r="A41" s="82"/>
      <c r="B41" s="62"/>
      <c r="C41" s="63"/>
      <c r="D41" s="62"/>
      <c r="E41" s="63"/>
      <c r="F41" s="62"/>
      <c r="G41" s="62"/>
      <c r="H41" s="63"/>
      <c r="I41" s="61"/>
      <c r="J41" s="63"/>
      <c r="K41" s="63"/>
      <c r="L41" s="62"/>
      <c r="M41" s="63"/>
      <c r="N41" s="62"/>
      <c r="O41" s="63"/>
      <c r="P41" s="62"/>
      <c r="Q41" s="63"/>
      <c r="R41" s="62"/>
      <c r="S41" s="63"/>
      <c r="T41" s="65"/>
      <c r="U41" s="65"/>
      <c r="V41" s="63"/>
      <c r="W41" s="63"/>
      <c r="X41" s="63"/>
      <c r="Y41" s="63"/>
      <c r="Z41" s="62"/>
      <c r="AA41" s="62"/>
    </row>
    <row r="42" ht="16.5" customHeight="1">
      <c r="A42" s="82"/>
      <c r="B42" s="62"/>
      <c r="C42" s="63"/>
      <c r="D42" s="62"/>
      <c r="E42" s="63"/>
      <c r="F42" s="62"/>
      <c r="G42" s="62"/>
      <c r="H42" s="63"/>
      <c r="I42" s="61"/>
      <c r="J42" s="63"/>
      <c r="K42" s="63"/>
      <c r="L42" s="62"/>
      <c r="M42" s="63"/>
      <c r="N42" s="62"/>
      <c r="O42" s="63"/>
      <c r="P42" s="62"/>
      <c r="Q42" s="63"/>
      <c r="R42" s="62"/>
      <c r="S42" s="63"/>
      <c r="T42" s="65"/>
      <c r="U42" s="65"/>
      <c r="V42" s="63"/>
      <c r="W42" s="63"/>
      <c r="X42" s="63"/>
      <c r="Y42" s="63"/>
      <c r="Z42" s="62"/>
      <c r="AA42" s="62"/>
    </row>
    <row r="43" ht="16.5" customHeight="1">
      <c r="A43" s="82"/>
      <c r="B43" s="62"/>
      <c r="C43" s="63"/>
      <c r="D43" s="62"/>
      <c r="E43" s="63"/>
      <c r="F43" s="62"/>
      <c r="G43" s="62"/>
      <c r="H43" s="63"/>
      <c r="I43" s="61"/>
      <c r="J43" s="63"/>
      <c r="K43" s="63"/>
      <c r="L43" s="62"/>
      <c r="M43" s="63"/>
      <c r="N43" s="62"/>
      <c r="O43" s="63"/>
      <c r="P43" s="62"/>
      <c r="Q43" s="63"/>
      <c r="R43" s="62"/>
      <c r="S43" s="63"/>
      <c r="T43" s="65"/>
      <c r="U43" s="65"/>
      <c r="V43" s="63"/>
      <c r="W43" s="63"/>
      <c r="X43" s="63"/>
      <c r="Y43" s="63"/>
      <c r="Z43" s="62"/>
      <c r="AA43" s="62"/>
    </row>
    <row r="44" ht="16.5" customHeight="1">
      <c r="A44" s="82"/>
      <c r="B44" s="62"/>
      <c r="C44" s="63"/>
      <c r="D44" s="62"/>
      <c r="E44" s="63"/>
      <c r="F44" s="62"/>
      <c r="G44" s="62"/>
      <c r="H44" s="63"/>
      <c r="I44" s="61"/>
      <c r="J44" s="63"/>
      <c r="K44" s="63"/>
      <c r="L44" s="62"/>
      <c r="M44" s="63"/>
      <c r="N44" s="62"/>
      <c r="O44" s="63"/>
      <c r="P44" s="62"/>
      <c r="Q44" s="63"/>
      <c r="R44" s="62"/>
      <c r="S44" s="63"/>
      <c r="T44" s="65"/>
      <c r="U44" s="65"/>
      <c r="V44" s="63"/>
      <c r="W44" s="63"/>
      <c r="X44" s="63"/>
      <c r="Y44" s="63"/>
      <c r="Z44" s="62"/>
      <c r="AA44" s="62"/>
    </row>
    <row r="45" ht="16.5" customHeight="1">
      <c r="A45" s="82"/>
      <c r="B45" s="62"/>
      <c r="C45" s="63"/>
      <c r="D45" s="62"/>
      <c r="E45" s="63"/>
      <c r="F45" s="62"/>
      <c r="G45" s="62"/>
      <c r="H45" s="63"/>
      <c r="I45" s="61"/>
      <c r="J45" s="63"/>
      <c r="K45" s="63"/>
      <c r="L45" s="62"/>
      <c r="M45" s="63"/>
      <c r="N45" s="62"/>
      <c r="O45" s="63"/>
      <c r="P45" s="62"/>
      <c r="Q45" s="63"/>
      <c r="R45" s="62"/>
      <c r="S45" s="63"/>
      <c r="T45" s="65"/>
      <c r="U45" s="65"/>
      <c r="V45" s="63"/>
      <c r="W45" s="63"/>
      <c r="X45" s="63"/>
      <c r="Y45" s="63"/>
      <c r="Z45" s="62"/>
      <c r="AA45" s="62"/>
    </row>
    <row r="46" ht="16.5" customHeight="1">
      <c r="A46" s="82"/>
      <c r="B46" s="62"/>
      <c r="C46" s="63"/>
      <c r="D46" s="62"/>
      <c r="E46" s="63"/>
      <c r="F46" s="62"/>
      <c r="G46" s="62"/>
      <c r="H46" s="63"/>
      <c r="I46" s="61"/>
      <c r="J46" s="63"/>
      <c r="K46" s="63"/>
      <c r="L46" s="62"/>
      <c r="M46" s="63"/>
      <c r="N46" s="62"/>
      <c r="O46" s="63"/>
      <c r="P46" s="62"/>
      <c r="Q46" s="63"/>
      <c r="R46" s="62"/>
      <c r="S46" s="63"/>
      <c r="T46" s="65"/>
      <c r="U46" s="65"/>
      <c r="V46" s="63"/>
      <c r="W46" s="63"/>
      <c r="X46" s="63"/>
      <c r="Y46" s="63"/>
      <c r="Z46" s="62"/>
      <c r="AA46" s="62"/>
    </row>
    <row r="47" ht="16.5" customHeight="1">
      <c r="A47" s="82"/>
      <c r="B47" s="62"/>
      <c r="C47" s="63"/>
      <c r="D47" s="62"/>
      <c r="E47" s="63"/>
      <c r="F47" s="62"/>
      <c r="G47" s="62"/>
      <c r="H47" s="63"/>
      <c r="I47" s="61"/>
      <c r="J47" s="63"/>
      <c r="K47" s="63"/>
      <c r="L47" s="62"/>
      <c r="M47" s="63"/>
      <c r="N47" s="62"/>
      <c r="O47" s="63"/>
      <c r="P47" s="62"/>
      <c r="Q47" s="63"/>
      <c r="R47" s="62"/>
      <c r="S47" s="63"/>
      <c r="T47" s="65"/>
      <c r="U47" s="65"/>
      <c r="V47" s="63"/>
      <c r="W47" s="63"/>
      <c r="X47" s="63"/>
      <c r="Y47" s="63"/>
      <c r="Z47" s="62"/>
      <c r="AA47" s="62"/>
    </row>
    <row r="48" ht="16.5" customHeight="1">
      <c r="A48" s="82"/>
      <c r="B48" s="62"/>
      <c r="C48" s="63"/>
      <c r="D48" s="62"/>
      <c r="E48" s="63"/>
      <c r="F48" s="62"/>
      <c r="G48" s="62"/>
      <c r="H48" s="63"/>
      <c r="I48" s="61"/>
      <c r="J48" s="63"/>
      <c r="K48" s="63"/>
      <c r="L48" s="62"/>
      <c r="M48" s="63"/>
      <c r="N48" s="62"/>
      <c r="O48" s="63"/>
      <c r="P48" s="62"/>
      <c r="Q48" s="63"/>
      <c r="R48" s="62"/>
      <c r="S48" s="63"/>
      <c r="T48" s="65"/>
      <c r="U48" s="65"/>
      <c r="V48" s="63"/>
      <c r="W48" s="63"/>
      <c r="X48" s="63"/>
      <c r="Y48" s="63"/>
      <c r="Z48" s="62"/>
      <c r="AA48" s="62"/>
    </row>
    <row r="49" ht="16.5" customHeight="1">
      <c r="A49" s="82"/>
      <c r="B49" s="62"/>
      <c r="C49" s="63"/>
      <c r="D49" s="62"/>
      <c r="E49" s="63"/>
      <c r="F49" s="62"/>
      <c r="G49" s="62"/>
      <c r="H49" s="63"/>
      <c r="I49" s="61"/>
      <c r="J49" s="63"/>
      <c r="K49" s="63"/>
      <c r="L49" s="62"/>
      <c r="M49" s="63"/>
      <c r="N49" s="62"/>
      <c r="O49" s="63"/>
      <c r="P49" s="62"/>
      <c r="Q49" s="63"/>
      <c r="R49" s="62"/>
      <c r="S49" s="63"/>
      <c r="T49" s="65"/>
      <c r="U49" s="65"/>
      <c r="V49" s="63"/>
      <c r="W49" s="63"/>
      <c r="X49" s="63"/>
      <c r="Y49" s="63"/>
      <c r="Z49" s="62"/>
      <c r="AA49" s="62"/>
    </row>
    <row r="50" ht="16.5" customHeight="1">
      <c r="A50" s="82"/>
      <c r="B50" s="62"/>
      <c r="C50" s="63"/>
      <c r="D50" s="62"/>
      <c r="E50" s="63"/>
      <c r="F50" s="62"/>
      <c r="G50" s="62"/>
      <c r="H50" s="63"/>
      <c r="I50" s="65"/>
      <c r="J50" s="62"/>
      <c r="K50" s="63"/>
      <c r="L50" s="63"/>
      <c r="M50" s="63"/>
      <c r="N50" s="63"/>
      <c r="O50" s="62"/>
      <c r="P50" s="63"/>
      <c r="Q50" s="62"/>
      <c r="R50" s="63"/>
      <c r="S50" s="62"/>
      <c r="T50" s="65"/>
      <c r="U50" s="65"/>
      <c r="V50" s="63"/>
      <c r="W50" s="63"/>
      <c r="X50" s="63"/>
      <c r="Y50" s="63"/>
      <c r="Z50" s="62"/>
      <c r="AA50" s="62"/>
    </row>
    <row r="51" ht="16.5" customHeight="1">
      <c r="A51" s="82"/>
      <c r="B51" s="62"/>
      <c r="C51" s="63"/>
      <c r="D51" s="63"/>
      <c r="E51" s="63"/>
      <c r="F51" s="62"/>
      <c r="G51" s="62"/>
      <c r="H51" s="63"/>
      <c r="I51" s="65"/>
      <c r="J51" s="63"/>
      <c r="K51" s="63"/>
      <c r="L51" s="63"/>
      <c r="M51" s="63"/>
      <c r="N51" s="63"/>
      <c r="O51" s="63"/>
      <c r="P51" s="63"/>
      <c r="Q51" s="63"/>
      <c r="R51" s="63"/>
      <c r="S51" s="63"/>
      <c r="T51" s="65"/>
      <c r="U51" s="65"/>
      <c r="V51" s="63"/>
      <c r="W51" s="63"/>
      <c r="X51" s="63"/>
      <c r="Y51" s="63"/>
      <c r="Z51" s="62"/>
      <c r="AA51" s="62"/>
    </row>
    <row r="52" ht="16.5" customHeight="1">
      <c r="A52" s="82"/>
      <c r="B52" s="62"/>
      <c r="C52" s="63"/>
      <c r="D52" s="63"/>
      <c r="E52" s="63"/>
      <c r="F52" s="62"/>
      <c r="G52" s="62"/>
      <c r="H52" s="63"/>
      <c r="I52" s="65"/>
      <c r="J52" s="62"/>
      <c r="K52" s="63"/>
      <c r="L52" s="63"/>
      <c r="M52" s="63"/>
      <c r="N52" s="63"/>
      <c r="O52" s="62"/>
      <c r="P52" s="63"/>
      <c r="Q52" s="62"/>
      <c r="R52" s="63"/>
      <c r="S52" s="62"/>
      <c r="T52" s="65"/>
      <c r="U52" s="65"/>
      <c r="V52" s="63"/>
      <c r="W52" s="63"/>
      <c r="X52" s="63"/>
      <c r="Y52" s="63"/>
      <c r="Z52" s="62"/>
      <c r="AA52" s="62"/>
    </row>
    <row r="53" ht="16.5" customHeight="1">
      <c r="A53" s="82"/>
      <c r="B53" s="62"/>
      <c r="C53" s="63"/>
      <c r="D53" s="63"/>
      <c r="E53" s="63"/>
      <c r="F53" s="62"/>
      <c r="G53" s="62"/>
      <c r="H53" s="63"/>
      <c r="I53" s="65"/>
      <c r="J53" s="62"/>
      <c r="K53" s="63"/>
      <c r="L53" s="63"/>
      <c r="M53" s="63"/>
      <c r="N53" s="63"/>
      <c r="O53" s="62"/>
      <c r="P53" s="63"/>
      <c r="Q53" s="62"/>
      <c r="R53" s="63"/>
      <c r="S53" s="62"/>
      <c r="T53" s="65"/>
      <c r="U53" s="65"/>
      <c r="V53" s="63"/>
      <c r="W53" s="63"/>
      <c r="X53" s="63"/>
      <c r="Y53" s="63"/>
      <c r="Z53" s="62"/>
      <c r="AA53" s="62"/>
    </row>
    <row r="54" ht="16.5" customHeight="1">
      <c r="A54" s="82"/>
      <c r="B54" s="62"/>
      <c r="C54" s="63"/>
      <c r="D54" s="63"/>
      <c r="E54" s="63"/>
      <c r="F54" s="62"/>
      <c r="G54" s="62"/>
      <c r="H54" s="63"/>
      <c r="I54" s="65"/>
      <c r="J54" s="62"/>
      <c r="K54" s="63"/>
      <c r="L54" s="63"/>
      <c r="M54" s="63"/>
      <c r="N54" s="63"/>
      <c r="O54" s="62"/>
      <c r="P54" s="63"/>
      <c r="Q54" s="62"/>
      <c r="R54" s="63"/>
      <c r="S54" s="62"/>
      <c r="T54" s="65"/>
      <c r="U54" s="65"/>
      <c r="V54" s="63"/>
      <c r="W54" s="63"/>
      <c r="X54" s="63"/>
      <c r="Y54" s="63"/>
      <c r="Z54" s="62"/>
      <c r="AA54" s="62"/>
    </row>
    <row r="55" ht="16.5" customHeight="1">
      <c r="A55" s="82"/>
      <c r="B55" s="62"/>
      <c r="C55" s="63"/>
      <c r="D55" s="63"/>
      <c r="E55" s="63"/>
      <c r="F55" s="62"/>
      <c r="G55" s="62"/>
      <c r="H55" s="63"/>
      <c r="I55" s="65"/>
      <c r="J55" s="62"/>
      <c r="K55" s="63"/>
      <c r="L55" s="63"/>
      <c r="M55" s="63"/>
      <c r="N55" s="63"/>
      <c r="O55" s="62"/>
      <c r="P55" s="63"/>
      <c r="Q55" s="62"/>
      <c r="R55" s="63"/>
      <c r="S55" s="62"/>
      <c r="T55" s="65"/>
      <c r="U55" s="65"/>
      <c r="V55" s="63"/>
      <c r="W55" s="63"/>
      <c r="X55" s="63"/>
      <c r="Y55" s="63"/>
      <c r="Z55" s="62"/>
      <c r="AA55" s="62"/>
    </row>
    <row r="56" ht="16.5" customHeight="1">
      <c r="A56" s="82"/>
      <c r="B56" s="62"/>
      <c r="C56" s="63"/>
      <c r="D56" s="63"/>
      <c r="E56" s="63"/>
      <c r="F56" s="62"/>
      <c r="G56" s="62"/>
      <c r="H56" s="63"/>
      <c r="I56" s="65"/>
      <c r="J56" s="62"/>
      <c r="K56" s="63"/>
      <c r="L56" s="63"/>
      <c r="M56" s="63"/>
      <c r="N56" s="63"/>
      <c r="O56" s="62"/>
      <c r="P56" s="63"/>
      <c r="Q56" s="62"/>
      <c r="R56" s="63"/>
      <c r="S56" s="62"/>
      <c r="T56" s="65"/>
      <c r="U56" s="65"/>
      <c r="V56" s="63"/>
      <c r="W56" s="63"/>
      <c r="X56" s="63"/>
      <c r="Y56" s="63"/>
      <c r="Z56" s="62"/>
      <c r="AA56" s="62"/>
    </row>
    <row r="57" ht="16.5" customHeight="1">
      <c r="A57" s="82"/>
      <c r="B57" s="62"/>
      <c r="C57" s="63"/>
      <c r="D57" s="63"/>
      <c r="E57" s="63"/>
      <c r="F57" s="62"/>
      <c r="G57" s="62"/>
      <c r="H57" s="63"/>
      <c r="I57" s="65"/>
      <c r="J57" s="62"/>
      <c r="K57" s="63"/>
      <c r="L57" s="63"/>
      <c r="M57" s="63"/>
      <c r="N57" s="63"/>
      <c r="O57" s="62"/>
      <c r="P57" s="63"/>
      <c r="Q57" s="62"/>
      <c r="R57" s="63"/>
      <c r="S57" s="62"/>
      <c r="T57" s="65"/>
      <c r="U57" s="65"/>
      <c r="V57" s="63"/>
      <c r="W57" s="63"/>
      <c r="X57" s="63"/>
      <c r="Y57" s="63"/>
      <c r="Z57" s="62"/>
      <c r="AA57" s="62"/>
    </row>
    <row r="58" ht="16.5" customHeight="1">
      <c r="A58" s="82"/>
      <c r="B58" s="62"/>
      <c r="C58" s="63"/>
      <c r="D58" s="63"/>
      <c r="E58" s="63"/>
      <c r="F58" s="62"/>
      <c r="G58" s="62"/>
      <c r="H58" s="63"/>
      <c r="I58" s="65"/>
      <c r="J58" s="62"/>
      <c r="K58" s="63"/>
      <c r="L58" s="63"/>
      <c r="M58" s="63"/>
      <c r="N58" s="63"/>
      <c r="O58" s="62"/>
      <c r="P58" s="63"/>
      <c r="Q58" s="62"/>
      <c r="R58" s="63"/>
      <c r="S58" s="62"/>
      <c r="T58" s="65"/>
      <c r="U58" s="65"/>
      <c r="V58" s="63"/>
      <c r="W58" s="63"/>
      <c r="X58" s="63"/>
      <c r="Y58" s="63"/>
      <c r="Z58" s="62"/>
      <c r="AA58" s="62"/>
    </row>
    <row r="59" ht="16.5" customHeight="1">
      <c r="A59" s="82"/>
      <c r="B59" s="62"/>
      <c r="C59" s="63"/>
      <c r="D59" s="63"/>
      <c r="E59" s="63"/>
      <c r="F59" s="62"/>
      <c r="G59" s="62"/>
      <c r="H59" s="63"/>
      <c r="I59" s="65"/>
      <c r="J59" s="62"/>
      <c r="K59" s="63"/>
      <c r="L59" s="63"/>
      <c r="M59" s="63"/>
      <c r="N59" s="63"/>
      <c r="O59" s="62"/>
      <c r="P59" s="63"/>
      <c r="Q59" s="62"/>
      <c r="R59" s="63"/>
      <c r="S59" s="62"/>
      <c r="T59" s="65"/>
      <c r="U59" s="65"/>
      <c r="V59" s="63"/>
      <c r="W59" s="63"/>
      <c r="X59" s="63"/>
      <c r="Y59" s="63"/>
      <c r="Z59" s="62"/>
      <c r="AA59" s="62"/>
    </row>
    <row r="60" ht="16.5" customHeight="1">
      <c r="A60" s="82"/>
      <c r="B60" s="62"/>
      <c r="C60" s="63"/>
      <c r="D60" s="63"/>
      <c r="E60" s="63"/>
      <c r="F60" s="62"/>
      <c r="G60" s="62"/>
      <c r="H60" s="63"/>
      <c r="I60" s="65"/>
      <c r="J60" s="62"/>
      <c r="K60" s="63"/>
      <c r="L60" s="63"/>
      <c r="M60" s="63"/>
      <c r="N60" s="63"/>
      <c r="O60" s="62"/>
      <c r="P60" s="63"/>
      <c r="Q60" s="62"/>
      <c r="R60" s="63"/>
      <c r="S60" s="62"/>
      <c r="T60" s="65"/>
      <c r="U60" s="65"/>
      <c r="V60" s="63"/>
      <c r="W60" s="63"/>
      <c r="X60" s="63"/>
      <c r="Y60" s="63"/>
      <c r="Z60" s="62"/>
      <c r="AA60" s="62"/>
    </row>
    <row r="61" ht="16.5" customHeight="1">
      <c r="A61" s="82"/>
      <c r="B61" s="62"/>
      <c r="C61" s="63"/>
      <c r="D61" s="63"/>
      <c r="E61" s="63"/>
      <c r="F61" s="62"/>
      <c r="G61" s="62"/>
      <c r="H61" s="63"/>
      <c r="I61" s="65"/>
      <c r="J61" s="62"/>
      <c r="K61" s="63"/>
      <c r="L61" s="63"/>
      <c r="M61" s="63"/>
      <c r="N61" s="63"/>
      <c r="O61" s="62"/>
      <c r="P61" s="63"/>
      <c r="Q61" s="62"/>
      <c r="R61" s="63"/>
      <c r="S61" s="62"/>
      <c r="T61" s="65"/>
      <c r="U61" s="65"/>
      <c r="V61" s="63"/>
      <c r="W61" s="63"/>
      <c r="X61" s="63"/>
      <c r="Y61" s="63"/>
      <c r="Z61" s="62"/>
      <c r="AA61" s="62"/>
    </row>
    <row r="62" ht="16.5" customHeight="1">
      <c r="A62" s="82"/>
      <c r="B62" s="62"/>
      <c r="C62" s="63"/>
      <c r="D62" s="63"/>
      <c r="E62" s="63"/>
      <c r="F62" s="62"/>
      <c r="G62" s="62"/>
      <c r="H62" s="63"/>
      <c r="I62" s="65"/>
      <c r="J62" s="62"/>
      <c r="K62" s="63"/>
      <c r="L62" s="63"/>
      <c r="M62" s="63"/>
      <c r="N62" s="63"/>
      <c r="O62" s="62"/>
      <c r="P62" s="63"/>
      <c r="Q62" s="62"/>
      <c r="R62" s="63"/>
      <c r="S62" s="62"/>
      <c r="T62" s="65"/>
      <c r="U62" s="65"/>
      <c r="V62" s="63"/>
      <c r="W62" s="63"/>
      <c r="X62" s="63"/>
      <c r="Y62" s="63"/>
      <c r="Z62" s="62"/>
      <c r="AA62" s="62"/>
    </row>
    <row r="63" ht="16.5" customHeight="1">
      <c r="A63" s="82"/>
      <c r="B63" s="62"/>
      <c r="C63" s="63"/>
      <c r="D63" s="63"/>
      <c r="E63" s="63"/>
      <c r="F63" s="62"/>
      <c r="G63" s="62"/>
      <c r="H63" s="63"/>
      <c r="I63" s="65"/>
      <c r="J63" s="62"/>
      <c r="K63" s="63"/>
      <c r="L63" s="63"/>
      <c r="M63" s="63"/>
      <c r="N63" s="63"/>
      <c r="O63" s="62"/>
      <c r="P63" s="63"/>
      <c r="Q63" s="62"/>
      <c r="R63" s="63"/>
      <c r="S63" s="62"/>
      <c r="T63" s="65"/>
      <c r="U63" s="65"/>
      <c r="V63" s="63"/>
      <c r="W63" s="63"/>
      <c r="X63" s="63"/>
      <c r="Y63" s="63"/>
      <c r="Z63" s="62"/>
      <c r="AA63" s="62"/>
    </row>
    <row r="64" ht="16.5" customHeight="1">
      <c r="A64" s="82"/>
      <c r="B64" s="62"/>
      <c r="C64" s="63"/>
      <c r="D64" s="63"/>
      <c r="E64" s="63"/>
      <c r="F64" s="62"/>
      <c r="G64" s="62"/>
      <c r="H64" s="63"/>
      <c r="I64" s="65"/>
      <c r="J64" s="62"/>
      <c r="K64" s="63"/>
      <c r="L64" s="63"/>
      <c r="M64" s="63"/>
      <c r="N64" s="63"/>
      <c r="O64" s="62"/>
      <c r="P64" s="63"/>
      <c r="Q64" s="62"/>
      <c r="R64" s="63"/>
      <c r="S64" s="62"/>
      <c r="T64" s="65"/>
      <c r="U64" s="65"/>
      <c r="V64" s="63"/>
      <c r="W64" s="63"/>
      <c r="X64" s="63"/>
      <c r="Y64" s="63"/>
      <c r="Z64" s="62"/>
      <c r="AA64" s="62"/>
    </row>
    <row r="65" ht="16.5" customHeight="1">
      <c r="A65" s="82"/>
      <c r="B65" s="62"/>
      <c r="C65" s="63"/>
      <c r="D65" s="63"/>
      <c r="E65" s="63"/>
      <c r="F65" s="62"/>
      <c r="G65" s="62"/>
      <c r="H65" s="63"/>
      <c r="I65" s="65"/>
      <c r="J65" s="62"/>
      <c r="K65" s="63"/>
      <c r="L65" s="63"/>
      <c r="M65" s="63"/>
      <c r="N65" s="63"/>
      <c r="O65" s="62"/>
      <c r="P65" s="63"/>
      <c r="Q65" s="62"/>
      <c r="R65" s="63"/>
      <c r="S65" s="62"/>
      <c r="T65" s="65"/>
      <c r="U65" s="65"/>
      <c r="V65" s="63"/>
      <c r="W65" s="63"/>
      <c r="X65" s="63"/>
      <c r="Y65" s="63"/>
      <c r="Z65" s="62"/>
      <c r="AA65" s="62"/>
    </row>
    <row r="66" ht="16.5" customHeight="1">
      <c r="A66" s="82"/>
      <c r="B66" s="62"/>
      <c r="C66" s="63"/>
      <c r="D66" s="63"/>
      <c r="E66" s="63"/>
      <c r="F66" s="62"/>
      <c r="G66" s="62"/>
      <c r="H66" s="63"/>
      <c r="I66" s="65"/>
      <c r="J66" s="62"/>
      <c r="K66" s="63"/>
      <c r="L66" s="63"/>
      <c r="M66" s="63"/>
      <c r="N66" s="63"/>
      <c r="O66" s="62"/>
      <c r="P66" s="63"/>
      <c r="Q66" s="62"/>
      <c r="R66" s="63"/>
      <c r="S66" s="62"/>
      <c r="T66" s="65"/>
      <c r="U66" s="65"/>
      <c r="V66" s="63"/>
      <c r="W66" s="63"/>
      <c r="X66" s="63"/>
      <c r="Y66" s="63"/>
      <c r="Z66" s="62"/>
      <c r="AA66" s="62"/>
    </row>
    <row r="67" ht="16.5" customHeight="1">
      <c r="A67" s="82"/>
      <c r="B67" s="62"/>
      <c r="C67" s="63"/>
      <c r="D67" s="63"/>
      <c r="E67" s="63"/>
      <c r="F67" s="62"/>
      <c r="G67" s="62"/>
      <c r="H67" s="63"/>
      <c r="I67" s="65"/>
      <c r="J67" s="62"/>
      <c r="K67" s="63"/>
      <c r="L67" s="63"/>
      <c r="M67" s="63"/>
      <c r="N67" s="63"/>
      <c r="O67" s="62"/>
      <c r="P67" s="63"/>
      <c r="Q67" s="62"/>
      <c r="R67" s="63"/>
      <c r="S67" s="62"/>
      <c r="T67" s="65"/>
      <c r="U67" s="65"/>
      <c r="V67" s="63"/>
      <c r="W67" s="63"/>
      <c r="X67" s="63"/>
      <c r="Y67" s="63"/>
      <c r="Z67" s="62"/>
      <c r="AA67" s="62"/>
    </row>
    <row r="68" ht="16.5" customHeight="1">
      <c r="A68" s="82"/>
      <c r="B68" s="63"/>
      <c r="C68" s="63"/>
      <c r="D68" s="63"/>
      <c r="E68" s="63"/>
      <c r="F68" s="62"/>
      <c r="G68" s="62"/>
      <c r="H68" s="62"/>
      <c r="I68" s="61"/>
      <c r="J68" s="62"/>
      <c r="K68" s="62"/>
      <c r="L68" s="62"/>
      <c r="M68" s="62"/>
      <c r="N68" s="62"/>
      <c r="O68" s="62"/>
      <c r="P68" s="62"/>
      <c r="Q68" s="62"/>
      <c r="R68" s="62"/>
      <c r="S68" s="62"/>
      <c r="T68" s="65"/>
      <c r="U68" s="65"/>
      <c r="V68" s="63"/>
      <c r="W68" s="63"/>
      <c r="X68" s="63"/>
      <c r="Y68" s="63"/>
      <c r="Z68" s="62"/>
      <c r="AA68" s="62"/>
    </row>
    <row r="69" ht="16.5" customHeight="1">
      <c r="A69" s="82"/>
      <c r="B69" s="63"/>
      <c r="C69" s="63"/>
      <c r="D69" s="63"/>
      <c r="E69" s="63"/>
      <c r="F69" s="62"/>
      <c r="G69" s="62"/>
      <c r="H69" s="62"/>
      <c r="I69" s="61"/>
      <c r="J69" s="62"/>
      <c r="K69" s="62"/>
      <c r="L69" s="62"/>
      <c r="M69" s="62"/>
      <c r="N69" s="62"/>
      <c r="O69" s="62"/>
      <c r="P69" s="62"/>
      <c r="Q69" s="62"/>
      <c r="R69" s="62"/>
      <c r="S69" s="62"/>
      <c r="T69" s="65"/>
      <c r="U69" s="65"/>
      <c r="V69" s="63"/>
      <c r="W69" s="63"/>
      <c r="X69" s="63"/>
      <c r="Y69" s="63"/>
      <c r="Z69" s="62"/>
      <c r="AA69" s="62"/>
    </row>
    <row r="70" ht="16.5" customHeight="1">
      <c r="A70" s="82"/>
      <c r="B70" s="63"/>
      <c r="C70" s="63"/>
      <c r="D70" s="63"/>
      <c r="E70" s="63"/>
      <c r="F70" s="62"/>
      <c r="G70" s="62"/>
      <c r="H70" s="62"/>
      <c r="I70" s="61"/>
      <c r="J70" s="62"/>
      <c r="K70" s="62"/>
      <c r="L70" s="62"/>
      <c r="M70" s="62"/>
      <c r="N70" s="62"/>
      <c r="O70" s="62"/>
      <c r="P70" s="62"/>
      <c r="Q70" s="62"/>
      <c r="R70" s="62"/>
      <c r="S70" s="62"/>
      <c r="T70" s="65"/>
      <c r="U70" s="65"/>
      <c r="V70" s="63"/>
      <c r="W70" s="63"/>
      <c r="X70" s="63"/>
      <c r="Y70" s="63"/>
      <c r="Z70" s="62"/>
      <c r="AA70" s="62"/>
    </row>
    <row r="71" ht="16.5" customHeight="1">
      <c r="A71" s="82"/>
      <c r="B71" s="63"/>
      <c r="C71" s="63"/>
      <c r="D71" s="63"/>
      <c r="E71" s="63"/>
      <c r="F71" s="62"/>
      <c r="G71" s="62"/>
      <c r="H71" s="62"/>
      <c r="I71" s="61"/>
      <c r="J71" s="62"/>
      <c r="K71" s="62"/>
      <c r="L71" s="62"/>
      <c r="M71" s="62"/>
      <c r="N71" s="62"/>
      <c r="O71" s="62"/>
      <c r="P71" s="62"/>
      <c r="Q71" s="62"/>
      <c r="R71" s="62"/>
      <c r="S71" s="62"/>
      <c r="T71" s="65"/>
      <c r="U71" s="65"/>
      <c r="V71" s="63"/>
      <c r="W71" s="63"/>
      <c r="X71" s="63"/>
      <c r="Y71" s="63"/>
      <c r="Z71" s="62"/>
      <c r="AA71" s="62"/>
    </row>
    <row r="72" ht="16.5" customHeight="1">
      <c r="A72" s="82"/>
      <c r="B72" s="63"/>
      <c r="C72" s="63"/>
      <c r="D72" s="63"/>
      <c r="E72" s="63"/>
      <c r="F72" s="62"/>
      <c r="G72" s="62"/>
      <c r="H72" s="62"/>
      <c r="I72" s="61"/>
      <c r="J72" s="62"/>
      <c r="K72" s="62"/>
      <c r="L72" s="62"/>
      <c r="M72" s="62"/>
      <c r="N72" s="62"/>
      <c r="O72" s="62"/>
      <c r="P72" s="62"/>
      <c r="Q72" s="62"/>
      <c r="R72" s="62"/>
      <c r="S72" s="62"/>
      <c r="T72" s="65"/>
      <c r="U72" s="65"/>
      <c r="V72" s="63"/>
      <c r="W72" s="63"/>
      <c r="X72" s="63"/>
      <c r="Y72" s="63"/>
      <c r="Z72" s="62"/>
      <c r="AA72" s="62"/>
    </row>
    <row r="73" ht="16.5" customHeight="1">
      <c r="A73" s="82"/>
      <c r="B73" s="63"/>
      <c r="C73" s="63"/>
      <c r="D73" s="63"/>
      <c r="E73" s="63"/>
      <c r="F73" s="62"/>
      <c r="G73" s="62"/>
      <c r="H73" s="62"/>
      <c r="I73" s="61"/>
      <c r="J73" s="62"/>
      <c r="K73" s="62"/>
      <c r="L73" s="62"/>
      <c r="M73" s="62"/>
      <c r="N73" s="62"/>
      <c r="O73" s="62"/>
      <c r="P73" s="62"/>
      <c r="Q73" s="62"/>
      <c r="R73" s="62"/>
      <c r="S73" s="62"/>
      <c r="T73" s="65"/>
      <c r="U73" s="65"/>
      <c r="V73" s="63"/>
      <c r="W73" s="63"/>
      <c r="X73" s="63"/>
      <c r="Y73" s="63"/>
      <c r="Z73" s="62"/>
      <c r="AA73" s="62"/>
    </row>
    <row r="74" ht="16.5" customHeight="1">
      <c r="A74" s="82"/>
      <c r="B74" s="63"/>
      <c r="C74" s="63"/>
      <c r="D74" s="63"/>
      <c r="E74" s="63"/>
      <c r="F74" s="62"/>
      <c r="G74" s="62"/>
      <c r="H74" s="62"/>
      <c r="I74" s="61"/>
      <c r="J74" s="62"/>
      <c r="K74" s="62"/>
      <c r="L74" s="62"/>
      <c r="M74" s="62"/>
      <c r="N74" s="62"/>
      <c r="O74" s="62"/>
      <c r="P74" s="62"/>
      <c r="Q74" s="62"/>
      <c r="R74" s="62"/>
      <c r="S74" s="62"/>
      <c r="T74" s="65"/>
      <c r="U74" s="65"/>
      <c r="V74" s="63"/>
      <c r="W74" s="63"/>
      <c r="X74" s="63"/>
      <c r="Y74" s="63"/>
      <c r="Z74" s="62"/>
      <c r="AA74" s="62"/>
    </row>
    <row r="75" ht="16.5" customHeight="1">
      <c r="A75" s="82"/>
      <c r="B75" s="63"/>
      <c r="C75" s="63"/>
      <c r="D75" s="63"/>
      <c r="E75" s="63"/>
      <c r="F75" s="62"/>
      <c r="G75" s="62"/>
      <c r="H75" s="62"/>
      <c r="I75" s="61"/>
      <c r="J75" s="62"/>
      <c r="K75" s="62"/>
      <c r="L75" s="62"/>
      <c r="M75" s="62"/>
      <c r="N75" s="62"/>
      <c r="O75" s="62"/>
      <c r="P75" s="62"/>
      <c r="Q75" s="62"/>
      <c r="R75" s="62"/>
      <c r="S75" s="62"/>
      <c r="T75" s="65"/>
      <c r="U75" s="65"/>
      <c r="V75" s="63"/>
      <c r="W75" s="63"/>
      <c r="X75" s="63"/>
      <c r="Y75" s="63"/>
      <c r="Z75" s="62"/>
      <c r="AA75" s="62"/>
    </row>
    <row r="76" ht="16.5" customHeight="1">
      <c r="A76" s="82"/>
      <c r="B76" s="63"/>
      <c r="C76" s="63"/>
      <c r="D76" s="63"/>
      <c r="E76" s="63"/>
      <c r="F76" s="62"/>
      <c r="G76" s="62"/>
      <c r="H76" s="62"/>
      <c r="I76" s="61"/>
      <c r="J76" s="62"/>
      <c r="K76" s="62"/>
      <c r="L76" s="62"/>
      <c r="M76" s="62"/>
      <c r="N76" s="62"/>
      <c r="O76" s="62"/>
      <c r="P76" s="62"/>
      <c r="Q76" s="62"/>
      <c r="R76" s="62"/>
      <c r="S76" s="62"/>
      <c r="T76" s="65"/>
      <c r="U76" s="65"/>
      <c r="V76" s="63"/>
      <c r="W76" s="63"/>
      <c r="X76" s="63"/>
      <c r="Y76" s="63"/>
      <c r="Z76" s="62"/>
      <c r="AA76" s="62"/>
    </row>
    <row r="77" ht="16.5" customHeight="1">
      <c r="A77" s="82"/>
      <c r="B77" s="63"/>
      <c r="C77" s="63"/>
      <c r="D77" s="63"/>
      <c r="E77" s="63"/>
      <c r="F77" s="62"/>
      <c r="G77" s="62"/>
      <c r="H77" s="62"/>
      <c r="I77" s="61"/>
      <c r="J77" s="62"/>
      <c r="K77" s="62"/>
      <c r="L77" s="62"/>
      <c r="M77" s="62"/>
      <c r="N77" s="62"/>
      <c r="O77" s="62"/>
      <c r="P77" s="62"/>
      <c r="Q77" s="62"/>
      <c r="R77" s="62"/>
      <c r="S77" s="62"/>
      <c r="T77" s="65"/>
      <c r="U77" s="65"/>
      <c r="V77" s="63"/>
      <c r="W77" s="63"/>
      <c r="X77" s="63"/>
      <c r="Y77" s="63"/>
      <c r="Z77" s="62"/>
      <c r="AA77" s="62"/>
    </row>
    <row r="78" ht="16.5" customHeight="1">
      <c r="A78" s="82"/>
      <c r="B78" s="63"/>
      <c r="C78" s="63"/>
      <c r="D78" s="63"/>
      <c r="E78" s="63"/>
      <c r="F78" s="62"/>
      <c r="G78" s="62"/>
      <c r="H78" s="62"/>
      <c r="I78" s="61"/>
      <c r="J78" s="62"/>
      <c r="K78" s="62"/>
      <c r="L78" s="62"/>
      <c r="M78" s="62"/>
      <c r="N78" s="62"/>
      <c r="O78" s="62"/>
      <c r="P78" s="62"/>
      <c r="Q78" s="62"/>
      <c r="R78" s="62"/>
      <c r="S78" s="62"/>
      <c r="T78" s="65"/>
      <c r="U78" s="65"/>
      <c r="V78" s="63"/>
      <c r="W78" s="63"/>
      <c r="X78" s="63"/>
      <c r="Y78" s="63"/>
      <c r="Z78" s="62"/>
      <c r="AA78" s="62"/>
    </row>
    <row r="79" ht="16.5" customHeight="1">
      <c r="A79" s="82"/>
      <c r="B79" s="63"/>
      <c r="C79" s="63"/>
      <c r="D79" s="63"/>
      <c r="E79" s="63"/>
      <c r="F79" s="62"/>
      <c r="G79" s="62"/>
      <c r="H79" s="63"/>
      <c r="I79" s="61"/>
      <c r="J79" s="63"/>
      <c r="K79" s="63"/>
      <c r="L79" s="62"/>
      <c r="M79" s="63"/>
      <c r="N79" s="62"/>
      <c r="O79" s="63"/>
      <c r="P79" s="62"/>
      <c r="Q79" s="63"/>
      <c r="R79" s="62"/>
      <c r="S79" s="63"/>
      <c r="T79" s="65"/>
      <c r="U79" s="65"/>
      <c r="V79" s="63"/>
      <c r="W79" s="63"/>
      <c r="X79" s="63"/>
      <c r="Y79" s="63"/>
      <c r="Z79" s="62"/>
      <c r="AA79" s="62"/>
    </row>
    <row r="80" ht="16.5" customHeight="1">
      <c r="A80" s="82"/>
      <c r="B80" s="63"/>
      <c r="C80" s="63"/>
      <c r="D80" s="63"/>
      <c r="E80" s="63"/>
      <c r="F80" s="62"/>
      <c r="G80" s="62"/>
      <c r="H80" s="63"/>
      <c r="I80" s="61"/>
      <c r="J80" s="63"/>
      <c r="K80" s="63"/>
      <c r="L80" s="62"/>
      <c r="M80" s="63"/>
      <c r="N80" s="62"/>
      <c r="O80" s="63"/>
      <c r="P80" s="62"/>
      <c r="Q80" s="63"/>
      <c r="R80" s="62"/>
      <c r="S80" s="63"/>
      <c r="T80" s="65"/>
      <c r="U80" s="65"/>
      <c r="V80" s="63"/>
      <c r="W80" s="63"/>
      <c r="X80" s="63"/>
      <c r="Y80" s="63"/>
      <c r="Z80" s="62"/>
      <c r="AA80" s="62"/>
    </row>
    <row r="81" ht="16.5" customHeight="1">
      <c r="A81" s="82"/>
      <c r="B81" s="63"/>
      <c r="C81" s="63"/>
      <c r="D81" s="63"/>
      <c r="E81" s="63"/>
      <c r="F81" s="62"/>
      <c r="G81" s="62"/>
      <c r="H81" s="63"/>
      <c r="I81" s="61"/>
      <c r="J81" s="63"/>
      <c r="K81" s="63"/>
      <c r="L81" s="62"/>
      <c r="M81" s="63"/>
      <c r="N81" s="62"/>
      <c r="O81" s="63"/>
      <c r="P81" s="62"/>
      <c r="Q81" s="63"/>
      <c r="R81" s="62"/>
      <c r="S81" s="63"/>
      <c r="T81" s="65"/>
      <c r="U81" s="65"/>
      <c r="V81" s="63"/>
      <c r="W81" s="63"/>
      <c r="X81" s="63"/>
      <c r="Y81" s="63"/>
      <c r="Z81" s="62"/>
      <c r="AA81" s="62"/>
    </row>
    <row r="82" ht="16.5" customHeight="1">
      <c r="A82" s="82"/>
      <c r="B82" s="63"/>
      <c r="C82" s="63"/>
      <c r="D82" s="63"/>
      <c r="E82" s="63"/>
      <c r="F82" s="62"/>
      <c r="G82" s="62"/>
      <c r="H82" s="63"/>
      <c r="I82" s="61"/>
      <c r="J82" s="63"/>
      <c r="K82" s="63"/>
      <c r="L82" s="62"/>
      <c r="M82" s="63"/>
      <c r="N82" s="62"/>
      <c r="O82" s="63"/>
      <c r="P82" s="62"/>
      <c r="Q82" s="63"/>
      <c r="R82" s="62"/>
      <c r="S82" s="63"/>
      <c r="T82" s="65"/>
      <c r="U82" s="65"/>
      <c r="V82" s="63"/>
      <c r="W82" s="63"/>
      <c r="X82" s="63"/>
      <c r="Y82" s="63"/>
      <c r="Z82" s="62"/>
      <c r="AA82" s="62"/>
    </row>
    <row r="83" ht="16.5" customHeight="1">
      <c r="A83" s="82"/>
      <c r="B83" s="63"/>
      <c r="C83" s="63"/>
      <c r="D83" s="63"/>
      <c r="E83" s="63"/>
      <c r="F83" s="62"/>
      <c r="G83" s="62"/>
      <c r="H83" s="63"/>
      <c r="I83" s="61"/>
      <c r="J83" s="63"/>
      <c r="K83" s="63"/>
      <c r="L83" s="62"/>
      <c r="M83" s="63"/>
      <c r="N83" s="62"/>
      <c r="O83" s="63"/>
      <c r="P83" s="62"/>
      <c r="Q83" s="63"/>
      <c r="R83" s="62"/>
      <c r="S83" s="63"/>
      <c r="T83" s="65"/>
      <c r="U83" s="65"/>
      <c r="V83" s="63"/>
      <c r="W83" s="63"/>
      <c r="X83" s="63"/>
      <c r="Y83" s="63"/>
      <c r="Z83" s="62"/>
      <c r="AA83" s="62"/>
    </row>
    <row r="84" ht="16.5" customHeight="1">
      <c r="A84" s="82"/>
      <c r="B84" s="63"/>
      <c r="C84" s="63"/>
      <c r="D84" s="63"/>
      <c r="E84" s="63"/>
      <c r="F84" s="62"/>
      <c r="G84" s="62"/>
      <c r="H84" s="63"/>
      <c r="I84" s="61"/>
      <c r="J84" s="63"/>
      <c r="K84" s="63"/>
      <c r="L84" s="62"/>
      <c r="M84" s="63"/>
      <c r="N84" s="62"/>
      <c r="O84" s="63"/>
      <c r="P84" s="62"/>
      <c r="Q84" s="63"/>
      <c r="R84" s="62"/>
      <c r="S84" s="63"/>
      <c r="T84" s="65"/>
      <c r="U84" s="65"/>
      <c r="V84" s="63"/>
      <c r="W84" s="63"/>
      <c r="X84" s="63"/>
      <c r="Y84" s="63"/>
      <c r="Z84" s="62"/>
      <c r="AA84" s="62"/>
    </row>
    <row r="85" ht="16.5" customHeight="1">
      <c r="A85" s="82"/>
      <c r="B85" s="63"/>
      <c r="C85" s="63"/>
      <c r="D85" s="63"/>
      <c r="E85" s="63"/>
      <c r="F85" s="62"/>
      <c r="G85" s="62"/>
      <c r="H85" s="63"/>
      <c r="I85" s="61"/>
      <c r="J85" s="63"/>
      <c r="K85" s="63"/>
      <c r="L85" s="62"/>
      <c r="M85" s="63"/>
      <c r="N85" s="62"/>
      <c r="O85" s="63"/>
      <c r="P85" s="62"/>
      <c r="Q85" s="63"/>
      <c r="R85" s="62"/>
      <c r="S85" s="63"/>
      <c r="T85" s="65"/>
      <c r="U85" s="65"/>
      <c r="V85" s="63"/>
      <c r="W85" s="63"/>
      <c r="X85" s="63"/>
      <c r="Y85" s="63"/>
      <c r="Z85" s="62"/>
      <c r="AA85" s="62"/>
    </row>
    <row r="86" ht="16.5" customHeight="1">
      <c r="A86" s="82"/>
      <c r="B86" s="63"/>
      <c r="C86" s="63"/>
      <c r="D86" s="63"/>
      <c r="E86" s="63"/>
      <c r="F86" s="62"/>
      <c r="G86" s="62"/>
      <c r="H86" s="63"/>
      <c r="I86" s="61"/>
      <c r="J86" s="63"/>
      <c r="K86" s="63"/>
      <c r="L86" s="62"/>
      <c r="M86" s="63"/>
      <c r="N86" s="62"/>
      <c r="O86" s="63"/>
      <c r="P86" s="62"/>
      <c r="Q86" s="63"/>
      <c r="R86" s="62"/>
      <c r="S86" s="63"/>
      <c r="T86" s="65"/>
      <c r="U86" s="65"/>
      <c r="V86" s="63"/>
      <c r="W86" s="63"/>
      <c r="X86" s="63"/>
      <c r="Y86" s="63"/>
      <c r="Z86" s="62"/>
      <c r="AA86" s="62"/>
    </row>
    <row r="87" ht="16.5" customHeight="1">
      <c r="A87" s="82"/>
      <c r="B87" s="63"/>
      <c r="C87" s="63"/>
      <c r="D87" s="63"/>
      <c r="E87" s="63"/>
      <c r="F87" s="62"/>
      <c r="G87" s="62"/>
      <c r="H87" s="63"/>
      <c r="I87" s="61"/>
      <c r="J87" s="63"/>
      <c r="K87" s="63"/>
      <c r="L87" s="62"/>
      <c r="M87" s="63"/>
      <c r="N87" s="62"/>
      <c r="O87" s="63"/>
      <c r="P87" s="62"/>
      <c r="Q87" s="63"/>
      <c r="R87" s="62"/>
      <c r="S87" s="63"/>
      <c r="T87" s="65"/>
      <c r="U87" s="65"/>
      <c r="V87" s="63"/>
      <c r="W87" s="63"/>
      <c r="X87" s="63"/>
      <c r="Y87" s="63"/>
      <c r="Z87" s="62"/>
      <c r="AA87" s="62"/>
    </row>
    <row r="88" ht="16.5" customHeight="1">
      <c r="A88" s="82"/>
      <c r="B88" s="63"/>
      <c r="C88" s="63"/>
      <c r="D88" s="63"/>
      <c r="E88" s="63"/>
      <c r="F88" s="62"/>
      <c r="G88" s="62"/>
      <c r="H88" s="63"/>
      <c r="I88" s="61"/>
      <c r="J88" s="63"/>
      <c r="K88" s="63"/>
      <c r="L88" s="62"/>
      <c r="M88" s="63"/>
      <c r="N88" s="62"/>
      <c r="O88" s="63"/>
      <c r="P88" s="62"/>
      <c r="Q88" s="63"/>
      <c r="R88" s="62"/>
      <c r="S88" s="63"/>
      <c r="T88" s="65"/>
      <c r="U88" s="65"/>
      <c r="V88" s="63"/>
      <c r="W88" s="63"/>
      <c r="X88" s="63"/>
      <c r="Y88" s="63"/>
      <c r="Z88" s="62"/>
      <c r="AA88" s="62"/>
    </row>
    <row r="89" ht="16.5" customHeight="1">
      <c r="A89" s="82"/>
      <c r="B89" s="63"/>
      <c r="C89" s="63"/>
      <c r="D89" s="63"/>
      <c r="E89" s="63"/>
      <c r="F89" s="62"/>
      <c r="G89" s="62"/>
      <c r="H89" s="63"/>
      <c r="I89" s="61"/>
      <c r="J89" s="63"/>
      <c r="K89" s="63"/>
      <c r="L89" s="62"/>
      <c r="M89" s="63"/>
      <c r="N89" s="62"/>
      <c r="O89" s="63"/>
      <c r="P89" s="62"/>
      <c r="Q89" s="63"/>
      <c r="R89" s="62"/>
      <c r="S89" s="63"/>
      <c r="T89" s="65"/>
      <c r="U89" s="65"/>
      <c r="V89" s="63"/>
      <c r="W89" s="63"/>
      <c r="X89" s="63"/>
      <c r="Y89" s="63"/>
      <c r="Z89" s="62"/>
      <c r="AA89" s="62"/>
    </row>
    <row r="90" ht="16.5" customHeight="1">
      <c r="A90" s="82"/>
      <c r="B90" s="63"/>
      <c r="C90" s="63"/>
      <c r="D90" s="63"/>
      <c r="E90" s="63"/>
      <c r="F90" s="62"/>
      <c r="G90" s="62"/>
      <c r="H90" s="63"/>
      <c r="I90" s="61"/>
      <c r="J90" s="63"/>
      <c r="K90" s="63"/>
      <c r="L90" s="62"/>
      <c r="M90" s="63"/>
      <c r="N90" s="62"/>
      <c r="O90" s="63"/>
      <c r="P90" s="62"/>
      <c r="Q90" s="63"/>
      <c r="R90" s="62"/>
      <c r="S90" s="63"/>
      <c r="T90" s="65"/>
      <c r="U90" s="65"/>
      <c r="V90" s="63"/>
      <c r="W90" s="63"/>
      <c r="X90" s="63"/>
      <c r="Y90" s="63"/>
      <c r="Z90" s="62"/>
      <c r="AA90" s="62"/>
    </row>
    <row r="91" ht="16.5" customHeight="1">
      <c r="A91" s="82"/>
      <c r="B91" s="63"/>
      <c r="C91" s="63"/>
      <c r="D91" s="63"/>
      <c r="E91" s="63"/>
      <c r="F91" s="62"/>
      <c r="G91" s="62"/>
      <c r="H91" s="63"/>
      <c r="I91" s="61"/>
      <c r="J91" s="63"/>
      <c r="K91" s="63"/>
      <c r="L91" s="62"/>
      <c r="M91" s="63"/>
      <c r="N91" s="62"/>
      <c r="O91" s="63"/>
      <c r="P91" s="62"/>
      <c r="Q91" s="63"/>
      <c r="R91" s="62"/>
      <c r="S91" s="63"/>
      <c r="T91" s="65"/>
      <c r="U91" s="65"/>
      <c r="V91" s="63"/>
      <c r="W91" s="63"/>
      <c r="X91" s="63"/>
      <c r="Y91" s="63"/>
      <c r="Z91" s="62"/>
      <c r="AA91" s="62"/>
    </row>
    <row r="92" ht="16.5" customHeight="1">
      <c r="A92" s="82"/>
      <c r="B92" s="63"/>
      <c r="C92" s="63"/>
      <c r="D92" s="63"/>
      <c r="E92" s="63"/>
      <c r="F92" s="62"/>
      <c r="G92" s="62"/>
      <c r="H92" s="63"/>
      <c r="I92" s="61"/>
      <c r="J92" s="63"/>
      <c r="K92" s="63"/>
      <c r="L92" s="62"/>
      <c r="M92" s="63"/>
      <c r="N92" s="62"/>
      <c r="O92" s="63"/>
      <c r="P92" s="62"/>
      <c r="Q92" s="63"/>
      <c r="R92" s="62"/>
      <c r="S92" s="63"/>
      <c r="T92" s="65"/>
      <c r="U92" s="65"/>
      <c r="V92" s="63"/>
      <c r="W92" s="63"/>
      <c r="X92" s="63"/>
      <c r="Y92" s="63"/>
      <c r="Z92" s="62"/>
      <c r="AA92" s="62"/>
    </row>
    <row r="93" ht="16.5" customHeight="1">
      <c r="A93" s="82"/>
      <c r="B93" s="63"/>
      <c r="C93" s="63"/>
      <c r="D93" s="63"/>
      <c r="E93" s="63"/>
      <c r="F93" s="62"/>
      <c r="G93" s="62"/>
      <c r="H93" s="63"/>
      <c r="I93" s="61"/>
      <c r="J93" s="63"/>
      <c r="K93" s="63"/>
      <c r="L93" s="62"/>
      <c r="M93" s="63"/>
      <c r="N93" s="62"/>
      <c r="O93" s="63"/>
      <c r="P93" s="62"/>
      <c r="Q93" s="63"/>
      <c r="R93" s="62"/>
      <c r="S93" s="63"/>
      <c r="T93" s="65"/>
      <c r="U93" s="65"/>
      <c r="V93" s="63"/>
      <c r="W93" s="63"/>
      <c r="X93" s="63"/>
      <c r="Y93" s="63"/>
      <c r="Z93" s="62"/>
      <c r="AA93" s="62"/>
    </row>
    <row r="94" ht="16.5" customHeight="1">
      <c r="A94" s="82"/>
      <c r="B94" s="63"/>
      <c r="C94" s="63"/>
      <c r="D94" s="63"/>
      <c r="E94" s="63"/>
      <c r="F94" s="62"/>
      <c r="G94" s="62"/>
      <c r="H94" s="63"/>
      <c r="I94" s="61"/>
      <c r="J94" s="63"/>
      <c r="K94" s="63"/>
      <c r="L94" s="62"/>
      <c r="M94" s="63"/>
      <c r="N94" s="62"/>
      <c r="O94" s="63"/>
      <c r="P94" s="62"/>
      <c r="Q94" s="63"/>
      <c r="R94" s="62"/>
      <c r="S94" s="63"/>
      <c r="T94" s="65"/>
      <c r="U94" s="65"/>
      <c r="V94" s="63"/>
      <c r="W94" s="63"/>
      <c r="X94" s="63"/>
      <c r="Y94" s="63"/>
      <c r="Z94" s="62"/>
      <c r="AA94" s="62"/>
    </row>
    <row r="95" ht="16.5" customHeight="1">
      <c r="A95" s="82"/>
      <c r="B95" s="63"/>
      <c r="C95" s="63"/>
      <c r="D95" s="63"/>
      <c r="E95" s="63"/>
      <c r="F95" s="62"/>
      <c r="G95" s="62"/>
      <c r="H95" s="63"/>
      <c r="I95" s="61"/>
      <c r="J95" s="63"/>
      <c r="K95" s="63"/>
      <c r="L95" s="62"/>
      <c r="M95" s="63"/>
      <c r="N95" s="62"/>
      <c r="O95" s="63"/>
      <c r="P95" s="62"/>
      <c r="Q95" s="63"/>
      <c r="R95" s="62"/>
      <c r="S95" s="63"/>
      <c r="T95" s="65"/>
      <c r="U95" s="65"/>
      <c r="V95" s="63"/>
      <c r="W95" s="63"/>
      <c r="X95" s="63"/>
      <c r="Y95" s="63"/>
      <c r="Z95" s="62"/>
      <c r="AA95" s="62"/>
    </row>
    <row r="96" ht="16.5" customHeight="1">
      <c r="A96" s="82"/>
      <c r="B96" s="63"/>
      <c r="C96" s="63"/>
      <c r="D96" s="63"/>
      <c r="E96" s="63"/>
      <c r="F96" s="62"/>
      <c r="G96" s="62"/>
      <c r="H96" s="63"/>
      <c r="I96" s="61"/>
      <c r="J96" s="63"/>
      <c r="K96" s="63"/>
      <c r="L96" s="62"/>
      <c r="M96" s="63"/>
      <c r="N96" s="62"/>
      <c r="O96" s="63"/>
      <c r="P96" s="62"/>
      <c r="Q96" s="63"/>
      <c r="R96" s="62"/>
      <c r="S96" s="63"/>
      <c r="T96" s="65"/>
      <c r="U96" s="65"/>
      <c r="V96" s="63"/>
      <c r="W96" s="63"/>
      <c r="X96" s="63"/>
      <c r="Y96" s="63"/>
      <c r="Z96" s="62"/>
      <c r="AA96" s="62"/>
    </row>
    <row r="97" ht="16.5" customHeight="1">
      <c r="A97" s="82"/>
      <c r="B97" s="63"/>
      <c r="C97" s="63"/>
      <c r="D97" s="63"/>
      <c r="E97" s="63"/>
      <c r="F97" s="62"/>
      <c r="G97" s="62"/>
      <c r="H97" s="63"/>
      <c r="I97" s="65"/>
      <c r="J97" s="63"/>
      <c r="K97" s="63"/>
      <c r="L97" s="63"/>
      <c r="M97" s="63"/>
      <c r="N97" s="63"/>
      <c r="O97" s="63"/>
      <c r="P97" s="63"/>
      <c r="Q97" s="63"/>
      <c r="R97" s="63"/>
      <c r="S97" s="63"/>
      <c r="T97" s="65"/>
      <c r="U97" s="65"/>
      <c r="V97" s="63"/>
      <c r="W97" s="63"/>
      <c r="X97" s="63"/>
      <c r="Y97" s="63"/>
      <c r="Z97" s="62"/>
      <c r="AA97" s="62"/>
    </row>
    <row r="98" ht="16.5" customHeight="1">
      <c r="A98" s="82"/>
      <c r="B98" s="63"/>
      <c r="C98" s="63"/>
      <c r="D98" s="63"/>
      <c r="E98" s="63"/>
      <c r="F98" s="62"/>
      <c r="G98" s="62"/>
      <c r="H98" s="63"/>
      <c r="I98" s="65"/>
      <c r="J98" s="63"/>
      <c r="K98" s="63"/>
      <c r="L98" s="63"/>
      <c r="M98" s="63"/>
      <c r="N98" s="63"/>
      <c r="O98" s="63"/>
      <c r="P98" s="63"/>
      <c r="Q98" s="63"/>
      <c r="R98" s="63"/>
      <c r="S98" s="63"/>
      <c r="T98" s="65"/>
      <c r="U98" s="65"/>
      <c r="V98" s="63"/>
      <c r="W98" s="63"/>
      <c r="X98" s="63"/>
      <c r="Y98" s="63"/>
      <c r="Z98" s="62"/>
      <c r="AA98" s="62"/>
    </row>
    <row r="99" ht="16.5" customHeight="1">
      <c r="A99" s="82"/>
      <c r="B99" s="63"/>
      <c r="C99" s="63"/>
      <c r="D99" s="63"/>
      <c r="E99" s="63"/>
      <c r="F99" s="62"/>
      <c r="G99" s="62"/>
      <c r="H99" s="63"/>
      <c r="I99" s="65"/>
      <c r="J99" s="63"/>
      <c r="K99" s="63"/>
      <c r="L99" s="63"/>
      <c r="M99" s="63"/>
      <c r="N99" s="63"/>
      <c r="O99" s="63"/>
      <c r="P99" s="63"/>
      <c r="Q99" s="63"/>
      <c r="R99" s="63"/>
      <c r="S99" s="63"/>
      <c r="T99" s="65"/>
      <c r="U99" s="65"/>
      <c r="V99" s="63"/>
      <c r="W99" s="63"/>
      <c r="X99" s="63"/>
      <c r="Y99" s="63"/>
      <c r="Z99" s="62"/>
      <c r="AA99" s="62"/>
    </row>
    <row r="100" ht="16.5" customHeight="1">
      <c r="A100" s="82"/>
      <c r="B100" s="63"/>
      <c r="C100" s="63"/>
      <c r="D100" s="63"/>
      <c r="E100" s="63"/>
      <c r="F100" s="62"/>
      <c r="G100" s="62"/>
      <c r="H100" s="63"/>
      <c r="I100" s="65"/>
      <c r="J100" s="63"/>
      <c r="K100" s="63"/>
      <c r="L100" s="63"/>
      <c r="M100" s="63"/>
      <c r="N100" s="63"/>
      <c r="O100" s="63"/>
      <c r="P100" s="63"/>
      <c r="Q100" s="63"/>
      <c r="R100" s="63"/>
      <c r="S100" s="63"/>
      <c r="T100" s="65"/>
      <c r="U100" s="65"/>
      <c r="V100" s="63"/>
      <c r="W100" s="63"/>
      <c r="X100" s="63"/>
      <c r="Y100" s="63"/>
      <c r="Z100" s="62"/>
      <c r="AA100" s="62"/>
    </row>
    <row r="101" ht="16.5" customHeight="1">
      <c r="A101" s="82"/>
      <c r="B101" s="63"/>
      <c r="C101" s="63"/>
      <c r="D101" s="63"/>
      <c r="E101" s="63"/>
      <c r="F101" s="62"/>
      <c r="G101" s="62"/>
      <c r="H101" s="63"/>
      <c r="I101" s="65"/>
      <c r="J101" s="63"/>
      <c r="K101" s="63"/>
      <c r="L101" s="63"/>
      <c r="M101" s="63"/>
      <c r="N101" s="63"/>
      <c r="O101" s="63"/>
      <c r="P101" s="63"/>
      <c r="Q101" s="63"/>
      <c r="R101" s="63"/>
      <c r="S101" s="63"/>
      <c r="T101" s="65"/>
      <c r="U101" s="65"/>
      <c r="V101" s="63"/>
      <c r="W101" s="63"/>
      <c r="X101" s="63"/>
      <c r="Y101" s="63"/>
      <c r="Z101" s="62"/>
      <c r="AA101" s="62"/>
    </row>
    <row r="102" ht="16.5" customHeight="1">
      <c r="A102" s="82"/>
      <c r="B102" s="63"/>
      <c r="C102" s="63"/>
      <c r="D102" s="63"/>
      <c r="E102" s="63"/>
      <c r="F102" s="62"/>
      <c r="G102" s="62"/>
      <c r="H102" s="63"/>
      <c r="I102" s="65"/>
      <c r="J102" s="63"/>
      <c r="K102" s="63"/>
      <c r="L102" s="63"/>
      <c r="M102" s="63"/>
      <c r="N102" s="63"/>
      <c r="O102" s="63"/>
      <c r="P102" s="63"/>
      <c r="Q102" s="63"/>
      <c r="R102" s="63"/>
      <c r="S102" s="63"/>
      <c r="T102" s="65"/>
      <c r="U102" s="65"/>
      <c r="V102" s="63"/>
      <c r="W102" s="63"/>
      <c r="X102" s="63"/>
      <c r="Y102" s="63"/>
      <c r="Z102" s="62"/>
      <c r="AA102" s="62"/>
    </row>
    <row r="103" ht="16.5" customHeight="1">
      <c r="A103" s="82"/>
      <c r="B103" s="63"/>
      <c r="C103" s="63"/>
      <c r="D103" s="63"/>
      <c r="E103" s="63"/>
      <c r="F103" s="62"/>
      <c r="G103" s="62"/>
      <c r="H103" s="63"/>
      <c r="I103" s="65"/>
      <c r="J103" s="63"/>
      <c r="K103" s="63"/>
      <c r="L103" s="63"/>
      <c r="M103" s="63"/>
      <c r="N103" s="63"/>
      <c r="O103" s="63"/>
      <c r="P103" s="63"/>
      <c r="Q103" s="63"/>
      <c r="R103" s="63"/>
      <c r="S103" s="63"/>
      <c r="T103" s="65"/>
      <c r="U103" s="65"/>
      <c r="V103" s="63"/>
      <c r="W103" s="63"/>
      <c r="X103" s="63"/>
      <c r="Y103" s="63"/>
      <c r="Z103" s="62"/>
      <c r="AA103" s="62"/>
    </row>
    <row r="104" ht="16.5" customHeight="1">
      <c r="A104" s="82"/>
      <c r="B104" s="63"/>
      <c r="C104" s="63"/>
      <c r="D104" s="63"/>
      <c r="E104" s="63"/>
      <c r="F104" s="62"/>
      <c r="G104" s="62"/>
      <c r="H104" s="63"/>
      <c r="I104" s="65"/>
      <c r="J104" s="63"/>
      <c r="K104" s="63"/>
      <c r="L104" s="63"/>
      <c r="M104" s="63"/>
      <c r="N104" s="63"/>
      <c r="O104" s="63"/>
      <c r="P104" s="63"/>
      <c r="Q104" s="63"/>
      <c r="R104" s="63"/>
      <c r="S104" s="63"/>
      <c r="T104" s="65"/>
      <c r="U104" s="65"/>
      <c r="V104" s="63"/>
      <c r="W104" s="63"/>
      <c r="X104" s="63"/>
      <c r="Y104" s="63"/>
      <c r="Z104" s="62"/>
      <c r="AA104" s="62"/>
    </row>
    <row r="105" ht="16.5" customHeight="1">
      <c r="A105" s="82"/>
      <c r="B105" s="63"/>
      <c r="C105" s="63"/>
      <c r="D105" s="63"/>
      <c r="E105" s="63"/>
      <c r="F105" s="62"/>
      <c r="G105" s="62"/>
      <c r="H105" s="63"/>
      <c r="I105" s="65"/>
      <c r="J105" s="63"/>
      <c r="K105" s="63"/>
      <c r="L105" s="63"/>
      <c r="M105" s="63"/>
      <c r="N105" s="63"/>
      <c r="O105" s="63"/>
      <c r="P105" s="63"/>
      <c r="Q105" s="63"/>
      <c r="R105" s="63"/>
      <c r="S105" s="63"/>
      <c r="T105" s="65"/>
      <c r="U105" s="65"/>
      <c r="V105" s="63"/>
      <c r="W105" s="63"/>
      <c r="X105" s="63"/>
      <c r="Y105" s="63"/>
      <c r="Z105" s="62"/>
      <c r="AA105" s="62"/>
    </row>
    <row r="106" ht="16.5" customHeight="1">
      <c r="A106" s="82"/>
      <c r="B106" s="63"/>
      <c r="C106" s="63"/>
      <c r="D106" s="63"/>
      <c r="E106" s="63"/>
      <c r="F106" s="62"/>
      <c r="G106" s="62"/>
      <c r="H106" s="63"/>
      <c r="I106" s="65"/>
      <c r="J106" s="63"/>
      <c r="K106" s="63"/>
      <c r="L106" s="63"/>
      <c r="M106" s="63"/>
      <c r="N106" s="63"/>
      <c r="O106" s="63"/>
      <c r="P106" s="63"/>
      <c r="Q106" s="63"/>
      <c r="R106" s="63"/>
      <c r="S106" s="63"/>
      <c r="T106" s="65"/>
      <c r="U106" s="65"/>
      <c r="V106" s="63"/>
      <c r="W106" s="63"/>
      <c r="X106" s="63"/>
      <c r="Y106" s="63"/>
      <c r="Z106" s="62"/>
      <c r="AA106" s="62"/>
    </row>
    <row r="107" ht="16.5" customHeight="1">
      <c r="A107" s="82"/>
      <c r="B107" s="63"/>
      <c r="C107" s="63"/>
      <c r="D107" s="63"/>
      <c r="E107" s="63"/>
      <c r="F107" s="62"/>
      <c r="G107" s="62"/>
      <c r="H107" s="63"/>
      <c r="I107" s="65"/>
      <c r="J107" s="63"/>
      <c r="K107" s="63"/>
      <c r="L107" s="63"/>
      <c r="M107" s="63"/>
      <c r="N107" s="63"/>
      <c r="O107" s="63"/>
      <c r="P107" s="63"/>
      <c r="Q107" s="63"/>
      <c r="R107" s="63"/>
      <c r="S107" s="63"/>
      <c r="T107" s="65"/>
      <c r="U107" s="65"/>
      <c r="V107" s="63"/>
      <c r="W107" s="63"/>
      <c r="X107" s="63"/>
      <c r="Y107" s="63"/>
      <c r="Z107" s="62"/>
      <c r="AA107" s="62"/>
    </row>
    <row r="108" ht="16.5" customHeight="1">
      <c r="A108" s="82"/>
      <c r="B108" s="63"/>
      <c r="C108" s="63"/>
      <c r="D108" s="63"/>
      <c r="E108" s="63"/>
      <c r="F108" s="62"/>
      <c r="G108" s="62"/>
      <c r="H108" s="63"/>
      <c r="I108" s="65"/>
      <c r="J108" s="63"/>
      <c r="K108" s="63"/>
      <c r="L108" s="63"/>
      <c r="M108" s="63"/>
      <c r="N108" s="63"/>
      <c r="O108" s="63"/>
      <c r="P108" s="63"/>
      <c r="Q108" s="63"/>
      <c r="R108" s="63"/>
      <c r="S108" s="63"/>
      <c r="T108" s="65"/>
      <c r="U108" s="65"/>
      <c r="V108" s="63"/>
      <c r="W108" s="63"/>
      <c r="X108" s="63"/>
      <c r="Y108" s="63"/>
      <c r="Z108" s="62"/>
      <c r="AA108" s="62"/>
    </row>
    <row r="109" ht="16.5" customHeight="1">
      <c r="A109" s="82"/>
      <c r="B109" s="63"/>
      <c r="C109" s="63"/>
      <c r="D109" s="63"/>
      <c r="E109" s="63"/>
      <c r="F109" s="62"/>
      <c r="G109" s="62"/>
      <c r="H109" s="63"/>
      <c r="I109" s="65"/>
      <c r="J109" s="63"/>
      <c r="K109" s="63"/>
      <c r="L109" s="63"/>
      <c r="M109" s="63"/>
      <c r="N109" s="63"/>
      <c r="O109" s="63"/>
      <c r="P109" s="63"/>
      <c r="Q109" s="63"/>
      <c r="R109" s="63"/>
      <c r="S109" s="63"/>
      <c r="T109" s="65"/>
      <c r="U109" s="65"/>
      <c r="V109" s="63"/>
      <c r="W109" s="63"/>
      <c r="X109" s="63"/>
      <c r="Y109" s="63"/>
      <c r="Z109" s="62"/>
      <c r="AA109" s="62"/>
    </row>
    <row r="110" ht="16.5" customHeight="1">
      <c r="A110" s="82"/>
      <c r="B110" s="63"/>
      <c r="C110" s="63"/>
      <c r="D110" s="63"/>
      <c r="E110" s="63"/>
      <c r="F110" s="62"/>
      <c r="G110" s="62"/>
      <c r="H110" s="63"/>
      <c r="I110" s="65"/>
      <c r="J110" s="63"/>
      <c r="K110" s="63"/>
      <c r="L110" s="63"/>
      <c r="M110" s="63"/>
      <c r="N110" s="63"/>
      <c r="O110" s="63"/>
      <c r="P110" s="63"/>
      <c r="Q110" s="63"/>
      <c r="R110" s="63"/>
      <c r="S110" s="63"/>
      <c r="T110" s="65"/>
      <c r="U110" s="65"/>
      <c r="V110" s="63"/>
      <c r="W110" s="63"/>
      <c r="X110" s="63"/>
      <c r="Y110" s="63"/>
      <c r="Z110" s="62"/>
      <c r="AA110" s="62"/>
    </row>
    <row r="111" ht="16.5" customHeight="1">
      <c r="A111" s="82"/>
      <c r="B111" s="63"/>
      <c r="C111" s="63"/>
      <c r="D111" s="63"/>
      <c r="E111" s="63"/>
      <c r="F111" s="62"/>
      <c r="G111" s="62"/>
      <c r="H111" s="63"/>
      <c r="I111" s="65"/>
      <c r="J111" s="63"/>
      <c r="K111" s="63"/>
      <c r="L111" s="63"/>
      <c r="M111" s="63"/>
      <c r="N111" s="63"/>
      <c r="O111" s="63"/>
      <c r="P111" s="63"/>
      <c r="Q111" s="63"/>
      <c r="R111" s="63"/>
      <c r="S111" s="63"/>
      <c r="T111" s="65"/>
      <c r="U111" s="65"/>
      <c r="V111" s="63"/>
      <c r="W111" s="63"/>
      <c r="X111" s="63"/>
      <c r="Y111" s="63"/>
      <c r="Z111" s="62"/>
      <c r="AA111" s="62"/>
    </row>
    <row r="112" ht="16.5" customHeight="1">
      <c r="A112" s="82"/>
      <c r="B112" s="63"/>
      <c r="C112" s="63"/>
      <c r="D112" s="63"/>
      <c r="E112" s="63"/>
      <c r="F112" s="62"/>
      <c r="G112" s="62"/>
      <c r="H112" s="63"/>
      <c r="I112" s="65"/>
      <c r="J112" s="63"/>
      <c r="K112" s="63"/>
      <c r="L112" s="63"/>
      <c r="M112" s="63"/>
      <c r="N112" s="63"/>
      <c r="O112" s="63"/>
      <c r="P112" s="63"/>
      <c r="Q112" s="63"/>
      <c r="R112" s="63"/>
      <c r="S112" s="63"/>
      <c r="T112" s="65"/>
      <c r="U112" s="65"/>
      <c r="V112" s="63"/>
      <c r="W112" s="63"/>
      <c r="X112" s="63"/>
      <c r="Y112" s="63"/>
      <c r="Z112" s="62"/>
      <c r="AA112" s="62"/>
    </row>
    <row r="113" ht="16.5" customHeight="1">
      <c r="A113" s="82"/>
      <c r="B113" s="63"/>
      <c r="C113" s="63"/>
      <c r="D113" s="63"/>
      <c r="E113" s="63"/>
      <c r="F113" s="62"/>
      <c r="G113" s="62"/>
      <c r="H113" s="63"/>
      <c r="I113" s="65"/>
      <c r="J113" s="63"/>
      <c r="K113" s="63"/>
      <c r="L113" s="63"/>
      <c r="M113" s="63"/>
      <c r="N113" s="63"/>
      <c r="O113" s="63"/>
      <c r="P113" s="63"/>
      <c r="Q113" s="63"/>
      <c r="R113" s="63"/>
      <c r="S113" s="63"/>
      <c r="T113" s="65"/>
      <c r="U113" s="65"/>
      <c r="V113" s="63"/>
      <c r="W113" s="63"/>
      <c r="X113" s="63"/>
      <c r="Y113" s="63"/>
      <c r="Z113" s="62"/>
      <c r="AA113" s="62"/>
    </row>
    <row r="114" ht="16.5" customHeight="1">
      <c r="A114" s="82"/>
      <c r="B114" s="63"/>
      <c r="C114" s="63"/>
      <c r="D114" s="63"/>
      <c r="E114" s="63"/>
      <c r="F114" s="62"/>
      <c r="G114" s="62"/>
      <c r="H114" s="63"/>
      <c r="I114" s="65"/>
      <c r="J114" s="63"/>
      <c r="K114" s="63"/>
      <c r="L114" s="63"/>
      <c r="M114" s="63"/>
      <c r="N114" s="63"/>
      <c r="O114" s="63"/>
      <c r="P114" s="63"/>
      <c r="Q114" s="63"/>
      <c r="R114" s="63"/>
      <c r="S114" s="63"/>
      <c r="T114" s="65"/>
      <c r="U114" s="65"/>
      <c r="V114" s="63"/>
      <c r="W114" s="63"/>
      <c r="X114" s="63"/>
      <c r="Y114" s="63"/>
      <c r="Z114" s="62"/>
      <c r="AA114" s="62"/>
    </row>
    <row r="115" ht="16.5" customHeight="1">
      <c r="A115" s="82"/>
      <c r="B115" s="63"/>
      <c r="C115" s="63"/>
      <c r="D115" s="63"/>
      <c r="E115" s="63"/>
      <c r="F115" s="62"/>
      <c r="G115" s="62"/>
      <c r="H115" s="63"/>
      <c r="I115" s="65"/>
      <c r="J115" s="63"/>
      <c r="K115" s="63"/>
      <c r="L115" s="63"/>
      <c r="M115" s="63"/>
      <c r="N115" s="63"/>
      <c r="O115" s="63"/>
      <c r="P115" s="63"/>
      <c r="Q115" s="63"/>
      <c r="R115" s="63"/>
      <c r="S115" s="63"/>
      <c r="T115" s="65"/>
      <c r="U115" s="65"/>
      <c r="V115" s="63"/>
      <c r="W115" s="63"/>
      <c r="X115" s="63"/>
      <c r="Y115" s="63"/>
      <c r="Z115" s="62"/>
      <c r="AA115" s="62"/>
    </row>
    <row r="116" ht="16.5" customHeight="1">
      <c r="A116" s="82"/>
      <c r="B116" s="63"/>
      <c r="C116" s="63"/>
      <c r="D116" s="63"/>
      <c r="E116" s="63"/>
      <c r="F116" s="62"/>
      <c r="G116" s="62"/>
      <c r="H116" s="63"/>
      <c r="I116" s="65"/>
      <c r="J116" s="63"/>
      <c r="K116" s="63"/>
      <c r="L116" s="63"/>
      <c r="M116" s="63"/>
      <c r="N116" s="63"/>
      <c r="O116" s="63"/>
      <c r="P116" s="63"/>
      <c r="Q116" s="63"/>
      <c r="R116" s="63"/>
      <c r="S116" s="63"/>
      <c r="T116" s="65"/>
      <c r="U116" s="65"/>
      <c r="V116" s="63"/>
      <c r="W116" s="63"/>
      <c r="X116" s="63"/>
      <c r="Y116" s="63"/>
      <c r="Z116" s="62"/>
      <c r="AA116" s="62"/>
    </row>
    <row r="117" ht="16.5" customHeight="1">
      <c r="A117" s="82"/>
      <c r="B117" s="63"/>
      <c r="C117" s="63"/>
      <c r="D117" s="63"/>
      <c r="E117" s="63"/>
      <c r="F117" s="63"/>
      <c r="G117" s="63"/>
      <c r="H117" s="63"/>
      <c r="I117" s="65"/>
      <c r="J117" s="63"/>
      <c r="K117" s="63"/>
      <c r="L117" s="63"/>
      <c r="M117" s="63"/>
      <c r="N117" s="63"/>
      <c r="O117" s="63"/>
      <c r="P117" s="63"/>
      <c r="Q117" s="63"/>
      <c r="R117" s="63"/>
      <c r="S117" s="63"/>
      <c r="T117" s="65"/>
      <c r="U117" s="65"/>
      <c r="V117" s="63"/>
      <c r="W117" s="63"/>
      <c r="X117" s="63"/>
      <c r="Y117" s="63"/>
      <c r="Z117" s="62"/>
      <c r="AA117" s="62"/>
    </row>
    <row r="118" ht="16.5" customHeight="1">
      <c r="A118" s="82"/>
      <c r="B118" s="63"/>
      <c r="C118" s="63"/>
      <c r="D118" s="63"/>
      <c r="E118" s="63"/>
      <c r="F118" s="63"/>
      <c r="G118" s="63"/>
      <c r="H118" s="63"/>
      <c r="I118" s="65"/>
      <c r="J118" s="63"/>
      <c r="K118" s="63"/>
      <c r="L118" s="63"/>
      <c r="M118" s="63"/>
      <c r="N118" s="63"/>
      <c r="O118" s="63"/>
      <c r="P118" s="63"/>
      <c r="Q118" s="63"/>
      <c r="R118" s="63"/>
      <c r="S118" s="63"/>
      <c r="T118" s="65"/>
      <c r="U118" s="65"/>
      <c r="V118" s="63"/>
      <c r="W118" s="63"/>
      <c r="X118" s="63"/>
      <c r="Y118" s="63"/>
      <c r="Z118" s="62"/>
      <c r="AA118" s="62"/>
    </row>
    <row r="119" ht="16.5" customHeight="1">
      <c r="A119" s="82"/>
      <c r="B119" s="63"/>
      <c r="C119" s="63"/>
      <c r="D119" s="63"/>
      <c r="E119" s="63"/>
      <c r="F119" s="63"/>
      <c r="G119" s="63"/>
      <c r="H119" s="63"/>
      <c r="I119" s="65"/>
      <c r="J119" s="63"/>
      <c r="K119" s="63"/>
      <c r="L119" s="63"/>
      <c r="M119" s="63"/>
      <c r="N119" s="63"/>
      <c r="O119" s="63"/>
      <c r="P119" s="63"/>
      <c r="Q119" s="63"/>
      <c r="R119" s="63"/>
      <c r="S119" s="63"/>
      <c r="T119" s="65"/>
      <c r="U119" s="65"/>
      <c r="V119" s="63"/>
      <c r="W119" s="63"/>
      <c r="X119" s="63"/>
      <c r="Y119" s="63"/>
      <c r="Z119" s="62"/>
      <c r="AA119" s="62"/>
    </row>
    <row r="120" ht="16.5" customHeight="1">
      <c r="A120" s="82"/>
      <c r="B120" s="63"/>
      <c r="C120" s="63"/>
      <c r="D120" s="63"/>
      <c r="E120" s="63"/>
      <c r="F120" s="63"/>
      <c r="G120" s="63"/>
      <c r="H120" s="63"/>
      <c r="I120" s="65"/>
      <c r="J120" s="63"/>
      <c r="K120" s="63"/>
      <c r="L120" s="63"/>
      <c r="M120" s="63"/>
      <c r="N120" s="63"/>
      <c r="O120" s="63"/>
      <c r="P120" s="63"/>
      <c r="Q120" s="63"/>
      <c r="R120" s="63"/>
      <c r="S120" s="63"/>
      <c r="T120" s="65"/>
      <c r="U120" s="65"/>
      <c r="V120" s="63"/>
      <c r="W120" s="63"/>
      <c r="X120" s="63"/>
      <c r="Y120" s="63"/>
      <c r="Z120" s="62"/>
      <c r="AA120" s="62"/>
    </row>
    <row r="121" ht="16.5" customHeight="1">
      <c r="A121" s="82"/>
      <c r="B121" s="63"/>
      <c r="C121" s="63"/>
      <c r="D121" s="63"/>
      <c r="E121" s="63"/>
      <c r="F121" s="63"/>
      <c r="G121" s="63"/>
      <c r="H121" s="63"/>
      <c r="I121" s="65"/>
      <c r="J121" s="63"/>
      <c r="K121" s="63"/>
      <c r="L121" s="63"/>
      <c r="M121" s="63"/>
      <c r="N121" s="63"/>
      <c r="O121" s="63"/>
      <c r="P121" s="63"/>
      <c r="Q121" s="63"/>
      <c r="R121" s="63"/>
      <c r="S121" s="63"/>
      <c r="T121" s="65"/>
      <c r="U121" s="65"/>
      <c r="V121" s="63"/>
      <c r="W121" s="63"/>
      <c r="X121" s="63"/>
      <c r="Y121" s="63"/>
      <c r="Z121" s="62"/>
      <c r="AA121" s="62"/>
    </row>
    <row r="122" ht="16.5" customHeight="1">
      <c r="A122" s="82"/>
      <c r="B122" s="63"/>
      <c r="C122" s="63"/>
      <c r="D122" s="63"/>
      <c r="E122" s="63"/>
      <c r="F122" s="63"/>
      <c r="G122" s="63"/>
      <c r="H122" s="63"/>
      <c r="I122" s="65"/>
      <c r="J122" s="63"/>
      <c r="K122" s="63"/>
      <c r="L122" s="63"/>
      <c r="M122" s="63"/>
      <c r="N122" s="63"/>
      <c r="O122" s="63"/>
      <c r="P122" s="63"/>
      <c r="Q122" s="63"/>
      <c r="R122" s="63"/>
      <c r="S122" s="63"/>
      <c r="T122" s="65"/>
      <c r="U122" s="65"/>
      <c r="V122" s="63"/>
      <c r="W122" s="63"/>
      <c r="X122" s="63"/>
      <c r="Y122" s="63"/>
      <c r="Z122" s="62"/>
      <c r="AA122" s="62"/>
    </row>
    <row r="123" ht="16.5" customHeight="1">
      <c r="A123" s="82"/>
      <c r="B123" s="63"/>
      <c r="C123" s="63"/>
      <c r="D123" s="63"/>
      <c r="E123" s="63"/>
      <c r="F123" s="63"/>
      <c r="G123" s="63"/>
      <c r="H123" s="63"/>
      <c r="I123" s="65"/>
      <c r="J123" s="63"/>
      <c r="K123" s="63"/>
      <c r="L123" s="63"/>
      <c r="M123" s="63"/>
      <c r="N123" s="63"/>
      <c r="O123" s="63"/>
      <c r="P123" s="63"/>
      <c r="Q123" s="63"/>
      <c r="R123" s="63"/>
      <c r="S123" s="63"/>
      <c r="T123" s="65"/>
      <c r="U123" s="65"/>
      <c r="V123" s="63"/>
      <c r="W123" s="63"/>
      <c r="X123" s="63"/>
      <c r="Y123" s="63"/>
      <c r="Z123" s="62"/>
      <c r="AA123" s="62"/>
    </row>
    <row r="124" ht="16.5" customHeight="1">
      <c r="A124" s="82"/>
      <c r="B124" s="63"/>
      <c r="C124" s="63"/>
      <c r="D124" s="63"/>
      <c r="E124" s="63"/>
      <c r="F124" s="63"/>
      <c r="G124" s="63"/>
      <c r="H124" s="63"/>
      <c r="I124" s="65"/>
      <c r="J124" s="63"/>
      <c r="K124" s="63"/>
      <c r="L124" s="63"/>
      <c r="M124" s="63"/>
      <c r="N124" s="63"/>
      <c r="O124" s="63"/>
      <c r="P124" s="63"/>
      <c r="Q124" s="63"/>
      <c r="R124" s="63"/>
      <c r="S124" s="63"/>
      <c r="T124" s="65"/>
      <c r="U124" s="65"/>
      <c r="V124" s="63"/>
      <c r="W124" s="63"/>
      <c r="X124" s="63"/>
      <c r="Y124" s="63"/>
      <c r="Z124" s="62"/>
      <c r="AA124" s="62"/>
    </row>
    <row r="125" ht="16.5" customHeight="1">
      <c r="A125" s="82"/>
      <c r="B125" s="63"/>
      <c r="C125" s="63"/>
      <c r="D125" s="63"/>
      <c r="E125" s="63"/>
      <c r="F125" s="63"/>
      <c r="G125" s="63"/>
      <c r="H125" s="63"/>
      <c r="I125" s="65"/>
      <c r="J125" s="63"/>
      <c r="K125" s="63"/>
      <c r="L125" s="63"/>
      <c r="M125" s="63"/>
      <c r="N125" s="63"/>
      <c r="O125" s="63"/>
      <c r="P125" s="63"/>
      <c r="Q125" s="63"/>
      <c r="R125" s="63"/>
      <c r="S125" s="63"/>
      <c r="T125" s="65"/>
      <c r="U125" s="65"/>
      <c r="V125" s="63"/>
      <c r="W125" s="63"/>
      <c r="X125" s="63"/>
      <c r="Y125" s="63"/>
      <c r="Z125" s="62"/>
      <c r="AA125" s="62"/>
    </row>
    <row r="126" ht="16.5" customHeight="1">
      <c r="A126" s="82"/>
      <c r="B126" s="63"/>
      <c r="C126" s="63"/>
      <c r="D126" s="63"/>
      <c r="E126" s="63"/>
      <c r="F126" s="63"/>
      <c r="G126" s="63"/>
      <c r="H126" s="63"/>
      <c r="I126" s="65"/>
      <c r="J126" s="63"/>
      <c r="K126" s="63"/>
      <c r="L126" s="63"/>
      <c r="M126" s="63"/>
      <c r="N126" s="63"/>
      <c r="O126" s="63"/>
      <c r="P126" s="63"/>
      <c r="Q126" s="63"/>
      <c r="R126" s="63"/>
      <c r="S126" s="63"/>
      <c r="T126" s="65"/>
      <c r="U126" s="65"/>
      <c r="V126" s="63"/>
      <c r="W126" s="63"/>
      <c r="X126" s="63"/>
      <c r="Y126" s="63"/>
      <c r="Z126" s="62"/>
      <c r="AA126" s="62"/>
    </row>
    <row r="127" ht="16.5" customHeight="1">
      <c r="A127" s="82"/>
      <c r="B127" s="63"/>
      <c r="C127" s="63"/>
      <c r="D127" s="63"/>
      <c r="E127" s="63"/>
      <c r="F127" s="63"/>
      <c r="G127" s="63"/>
      <c r="H127" s="63"/>
      <c r="I127" s="65"/>
      <c r="J127" s="63"/>
      <c r="K127" s="63"/>
      <c r="L127" s="63"/>
      <c r="M127" s="63"/>
      <c r="N127" s="63"/>
      <c r="O127" s="63"/>
      <c r="P127" s="63"/>
      <c r="Q127" s="63"/>
      <c r="R127" s="63"/>
      <c r="S127" s="63"/>
      <c r="T127" s="65"/>
      <c r="U127" s="65"/>
      <c r="V127" s="63"/>
      <c r="W127" s="63"/>
      <c r="X127" s="63"/>
      <c r="Y127" s="63"/>
      <c r="Z127" s="62"/>
      <c r="AA127" s="62"/>
    </row>
    <row r="128" ht="16.5" customHeight="1">
      <c r="A128" s="82"/>
      <c r="B128" s="63"/>
      <c r="C128" s="63"/>
      <c r="D128" s="63"/>
      <c r="E128" s="63"/>
      <c r="F128" s="63"/>
      <c r="G128" s="63"/>
      <c r="H128" s="63"/>
      <c r="I128" s="65"/>
      <c r="J128" s="63"/>
      <c r="K128" s="63"/>
      <c r="L128" s="63"/>
      <c r="M128" s="63"/>
      <c r="N128" s="63"/>
      <c r="O128" s="63"/>
      <c r="P128" s="63"/>
      <c r="Q128" s="63"/>
      <c r="R128" s="63"/>
      <c r="S128" s="63"/>
      <c r="T128" s="65"/>
      <c r="U128" s="65"/>
      <c r="V128" s="63"/>
      <c r="W128" s="63"/>
      <c r="X128" s="63"/>
      <c r="Y128" s="63"/>
      <c r="Z128" s="62"/>
      <c r="AA128" s="62"/>
    </row>
    <row r="129" ht="16.5" customHeight="1">
      <c r="A129" s="82"/>
      <c r="B129" s="63"/>
      <c r="C129" s="63"/>
      <c r="D129" s="63"/>
      <c r="E129" s="63"/>
      <c r="F129" s="63"/>
      <c r="G129" s="63"/>
      <c r="H129" s="63"/>
      <c r="I129" s="65"/>
      <c r="J129" s="63"/>
      <c r="K129" s="63"/>
      <c r="L129" s="63"/>
      <c r="M129" s="63"/>
      <c r="N129" s="63"/>
      <c r="O129" s="63"/>
      <c r="P129" s="63"/>
      <c r="Q129" s="63"/>
      <c r="R129" s="63"/>
      <c r="S129" s="63"/>
      <c r="T129" s="65"/>
      <c r="U129" s="65"/>
      <c r="V129" s="63"/>
      <c r="W129" s="63"/>
      <c r="X129" s="63"/>
      <c r="Y129" s="63"/>
      <c r="Z129" s="62"/>
      <c r="AA129" s="62"/>
    </row>
    <row r="130" ht="16.5" customHeight="1">
      <c r="A130" s="82"/>
      <c r="B130" s="63"/>
      <c r="C130" s="63"/>
      <c r="D130" s="63"/>
      <c r="E130" s="63"/>
      <c r="F130" s="63"/>
      <c r="G130" s="63"/>
      <c r="H130" s="63"/>
      <c r="I130" s="65"/>
      <c r="J130" s="63"/>
      <c r="K130" s="63"/>
      <c r="L130" s="63"/>
      <c r="M130" s="63"/>
      <c r="N130" s="63"/>
      <c r="O130" s="63"/>
      <c r="P130" s="63"/>
      <c r="Q130" s="63"/>
      <c r="R130" s="63"/>
      <c r="S130" s="63"/>
      <c r="T130" s="65"/>
      <c r="U130" s="65"/>
      <c r="V130" s="63"/>
      <c r="W130" s="63"/>
      <c r="X130" s="63"/>
      <c r="Y130" s="63"/>
      <c r="Z130" s="62"/>
      <c r="AA130" s="62"/>
    </row>
    <row r="131" ht="16.5" customHeight="1">
      <c r="A131" s="82"/>
      <c r="B131" s="63"/>
      <c r="C131" s="63"/>
      <c r="D131" s="63"/>
      <c r="E131" s="63"/>
      <c r="F131" s="63"/>
      <c r="G131" s="63"/>
      <c r="H131" s="63"/>
      <c r="I131" s="65"/>
      <c r="J131" s="63"/>
      <c r="K131" s="63"/>
      <c r="L131" s="63"/>
      <c r="M131" s="63"/>
      <c r="N131" s="63"/>
      <c r="O131" s="63"/>
      <c r="P131" s="63"/>
      <c r="Q131" s="63"/>
      <c r="R131" s="63"/>
      <c r="S131" s="63"/>
      <c r="T131" s="65"/>
      <c r="U131" s="65"/>
      <c r="V131" s="63"/>
      <c r="W131" s="63"/>
      <c r="X131" s="63"/>
      <c r="Y131" s="63"/>
      <c r="Z131" s="62"/>
      <c r="AA131" s="62"/>
    </row>
    <row r="132" ht="16.5" customHeight="1">
      <c r="A132" s="82"/>
      <c r="B132" s="63"/>
      <c r="C132" s="63"/>
      <c r="D132" s="63"/>
      <c r="E132" s="63"/>
      <c r="F132" s="63"/>
      <c r="G132" s="63"/>
      <c r="H132" s="63"/>
      <c r="I132" s="65"/>
      <c r="J132" s="63"/>
      <c r="K132" s="63"/>
      <c r="L132" s="63"/>
      <c r="M132" s="63"/>
      <c r="N132" s="63"/>
      <c r="O132" s="63"/>
      <c r="P132" s="63"/>
      <c r="Q132" s="63"/>
      <c r="R132" s="63"/>
      <c r="S132" s="63"/>
      <c r="T132" s="65"/>
      <c r="U132" s="65"/>
      <c r="V132" s="63"/>
      <c r="W132" s="63"/>
      <c r="X132" s="63"/>
      <c r="Y132" s="63"/>
      <c r="Z132" s="62"/>
      <c r="AA132" s="62"/>
    </row>
    <row r="133" ht="16.5" customHeight="1">
      <c r="A133" s="82"/>
      <c r="B133" s="63"/>
      <c r="C133" s="63"/>
      <c r="D133" s="63"/>
      <c r="E133" s="63"/>
      <c r="F133" s="63"/>
      <c r="G133" s="63"/>
      <c r="H133" s="63"/>
      <c r="I133" s="65"/>
      <c r="J133" s="63"/>
      <c r="K133" s="63"/>
      <c r="L133" s="63"/>
      <c r="M133" s="63"/>
      <c r="N133" s="63"/>
      <c r="O133" s="63"/>
      <c r="P133" s="63"/>
      <c r="Q133" s="63"/>
      <c r="R133" s="63"/>
      <c r="S133" s="63"/>
      <c r="T133" s="65"/>
      <c r="U133" s="65"/>
      <c r="V133" s="63"/>
      <c r="W133" s="63"/>
      <c r="X133" s="63"/>
      <c r="Y133" s="63"/>
      <c r="Z133" s="62"/>
      <c r="AA133" s="62"/>
    </row>
    <row r="134" ht="16.5" customHeight="1">
      <c r="A134" s="82"/>
      <c r="B134" s="63"/>
      <c r="C134" s="63"/>
      <c r="D134" s="63"/>
      <c r="E134" s="63"/>
      <c r="F134" s="63"/>
      <c r="G134" s="63"/>
      <c r="H134" s="63"/>
      <c r="I134" s="65"/>
      <c r="J134" s="63"/>
      <c r="K134" s="63"/>
      <c r="L134" s="63"/>
      <c r="M134" s="63"/>
      <c r="N134" s="63"/>
      <c r="O134" s="63"/>
      <c r="P134" s="63"/>
      <c r="Q134" s="63"/>
      <c r="R134" s="63"/>
      <c r="S134" s="63"/>
      <c r="T134" s="65"/>
      <c r="U134" s="65"/>
      <c r="V134" s="63"/>
      <c r="W134" s="63"/>
      <c r="X134" s="63"/>
      <c r="Y134" s="63"/>
      <c r="Z134" s="62"/>
      <c r="AA134" s="62"/>
    </row>
    <row r="135" ht="16.5" customHeight="1">
      <c r="A135" s="82"/>
      <c r="B135" s="63"/>
      <c r="C135" s="63"/>
      <c r="D135" s="63"/>
      <c r="E135" s="63"/>
      <c r="F135" s="63"/>
      <c r="G135" s="63"/>
      <c r="H135" s="63"/>
      <c r="I135" s="65"/>
      <c r="J135" s="63"/>
      <c r="K135" s="63"/>
      <c r="L135" s="63"/>
      <c r="M135" s="63"/>
      <c r="N135" s="63"/>
      <c r="O135" s="63"/>
      <c r="P135" s="63"/>
      <c r="Q135" s="63"/>
      <c r="R135" s="63"/>
      <c r="S135" s="63"/>
      <c r="T135" s="65"/>
      <c r="U135" s="65"/>
      <c r="V135" s="63"/>
      <c r="W135" s="63"/>
      <c r="X135" s="63"/>
      <c r="Y135" s="63"/>
      <c r="Z135" s="62"/>
      <c r="AA135" s="62"/>
    </row>
    <row r="136" ht="16.5" customHeight="1">
      <c r="A136" s="82"/>
      <c r="B136" s="63"/>
      <c r="C136" s="63"/>
      <c r="D136" s="63"/>
      <c r="E136" s="63"/>
      <c r="F136" s="63"/>
      <c r="G136" s="63"/>
      <c r="H136" s="63"/>
      <c r="I136" s="65"/>
      <c r="J136" s="63"/>
      <c r="K136" s="63"/>
      <c r="L136" s="63"/>
      <c r="M136" s="63"/>
      <c r="N136" s="63"/>
      <c r="O136" s="63"/>
      <c r="P136" s="63"/>
      <c r="Q136" s="63"/>
      <c r="R136" s="63"/>
      <c r="S136" s="63"/>
      <c r="T136" s="65"/>
      <c r="U136" s="65"/>
      <c r="V136" s="63"/>
      <c r="W136" s="63"/>
      <c r="X136" s="63"/>
      <c r="Y136" s="63"/>
      <c r="Z136" s="62"/>
      <c r="AA136" s="62"/>
    </row>
    <row r="137" ht="16.5" customHeight="1">
      <c r="A137" s="82"/>
      <c r="B137" s="63"/>
      <c r="C137" s="63"/>
      <c r="D137" s="63"/>
      <c r="E137" s="63"/>
      <c r="F137" s="63"/>
      <c r="G137" s="63"/>
      <c r="H137" s="63"/>
      <c r="I137" s="65"/>
      <c r="J137" s="63"/>
      <c r="K137" s="63"/>
      <c r="L137" s="63"/>
      <c r="M137" s="63"/>
      <c r="N137" s="63"/>
      <c r="O137" s="63"/>
      <c r="P137" s="63"/>
      <c r="Q137" s="63"/>
      <c r="R137" s="63"/>
      <c r="S137" s="63"/>
      <c r="T137" s="65"/>
      <c r="U137" s="65"/>
      <c r="V137" s="63"/>
      <c r="W137" s="63"/>
      <c r="X137" s="63"/>
      <c r="Y137" s="63"/>
      <c r="Z137" s="62"/>
      <c r="AA137" s="62"/>
    </row>
    <row r="138" ht="16.5" customHeight="1">
      <c r="A138" s="82"/>
      <c r="B138" s="63"/>
      <c r="C138" s="63"/>
      <c r="D138" s="63"/>
      <c r="E138" s="63"/>
      <c r="F138" s="63"/>
      <c r="G138" s="63"/>
      <c r="H138" s="63"/>
      <c r="I138" s="65"/>
      <c r="J138" s="63"/>
      <c r="K138" s="63"/>
      <c r="L138" s="63"/>
      <c r="M138" s="63"/>
      <c r="N138" s="63"/>
      <c r="O138" s="63"/>
      <c r="P138" s="63"/>
      <c r="Q138" s="63"/>
      <c r="R138" s="63"/>
      <c r="S138" s="63"/>
      <c r="T138" s="65"/>
      <c r="U138" s="65"/>
      <c r="V138" s="63"/>
      <c r="W138" s="63"/>
      <c r="X138" s="63"/>
      <c r="Y138" s="63"/>
      <c r="Z138" s="62"/>
      <c r="AA138" s="62"/>
    </row>
    <row r="139" ht="16.5" customHeight="1">
      <c r="A139" s="82"/>
      <c r="B139" s="63"/>
      <c r="C139" s="63"/>
      <c r="D139" s="63"/>
      <c r="E139" s="63"/>
      <c r="F139" s="63"/>
      <c r="G139" s="63"/>
      <c r="H139" s="63"/>
      <c r="I139" s="65"/>
      <c r="J139" s="63"/>
      <c r="K139" s="63"/>
      <c r="L139" s="63"/>
      <c r="M139" s="63"/>
      <c r="N139" s="63"/>
      <c r="O139" s="63"/>
      <c r="P139" s="63"/>
      <c r="Q139" s="63"/>
      <c r="R139" s="63"/>
      <c r="S139" s="63"/>
      <c r="T139" s="65"/>
      <c r="U139" s="65"/>
      <c r="V139" s="63"/>
      <c r="W139" s="63"/>
      <c r="X139" s="63"/>
      <c r="Y139" s="63"/>
      <c r="Z139" s="62"/>
      <c r="AA139" s="62"/>
    </row>
    <row r="140" ht="16.5" customHeight="1">
      <c r="A140" s="82"/>
      <c r="B140" s="63"/>
      <c r="C140" s="63"/>
      <c r="D140" s="63"/>
      <c r="E140" s="63"/>
      <c r="F140" s="63"/>
      <c r="G140" s="63"/>
      <c r="H140" s="63"/>
      <c r="I140" s="65"/>
      <c r="J140" s="63"/>
      <c r="K140" s="63"/>
      <c r="L140" s="63"/>
      <c r="M140" s="63"/>
      <c r="N140" s="63"/>
      <c r="O140" s="63"/>
      <c r="P140" s="63"/>
      <c r="Q140" s="63"/>
      <c r="R140" s="63"/>
      <c r="S140" s="63"/>
      <c r="T140" s="65"/>
      <c r="U140" s="65"/>
      <c r="V140" s="63"/>
      <c r="W140" s="63"/>
      <c r="X140" s="63"/>
      <c r="Y140" s="63"/>
      <c r="Z140" s="62"/>
      <c r="AA140" s="62"/>
    </row>
    <row r="141" ht="16.5" customHeight="1">
      <c r="A141" s="82"/>
      <c r="B141" s="63"/>
      <c r="C141" s="63"/>
      <c r="D141" s="63"/>
      <c r="E141" s="63"/>
      <c r="F141" s="63"/>
      <c r="G141" s="63"/>
      <c r="H141" s="63"/>
      <c r="I141" s="65"/>
      <c r="J141" s="63"/>
      <c r="K141" s="63"/>
      <c r="L141" s="63"/>
      <c r="M141" s="63"/>
      <c r="N141" s="63"/>
      <c r="O141" s="63"/>
      <c r="P141" s="63"/>
      <c r="Q141" s="63"/>
      <c r="R141" s="63"/>
      <c r="S141" s="63"/>
      <c r="T141" s="65"/>
      <c r="U141" s="65"/>
      <c r="V141" s="63"/>
      <c r="W141" s="63"/>
      <c r="X141" s="63"/>
      <c r="Y141" s="63"/>
      <c r="Z141" s="62"/>
      <c r="AA141" s="62"/>
    </row>
    <row r="142" ht="16.5" customHeight="1">
      <c r="A142" s="82"/>
      <c r="B142" s="63"/>
      <c r="C142" s="63"/>
      <c r="D142" s="63"/>
      <c r="E142" s="63"/>
      <c r="F142" s="63"/>
      <c r="G142" s="63"/>
      <c r="H142" s="63"/>
      <c r="I142" s="65"/>
      <c r="J142" s="63"/>
      <c r="K142" s="63"/>
      <c r="L142" s="63"/>
      <c r="M142" s="63"/>
      <c r="N142" s="63"/>
      <c r="O142" s="63"/>
      <c r="P142" s="63"/>
      <c r="Q142" s="63"/>
      <c r="R142" s="63"/>
      <c r="S142" s="63"/>
      <c r="T142" s="65"/>
      <c r="U142" s="65"/>
      <c r="V142" s="63"/>
      <c r="W142" s="63"/>
      <c r="X142" s="63"/>
      <c r="Y142" s="63"/>
      <c r="Z142" s="62"/>
      <c r="AA142" s="62"/>
    </row>
    <row r="143" ht="16.5" customHeight="1">
      <c r="A143" s="82"/>
      <c r="B143" s="63"/>
      <c r="C143" s="63"/>
      <c r="D143" s="63"/>
      <c r="E143" s="63"/>
      <c r="F143" s="63"/>
      <c r="G143" s="63"/>
      <c r="H143" s="63"/>
      <c r="I143" s="65"/>
      <c r="J143" s="63"/>
      <c r="K143" s="63"/>
      <c r="L143" s="63"/>
      <c r="M143" s="63"/>
      <c r="N143" s="63"/>
      <c r="O143" s="63"/>
      <c r="P143" s="63"/>
      <c r="Q143" s="63"/>
      <c r="R143" s="63"/>
      <c r="S143" s="63"/>
      <c r="T143" s="65"/>
      <c r="U143" s="65"/>
      <c r="V143" s="63"/>
      <c r="W143" s="63"/>
      <c r="X143" s="63"/>
      <c r="Y143" s="63"/>
      <c r="Z143" s="62"/>
      <c r="AA143" s="62"/>
    </row>
    <row r="144" ht="16.5" customHeight="1">
      <c r="A144" s="82"/>
      <c r="B144" s="63"/>
      <c r="C144" s="63"/>
      <c r="D144" s="63"/>
      <c r="E144" s="63"/>
      <c r="F144" s="63"/>
      <c r="G144" s="63"/>
      <c r="H144" s="63"/>
      <c r="I144" s="65"/>
      <c r="J144" s="63"/>
      <c r="K144" s="63"/>
      <c r="L144" s="63"/>
      <c r="M144" s="63"/>
      <c r="N144" s="63"/>
      <c r="O144" s="63"/>
      <c r="P144" s="63"/>
      <c r="Q144" s="63"/>
      <c r="R144" s="63"/>
      <c r="S144" s="63"/>
      <c r="T144" s="65"/>
      <c r="U144" s="65"/>
      <c r="V144" s="63"/>
      <c r="W144" s="63"/>
      <c r="X144" s="63"/>
      <c r="Y144" s="63"/>
      <c r="Z144" s="62"/>
      <c r="AA144" s="62"/>
    </row>
    <row r="145" ht="16.5" customHeight="1">
      <c r="A145" s="82"/>
      <c r="B145" s="63"/>
      <c r="C145" s="63"/>
      <c r="D145" s="63"/>
      <c r="E145" s="63"/>
      <c r="F145" s="63"/>
      <c r="G145" s="63"/>
      <c r="H145" s="63"/>
      <c r="I145" s="65"/>
      <c r="J145" s="63"/>
      <c r="K145" s="63"/>
      <c r="L145" s="63"/>
      <c r="M145" s="63"/>
      <c r="N145" s="63"/>
      <c r="O145" s="63"/>
      <c r="P145" s="63"/>
      <c r="Q145" s="63"/>
      <c r="R145" s="63"/>
      <c r="S145" s="63"/>
      <c r="T145" s="65"/>
      <c r="U145" s="65"/>
      <c r="V145" s="63"/>
      <c r="W145" s="63"/>
      <c r="X145" s="63"/>
      <c r="Y145" s="63"/>
      <c r="Z145" s="62"/>
      <c r="AA145" s="62"/>
    </row>
    <row r="146" ht="16.5" customHeight="1">
      <c r="A146" s="82"/>
      <c r="B146" s="63"/>
      <c r="C146" s="63"/>
      <c r="D146" s="63"/>
      <c r="E146" s="63"/>
      <c r="F146" s="63"/>
      <c r="G146" s="63"/>
      <c r="H146" s="63"/>
      <c r="I146" s="65"/>
      <c r="J146" s="63"/>
      <c r="K146" s="63"/>
      <c r="L146" s="63"/>
      <c r="M146" s="63"/>
      <c r="N146" s="63"/>
      <c r="O146" s="63"/>
      <c r="P146" s="63"/>
      <c r="Q146" s="63"/>
      <c r="R146" s="63"/>
      <c r="S146" s="63"/>
      <c r="T146" s="65"/>
      <c r="U146" s="65"/>
      <c r="V146" s="63"/>
      <c r="W146" s="63"/>
      <c r="X146" s="63"/>
      <c r="Y146" s="63"/>
      <c r="Z146" s="62"/>
      <c r="AA146" s="62"/>
    </row>
    <row r="147" ht="16.5" customHeight="1">
      <c r="A147" s="82"/>
      <c r="B147" s="63"/>
      <c r="C147" s="63"/>
      <c r="D147" s="63"/>
      <c r="E147" s="63"/>
      <c r="F147" s="63"/>
      <c r="G147" s="63"/>
      <c r="H147" s="63"/>
      <c r="I147" s="65"/>
      <c r="J147" s="63"/>
      <c r="K147" s="63"/>
      <c r="L147" s="63"/>
      <c r="M147" s="63"/>
      <c r="N147" s="63"/>
      <c r="O147" s="63"/>
      <c r="P147" s="63"/>
      <c r="Q147" s="63"/>
      <c r="R147" s="63"/>
      <c r="S147" s="63"/>
      <c r="T147" s="65"/>
      <c r="U147" s="65"/>
      <c r="V147" s="63"/>
      <c r="W147" s="63"/>
      <c r="X147" s="63"/>
      <c r="Y147" s="63"/>
      <c r="Z147" s="62"/>
      <c r="AA147" s="62"/>
    </row>
    <row r="148" ht="16.5" customHeight="1">
      <c r="A148" s="82"/>
      <c r="B148" s="63"/>
      <c r="C148" s="63"/>
      <c r="D148" s="63"/>
      <c r="E148" s="63"/>
      <c r="F148" s="63"/>
      <c r="G148" s="63"/>
      <c r="H148" s="63"/>
      <c r="I148" s="65"/>
      <c r="J148" s="63"/>
      <c r="K148" s="63"/>
      <c r="L148" s="63"/>
      <c r="M148" s="63"/>
      <c r="N148" s="63"/>
      <c r="O148" s="63"/>
      <c r="P148" s="63"/>
      <c r="Q148" s="63"/>
      <c r="R148" s="63"/>
      <c r="S148" s="63"/>
      <c r="T148" s="65"/>
      <c r="U148" s="65"/>
      <c r="V148" s="63"/>
      <c r="W148" s="63"/>
      <c r="X148" s="63"/>
      <c r="Y148" s="63"/>
      <c r="Z148" s="62"/>
      <c r="AA148" s="62"/>
    </row>
    <row r="149" ht="16.5" customHeight="1">
      <c r="A149" s="82"/>
      <c r="B149" s="63"/>
      <c r="C149" s="63"/>
      <c r="D149" s="63"/>
      <c r="E149" s="63"/>
      <c r="F149" s="63"/>
      <c r="G149" s="63"/>
      <c r="H149" s="63"/>
      <c r="I149" s="65"/>
      <c r="J149" s="63"/>
      <c r="K149" s="63"/>
      <c r="L149" s="63"/>
      <c r="M149" s="63"/>
      <c r="N149" s="63"/>
      <c r="O149" s="63"/>
      <c r="P149" s="63"/>
      <c r="Q149" s="63"/>
      <c r="R149" s="63"/>
      <c r="S149" s="63"/>
      <c r="T149" s="65"/>
      <c r="U149" s="65"/>
      <c r="V149" s="63"/>
      <c r="W149" s="63"/>
      <c r="X149" s="63"/>
      <c r="Y149" s="63"/>
      <c r="Z149" s="62"/>
      <c r="AA149" s="62"/>
    </row>
    <row r="150" ht="16.5" customHeight="1">
      <c r="A150" s="82"/>
      <c r="B150" s="63"/>
      <c r="C150" s="63"/>
      <c r="D150" s="63"/>
      <c r="E150" s="63"/>
      <c r="F150" s="63"/>
      <c r="G150" s="63"/>
      <c r="H150" s="63"/>
      <c r="I150" s="65"/>
      <c r="J150" s="63"/>
      <c r="K150" s="63"/>
      <c r="L150" s="63"/>
      <c r="M150" s="63"/>
      <c r="N150" s="63"/>
      <c r="O150" s="63"/>
      <c r="P150" s="63"/>
      <c r="Q150" s="63"/>
      <c r="R150" s="63"/>
      <c r="S150" s="63"/>
      <c r="T150" s="65"/>
      <c r="U150" s="65"/>
      <c r="V150" s="63"/>
      <c r="W150" s="63"/>
      <c r="X150" s="63"/>
      <c r="Y150" s="63"/>
      <c r="Z150" s="62"/>
      <c r="AA150" s="62"/>
    </row>
    <row r="151" ht="16.5" customHeight="1">
      <c r="A151" s="82"/>
      <c r="B151" s="63"/>
      <c r="C151" s="63"/>
      <c r="D151" s="63"/>
      <c r="E151" s="63"/>
      <c r="F151" s="63"/>
      <c r="G151" s="63"/>
      <c r="H151" s="63"/>
      <c r="I151" s="65"/>
      <c r="J151" s="63"/>
      <c r="K151" s="63"/>
      <c r="L151" s="63"/>
      <c r="M151" s="63"/>
      <c r="N151" s="63"/>
      <c r="O151" s="63"/>
      <c r="P151" s="63"/>
      <c r="Q151" s="63"/>
      <c r="R151" s="63"/>
      <c r="S151" s="63"/>
      <c r="T151" s="65"/>
      <c r="U151" s="65"/>
      <c r="V151" s="63"/>
      <c r="W151" s="63"/>
      <c r="X151" s="63"/>
      <c r="Y151" s="63"/>
      <c r="Z151" s="62"/>
      <c r="AA151" s="62"/>
    </row>
    <row r="152" ht="16.5" customHeight="1">
      <c r="A152" s="82"/>
      <c r="B152" s="63"/>
      <c r="C152" s="63"/>
      <c r="D152" s="63"/>
      <c r="E152" s="63"/>
      <c r="F152" s="63"/>
      <c r="G152" s="63"/>
      <c r="H152" s="63"/>
      <c r="I152" s="65"/>
      <c r="J152" s="63"/>
      <c r="K152" s="63"/>
      <c r="L152" s="63"/>
      <c r="M152" s="63"/>
      <c r="N152" s="63"/>
      <c r="O152" s="63"/>
      <c r="P152" s="63"/>
      <c r="Q152" s="63"/>
      <c r="R152" s="63"/>
      <c r="S152" s="63"/>
      <c r="T152" s="65"/>
      <c r="U152" s="65"/>
      <c r="V152" s="63"/>
      <c r="W152" s="63"/>
      <c r="X152" s="63"/>
      <c r="Y152" s="63"/>
      <c r="Z152" s="62"/>
      <c r="AA152" s="62"/>
    </row>
    <row r="153" ht="16.5" customHeight="1">
      <c r="A153" s="82"/>
      <c r="B153" s="63"/>
      <c r="C153" s="63"/>
      <c r="D153" s="63"/>
      <c r="E153" s="63"/>
      <c r="F153" s="63"/>
      <c r="G153" s="63"/>
      <c r="H153" s="63"/>
      <c r="I153" s="65"/>
      <c r="J153" s="63"/>
      <c r="K153" s="63"/>
      <c r="L153" s="63"/>
      <c r="M153" s="63"/>
      <c r="N153" s="63"/>
      <c r="O153" s="63"/>
      <c r="P153" s="63"/>
      <c r="Q153" s="63"/>
      <c r="R153" s="63"/>
      <c r="S153" s="63"/>
      <c r="T153" s="65"/>
      <c r="U153" s="65"/>
      <c r="V153" s="63"/>
      <c r="W153" s="63"/>
      <c r="X153" s="63"/>
      <c r="Y153" s="63"/>
      <c r="Z153" s="62"/>
      <c r="AA153" s="62"/>
    </row>
    <row r="154" ht="16.5" customHeight="1">
      <c r="A154" s="82"/>
      <c r="B154" s="63"/>
      <c r="C154" s="63"/>
      <c r="D154" s="63"/>
      <c r="E154" s="63"/>
      <c r="F154" s="63"/>
      <c r="G154" s="63"/>
      <c r="H154" s="63"/>
      <c r="I154" s="65"/>
      <c r="J154" s="63"/>
      <c r="K154" s="63"/>
      <c r="L154" s="63"/>
      <c r="M154" s="63"/>
      <c r="N154" s="63"/>
      <c r="O154" s="63"/>
      <c r="P154" s="63"/>
      <c r="Q154" s="63"/>
      <c r="R154" s="63"/>
      <c r="S154" s="63"/>
      <c r="T154" s="65"/>
      <c r="U154" s="65"/>
      <c r="V154" s="63"/>
      <c r="W154" s="63"/>
      <c r="X154" s="63"/>
      <c r="Y154" s="63"/>
      <c r="Z154" s="62"/>
      <c r="AA154" s="62"/>
    </row>
    <row r="155" ht="16.5" customHeight="1">
      <c r="A155" s="82"/>
      <c r="B155" s="63"/>
      <c r="C155" s="63"/>
      <c r="D155" s="63"/>
      <c r="E155" s="63"/>
      <c r="F155" s="63"/>
      <c r="G155" s="63"/>
      <c r="H155" s="63"/>
      <c r="I155" s="65"/>
      <c r="J155" s="63"/>
      <c r="K155" s="63"/>
      <c r="L155" s="63"/>
      <c r="M155" s="63"/>
      <c r="N155" s="63"/>
      <c r="O155" s="63"/>
      <c r="P155" s="63"/>
      <c r="Q155" s="63"/>
      <c r="R155" s="63"/>
      <c r="S155" s="63"/>
      <c r="T155" s="65"/>
      <c r="U155" s="65"/>
      <c r="V155" s="63"/>
      <c r="W155" s="63"/>
      <c r="X155" s="63"/>
      <c r="Y155" s="63"/>
      <c r="Z155" s="62"/>
      <c r="AA155" s="62"/>
    </row>
    <row r="156" ht="16.5" customHeight="1">
      <c r="A156" s="82"/>
      <c r="B156" s="63"/>
      <c r="C156" s="63"/>
      <c r="D156" s="63"/>
      <c r="E156" s="63"/>
      <c r="F156" s="63"/>
      <c r="G156" s="63"/>
      <c r="H156" s="63"/>
      <c r="I156" s="65"/>
      <c r="J156" s="63"/>
      <c r="K156" s="63"/>
      <c r="L156" s="63"/>
      <c r="M156" s="63"/>
      <c r="N156" s="63"/>
      <c r="O156" s="63"/>
      <c r="P156" s="63"/>
      <c r="Q156" s="63"/>
      <c r="R156" s="63"/>
      <c r="S156" s="63"/>
      <c r="T156" s="65"/>
      <c r="U156" s="65"/>
      <c r="V156" s="63"/>
      <c r="W156" s="63"/>
      <c r="X156" s="63"/>
      <c r="Y156" s="63"/>
      <c r="Z156" s="62"/>
      <c r="AA156" s="62"/>
    </row>
    <row r="157" ht="16.5" customHeight="1">
      <c r="A157" s="82"/>
      <c r="B157" s="63"/>
      <c r="C157" s="63"/>
      <c r="D157" s="63"/>
      <c r="E157" s="63"/>
      <c r="F157" s="63"/>
      <c r="G157" s="63"/>
      <c r="H157" s="63"/>
      <c r="I157" s="65"/>
      <c r="J157" s="63"/>
      <c r="K157" s="63"/>
      <c r="L157" s="63"/>
      <c r="M157" s="63"/>
      <c r="N157" s="63"/>
      <c r="O157" s="63"/>
      <c r="P157" s="63"/>
      <c r="Q157" s="63"/>
      <c r="R157" s="63"/>
      <c r="S157" s="63"/>
      <c r="T157" s="65"/>
      <c r="U157" s="65"/>
      <c r="V157" s="63"/>
      <c r="W157" s="63"/>
      <c r="X157" s="63"/>
      <c r="Y157" s="63"/>
      <c r="Z157" s="62"/>
      <c r="AA157" s="62"/>
    </row>
    <row r="158" ht="16.5" customHeight="1">
      <c r="A158" s="82"/>
      <c r="B158" s="63"/>
      <c r="C158" s="63"/>
      <c r="D158" s="63"/>
      <c r="E158" s="63"/>
      <c r="F158" s="63"/>
      <c r="G158" s="63"/>
      <c r="H158" s="63"/>
      <c r="I158" s="65"/>
      <c r="J158" s="63"/>
      <c r="K158" s="63"/>
      <c r="L158" s="63"/>
      <c r="M158" s="63"/>
      <c r="N158" s="63"/>
      <c r="O158" s="63"/>
      <c r="P158" s="63"/>
      <c r="Q158" s="63"/>
      <c r="R158" s="63"/>
      <c r="S158" s="63"/>
      <c r="T158" s="65"/>
      <c r="U158" s="65"/>
      <c r="V158" s="63"/>
      <c r="W158" s="63"/>
      <c r="X158" s="63"/>
      <c r="Y158" s="63"/>
      <c r="Z158" s="62"/>
      <c r="AA158" s="62"/>
    </row>
    <row r="159" ht="16.5" customHeight="1">
      <c r="A159" s="82"/>
      <c r="B159" s="63"/>
      <c r="C159" s="63"/>
      <c r="D159" s="63"/>
      <c r="E159" s="63"/>
      <c r="F159" s="63"/>
      <c r="G159" s="63"/>
      <c r="H159" s="63"/>
      <c r="I159" s="65"/>
      <c r="J159" s="63"/>
      <c r="K159" s="63"/>
      <c r="L159" s="63"/>
      <c r="M159" s="63"/>
      <c r="N159" s="63"/>
      <c r="O159" s="63"/>
      <c r="P159" s="63"/>
      <c r="Q159" s="63"/>
      <c r="R159" s="63"/>
      <c r="S159" s="63"/>
      <c r="T159" s="65"/>
      <c r="U159" s="65"/>
      <c r="V159" s="63"/>
      <c r="W159" s="63"/>
      <c r="X159" s="63"/>
      <c r="Y159" s="63"/>
      <c r="Z159" s="62"/>
      <c r="AA159" s="62"/>
    </row>
    <row r="160" ht="16.5" customHeight="1">
      <c r="A160" s="82"/>
      <c r="B160" s="63"/>
      <c r="C160" s="63"/>
      <c r="D160" s="63"/>
      <c r="E160" s="63"/>
      <c r="F160" s="63"/>
      <c r="G160" s="63"/>
      <c r="H160" s="63"/>
      <c r="I160" s="65"/>
      <c r="J160" s="63"/>
      <c r="K160" s="63"/>
      <c r="L160" s="63"/>
      <c r="M160" s="63"/>
      <c r="N160" s="63"/>
      <c r="O160" s="63"/>
      <c r="P160" s="63"/>
      <c r="Q160" s="63"/>
      <c r="R160" s="63"/>
      <c r="S160" s="63"/>
      <c r="T160" s="65"/>
      <c r="U160" s="65"/>
      <c r="V160" s="63"/>
      <c r="W160" s="63"/>
      <c r="X160" s="63"/>
      <c r="Y160" s="63"/>
      <c r="Z160" s="62"/>
      <c r="AA160" s="62"/>
    </row>
    <row r="161" ht="16.5" customHeight="1">
      <c r="A161" s="82"/>
      <c r="B161" s="63"/>
      <c r="C161" s="63"/>
      <c r="D161" s="63"/>
      <c r="E161" s="63"/>
      <c r="F161" s="63"/>
      <c r="G161" s="63"/>
      <c r="H161" s="63"/>
      <c r="I161" s="65"/>
      <c r="J161" s="63"/>
      <c r="K161" s="63"/>
      <c r="L161" s="63"/>
      <c r="M161" s="63"/>
      <c r="N161" s="63"/>
      <c r="O161" s="63"/>
      <c r="P161" s="63"/>
      <c r="Q161" s="63"/>
      <c r="R161" s="63"/>
      <c r="S161" s="63"/>
      <c r="T161" s="65"/>
      <c r="U161" s="65"/>
      <c r="V161" s="63"/>
      <c r="W161" s="63"/>
      <c r="X161" s="63"/>
      <c r="Y161" s="63"/>
      <c r="Z161" s="62"/>
      <c r="AA161" s="62"/>
    </row>
    <row r="162" ht="16.5" customHeight="1">
      <c r="A162" s="82"/>
      <c r="B162" s="63"/>
      <c r="C162" s="63"/>
      <c r="D162" s="63"/>
      <c r="E162" s="63"/>
      <c r="F162" s="63"/>
      <c r="G162" s="63"/>
      <c r="H162" s="63"/>
      <c r="I162" s="65"/>
      <c r="J162" s="63"/>
      <c r="K162" s="63"/>
      <c r="L162" s="63"/>
      <c r="M162" s="63"/>
      <c r="N162" s="63"/>
      <c r="O162" s="63"/>
      <c r="P162" s="63"/>
      <c r="Q162" s="63"/>
      <c r="R162" s="63"/>
      <c r="S162" s="63"/>
      <c r="T162" s="65"/>
      <c r="U162" s="65"/>
      <c r="V162" s="63"/>
      <c r="W162" s="63"/>
      <c r="X162" s="63"/>
      <c r="Y162" s="63"/>
      <c r="Z162" s="62"/>
      <c r="AA162" s="62"/>
    </row>
    <row r="163" ht="16.5" customHeight="1">
      <c r="A163" s="82"/>
      <c r="B163" s="63"/>
      <c r="C163" s="63"/>
      <c r="D163" s="63"/>
      <c r="E163" s="63"/>
      <c r="F163" s="63"/>
      <c r="G163" s="63"/>
      <c r="H163" s="63"/>
      <c r="I163" s="65"/>
      <c r="J163" s="63"/>
      <c r="K163" s="63"/>
      <c r="L163" s="63"/>
      <c r="M163" s="63"/>
      <c r="N163" s="63"/>
      <c r="O163" s="63"/>
      <c r="P163" s="63"/>
      <c r="Q163" s="63"/>
      <c r="R163" s="63"/>
      <c r="S163" s="63"/>
      <c r="T163" s="65"/>
      <c r="U163" s="65"/>
      <c r="V163" s="63"/>
      <c r="W163" s="63"/>
      <c r="X163" s="63"/>
      <c r="Y163" s="63"/>
      <c r="Z163" s="62"/>
      <c r="AA163" s="62"/>
    </row>
    <row r="164" ht="16.5" customHeight="1">
      <c r="A164" s="82"/>
      <c r="B164" s="63"/>
      <c r="C164" s="63"/>
      <c r="D164" s="63"/>
      <c r="E164" s="63"/>
      <c r="F164" s="63"/>
      <c r="G164" s="63"/>
      <c r="H164" s="63"/>
      <c r="I164" s="65"/>
      <c r="J164" s="63"/>
      <c r="K164" s="63"/>
      <c r="L164" s="63"/>
      <c r="M164" s="63"/>
      <c r="N164" s="63"/>
      <c r="O164" s="63"/>
      <c r="P164" s="63"/>
      <c r="Q164" s="63"/>
      <c r="R164" s="63"/>
      <c r="S164" s="63"/>
      <c r="T164" s="65"/>
      <c r="U164" s="65"/>
      <c r="V164" s="63"/>
      <c r="W164" s="63"/>
      <c r="X164" s="63"/>
      <c r="Y164" s="63"/>
      <c r="Z164" s="62"/>
      <c r="AA164" s="62"/>
    </row>
    <row r="165" ht="16.5" customHeight="1">
      <c r="A165" s="82"/>
      <c r="B165" s="63"/>
      <c r="C165" s="63"/>
      <c r="D165" s="63"/>
      <c r="E165" s="63"/>
      <c r="F165" s="63"/>
      <c r="G165" s="63"/>
      <c r="H165" s="63"/>
      <c r="I165" s="65"/>
      <c r="J165" s="63"/>
      <c r="K165" s="63"/>
      <c r="L165" s="63"/>
      <c r="M165" s="63"/>
      <c r="N165" s="63"/>
      <c r="O165" s="63"/>
      <c r="P165" s="63"/>
      <c r="Q165" s="63"/>
      <c r="R165" s="63"/>
      <c r="S165" s="63"/>
      <c r="T165" s="65"/>
      <c r="U165" s="65"/>
      <c r="V165" s="63"/>
      <c r="W165" s="63"/>
      <c r="X165" s="63"/>
      <c r="Y165" s="63"/>
      <c r="Z165" s="62"/>
      <c r="AA165" s="62"/>
    </row>
    <row r="166" ht="16.5" customHeight="1">
      <c r="A166" s="82"/>
      <c r="B166" s="63"/>
      <c r="C166" s="63"/>
      <c r="D166" s="63"/>
      <c r="E166" s="63"/>
      <c r="F166" s="63"/>
      <c r="G166" s="63"/>
      <c r="H166" s="63"/>
      <c r="I166" s="65"/>
      <c r="J166" s="63"/>
      <c r="K166" s="63"/>
      <c r="L166" s="63"/>
      <c r="M166" s="63"/>
      <c r="N166" s="63"/>
      <c r="O166" s="63"/>
      <c r="P166" s="63"/>
      <c r="Q166" s="63"/>
      <c r="R166" s="63"/>
      <c r="S166" s="63"/>
      <c r="T166" s="65"/>
      <c r="U166" s="65"/>
      <c r="V166" s="63"/>
      <c r="W166" s="63"/>
      <c r="X166" s="63"/>
      <c r="Y166" s="63"/>
      <c r="Z166" s="62"/>
      <c r="AA166" s="62"/>
    </row>
    <row r="167" ht="16.5" customHeight="1">
      <c r="A167" s="82"/>
      <c r="B167" s="63"/>
      <c r="C167" s="63"/>
      <c r="D167" s="63"/>
      <c r="E167" s="63"/>
      <c r="F167" s="63"/>
      <c r="G167" s="63"/>
      <c r="H167" s="63"/>
      <c r="I167" s="65"/>
      <c r="J167" s="63"/>
      <c r="K167" s="63"/>
      <c r="L167" s="63"/>
      <c r="M167" s="63"/>
      <c r="N167" s="63"/>
      <c r="O167" s="63"/>
      <c r="P167" s="63"/>
      <c r="Q167" s="63"/>
      <c r="R167" s="63"/>
      <c r="S167" s="63"/>
      <c r="T167" s="65"/>
      <c r="U167" s="65"/>
      <c r="V167" s="63"/>
      <c r="W167" s="63"/>
      <c r="X167" s="63"/>
      <c r="Y167" s="63"/>
      <c r="Z167" s="62"/>
      <c r="AA167" s="62"/>
    </row>
    <row r="168" ht="16.5" customHeight="1">
      <c r="A168" s="82"/>
      <c r="B168" s="63"/>
      <c r="C168" s="63"/>
      <c r="D168" s="63"/>
      <c r="E168" s="63"/>
      <c r="F168" s="63"/>
      <c r="G168" s="63"/>
      <c r="H168" s="63"/>
      <c r="I168" s="65"/>
      <c r="J168" s="63"/>
      <c r="K168" s="63"/>
      <c r="L168" s="63"/>
      <c r="M168" s="63"/>
      <c r="N168" s="63"/>
      <c r="O168" s="63"/>
      <c r="P168" s="63"/>
      <c r="Q168" s="63"/>
      <c r="R168" s="63"/>
      <c r="S168" s="63"/>
      <c r="T168" s="65"/>
      <c r="U168" s="65"/>
      <c r="V168" s="63"/>
      <c r="W168" s="63"/>
      <c r="X168" s="63"/>
      <c r="Y168" s="63"/>
      <c r="Z168" s="62"/>
      <c r="AA168" s="62"/>
    </row>
    <row r="169" ht="16.5" customHeight="1">
      <c r="A169" s="82"/>
      <c r="B169" s="63"/>
      <c r="C169" s="63"/>
      <c r="D169" s="63"/>
      <c r="E169" s="63"/>
      <c r="F169" s="63"/>
      <c r="G169" s="63"/>
      <c r="H169" s="63"/>
      <c r="I169" s="65"/>
      <c r="J169" s="63"/>
      <c r="K169" s="63"/>
      <c r="L169" s="63"/>
      <c r="M169" s="63"/>
      <c r="N169" s="63"/>
      <c r="O169" s="63"/>
      <c r="P169" s="63"/>
      <c r="Q169" s="63"/>
      <c r="R169" s="63"/>
      <c r="S169" s="63"/>
      <c r="T169" s="65"/>
      <c r="U169" s="65"/>
      <c r="V169" s="63"/>
      <c r="W169" s="63"/>
      <c r="X169" s="63"/>
      <c r="Y169" s="63"/>
      <c r="Z169" s="62"/>
      <c r="AA169" s="62"/>
    </row>
    <row r="170" ht="16.5" customHeight="1">
      <c r="A170" s="82"/>
      <c r="B170" s="63"/>
      <c r="C170" s="63"/>
      <c r="D170" s="63"/>
      <c r="E170" s="63"/>
      <c r="F170" s="63"/>
      <c r="G170" s="63"/>
      <c r="H170" s="63"/>
      <c r="I170" s="65"/>
      <c r="J170" s="63"/>
      <c r="K170" s="63"/>
      <c r="L170" s="63"/>
      <c r="M170" s="63"/>
      <c r="N170" s="63"/>
      <c r="O170" s="63"/>
      <c r="P170" s="63"/>
      <c r="Q170" s="63"/>
      <c r="R170" s="63"/>
      <c r="S170" s="63"/>
      <c r="T170" s="65"/>
      <c r="U170" s="65"/>
      <c r="V170" s="63"/>
      <c r="W170" s="63"/>
      <c r="X170" s="63"/>
      <c r="Y170" s="63"/>
      <c r="Z170" s="62"/>
      <c r="AA170" s="62"/>
    </row>
    <row r="171" ht="16.5" customHeight="1">
      <c r="A171" s="82"/>
      <c r="B171" s="63"/>
      <c r="C171" s="63"/>
      <c r="D171" s="63"/>
      <c r="E171" s="63"/>
      <c r="F171" s="63"/>
      <c r="G171" s="63"/>
      <c r="H171" s="63"/>
      <c r="I171" s="65"/>
      <c r="J171" s="63"/>
      <c r="K171" s="63"/>
      <c r="L171" s="63"/>
      <c r="M171" s="63"/>
      <c r="N171" s="63"/>
      <c r="O171" s="63"/>
      <c r="P171" s="63"/>
      <c r="Q171" s="63"/>
      <c r="R171" s="63"/>
      <c r="S171" s="63"/>
      <c r="T171" s="65"/>
      <c r="U171" s="65"/>
      <c r="V171" s="63"/>
      <c r="W171" s="63"/>
      <c r="X171" s="63"/>
      <c r="Y171" s="63"/>
      <c r="Z171" s="62"/>
      <c r="AA171" s="62"/>
    </row>
    <row r="172" ht="16.5" customHeight="1">
      <c r="A172" s="82"/>
      <c r="B172" s="63"/>
      <c r="C172" s="63"/>
      <c r="D172" s="63"/>
      <c r="E172" s="63"/>
      <c r="F172" s="63"/>
      <c r="G172" s="63"/>
      <c r="H172" s="63"/>
      <c r="I172" s="65"/>
      <c r="J172" s="63"/>
      <c r="K172" s="63"/>
      <c r="L172" s="63"/>
      <c r="M172" s="63"/>
      <c r="N172" s="63"/>
      <c r="O172" s="63"/>
      <c r="P172" s="63"/>
      <c r="Q172" s="63"/>
      <c r="R172" s="63"/>
      <c r="S172" s="63"/>
      <c r="T172" s="65"/>
      <c r="U172" s="65"/>
      <c r="V172" s="63"/>
      <c r="W172" s="63"/>
      <c r="X172" s="63"/>
      <c r="Y172" s="63"/>
      <c r="Z172" s="62"/>
      <c r="AA172" s="62"/>
    </row>
    <row r="173" ht="16.5" customHeight="1">
      <c r="A173" s="82"/>
      <c r="B173" s="63"/>
      <c r="C173" s="63"/>
      <c r="D173" s="63"/>
      <c r="E173" s="63"/>
      <c r="F173" s="63"/>
      <c r="G173" s="63"/>
      <c r="H173" s="63"/>
      <c r="I173" s="65"/>
      <c r="J173" s="63"/>
      <c r="K173" s="63"/>
      <c r="L173" s="63"/>
      <c r="M173" s="63"/>
      <c r="N173" s="63"/>
      <c r="O173" s="63"/>
      <c r="P173" s="63"/>
      <c r="Q173" s="63"/>
      <c r="R173" s="63"/>
      <c r="S173" s="63"/>
      <c r="T173" s="65"/>
      <c r="U173" s="65"/>
      <c r="V173" s="63"/>
      <c r="W173" s="63"/>
      <c r="X173" s="63"/>
      <c r="Y173" s="63"/>
      <c r="Z173" s="62"/>
      <c r="AA173" s="62"/>
    </row>
    <row r="174" ht="16.5" customHeight="1">
      <c r="A174" s="82"/>
      <c r="B174" s="63"/>
      <c r="C174" s="63"/>
      <c r="D174" s="63"/>
      <c r="E174" s="63"/>
      <c r="F174" s="63"/>
      <c r="G174" s="63"/>
      <c r="H174" s="63"/>
      <c r="I174" s="65"/>
      <c r="J174" s="63"/>
      <c r="K174" s="63"/>
      <c r="L174" s="63"/>
      <c r="M174" s="63"/>
      <c r="N174" s="63"/>
      <c r="O174" s="63"/>
      <c r="P174" s="63"/>
      <c r="Q174" s="63"/>
      <c r="R174" s="63"/>
      <c r="S174" s="63"/>
      <c r="T174" s="65"/>
      <c r="U174" s="65"/>
      <c r="V174" s="63"/>
      <c r="W174" s="63"/>
      <c r="X174" s="63"/>
      <c r="Y174" s="63"/>
      <c r="Z174" s="62"/>
      <c r="AA174" s="62"/>
    </row>
    <row r="175" ht="16.5" customHeight="1">
      <c r="A175" s="82"/>
      <c r="B175" s="63"/>
      <c r="C175" s="63"/>
      <c r="D175" s="63"/>
      <c r="E175" s="63"/>
      <c r="F175" s="63"/>
      <c r="G175" s="63"/>
      <c r="H175" s="63"/>
      <c r="I175" s="65"/>
      <c r="J175" s="63"/>
      <c r="K175" s="63"/>
      <c r="L175" s="63"/>
      <c r="M175" s="63"/>
      <c r="N175" s="63"/>
      <c r="O175" s="63"/>
      <c r="P175" s="63"/>
      <c r="Q175" s="63"/>
      <c r="R175" s="63"/>
      <c r="S175" s="63"/>
      <c r="T175" s="65"/>
      <c r="U175" s="65"/>
      <c r="V175" s="63"/>
      <c r="W175" s="63"/>
      <c r="X175" s="63"/>
      <c r="Y175" s="63"/>
      <c r="Z175" s="62"/>
      <c r="AA175" s="62"/>
    </row>
    <row r="176" ht="16.5" customHeight="1">
      <c r="A176" s="82"/>
      <c r="B176" s="63"/>
      <c r="C176" s="63"/>
      <c r="D176" s="63"/>
      <c r="E176" s="63"/>
      <c r="F176" s="63"/>
      <c r="G176" s="63"/>
      <c r="H176" s="63"/>
      <c r="I176" s="65"/>
      <c r="J176" s="63"/>
      <c r="K176" s="63"/>
      <c r="L176" s="63"/>
      <c r="M176" s="63"/>
      <c r="N176" s="63"/>
      <c r="O176" s="63"/>
      <c r="P176" s="63"/>
      <c r="Q176" s="63"/>
      <c r="R176" s="63"/>
      <c r="S176" s="63"/>
      <c r="T176" s="65"/>
      <c r="U176" s="65"/>
      <c r="V176" s="63"/>
      <c r="W176" s="63"/>
      <c r="X176" s="63"/>
      <c r="Y176" s="63"/>
      <c r="Z176" s="62"/>
      <c r="AA176" s="62"/>
    </row>
    <row r="177" ht="16.5" customHeight="1">
      <c r="A177" s="82"/>
      <c r="B177" s="63"/>
      <c r="C177" s="63"/>
      <c r="D177" s="63"/>
      <c r="E177" s="63"/>
      <c r="F177" s="63"/>
      <c r="G177" s="63"/>
      <c r="H177" s="63"/>
      <c r="I177" s="65"/>
      <c r="J177" s="63"/>
      <c r="K177" s="63"/>
      <c r="L177" s="63"/>
      <c r="M177" s="63"/>
      <c r="N177" s="63"/>
      <c r="O177" s="63"/>
      <c r="P177" s="63"/>
      <c r="Q177" s="63"/>
      <c r="R177" s="63"/>
      <c r="S177" s="63"/>
      <c r="T177" s="65"/>
      <c r="U177" s="65"/>
      <c r="V177" s="63"/>
      <c r="W177" s="63"/>
      <c r="X177" s="63"/>
      <c r="Y177" s="63"/>
      <c r="Z177" s="62"/>
      <c r="AA177" s="62"/>
    </row>
    <row r="178" ht="16.5" customHeight="1">
      <c r="A178" s="82"/>
      <c r="B178" s="63"/>
      <c r="C178" s="63"/>
      <c r="D178" s="63"/>
      <c r="E178" s="63"/>
      <c r="F178" s="63"/>
      <c r="G178" s="63"/>
      <c r="H178" s="63"/>
      <c r="I178" s="65"/>
      <c r="J178" s="63"/>
      <c r="K178" s="63"/>
      <c r="L178" s="63"/>
      <c r="M178" s="63"/>
      <c r="N178" s="63"/>
      <c r="O178" s="63"/>
      <c r="P178" s="63"/>
      <c r="Q178" s="63"/>
      <c r="R178" s="63"/>
      <c r="S178" s="63"/>
      <c r="T178" s="65"/>
      <c r="U178" s="65"/>
      <c r="V178" s="63"/>
      <c r="W178" s="63"/>
      <c r="X178" s="63"/>
      <c r="Y178" s="63"/>
      <c r="Z178" s="62"/>
      <c r="AA178" s="62"/>
    </row>
    <row r="179" ht="16.5" customHeight="1">
      <c r="A179" s="82"/>
      <c r="B179" s="63"/>
      <c r="C179" s="63"/>
      <c r="D179" s="63"/>
      <c r="E179" s="63"/>
      <c r="F179" s="63"/>
      <c r="G179" s="63"/>
      <c r="H179" s="63"/>
      <c r="I179" s="65"/>
      <c r="J179" s="63"/>
      <c r="K179" s="63"/>
      <c r="L179" s="63"/>
      <c r="M179" s="63"/>
      <c r="N179" s="63"/>
      <c r="O179" s="63"/>
      <c r="P179" s="63"/>
      <c r="Q179" s="63"/>
      <c r="R179" s="63"/>
      <c r="S179" s="63"/>
      <c r="T179" s="65"/>
      <c r="U179" s="65"/>
      <c r="V179" s="63"/>
      <c r="W179" s="63"/>
      <c r="X179" s="63"/>
      <c r="Y179" s="63"/>
      <c r="Z179" s="62"/>
      <c r="AA179" s="62"/>
    </row>
    <row r="180" ht="16.5" customHeight="1">
      <c r="A180" s="82"/>
      <c r="B180" s="63"/>
      <c r="C180" s="63"/>
      <c r="D180" s="63"/>
      <c r="E180" s="63"/>
      <c r="F180" s="63"/>
      <c r="G180" s="63"/>
      <c r="H180" s="63"/>
      <c r="I180" s="65"/>
      <c r="J180" s="63"/>
      <c r="K180" s="63"/>
      <c r="L180" s="63"/>
      <c r="M180" s="63"/>
      <c r="N180" s="63"/>
      <c r="O180" s="63"/>
      <c r="P180" s="63"/>
      <c r="Q180" s="63"/>
      <c r="R180" s="63"/>
      <c r="S180" s="63"/>
      <c r="T180" s="65"/>
      <c r="U180" s="65"/>
      <c r="V180" s="63"/>
      <c r="W180" s="63"/>
      <c r="X180" s="63"/>
      <c r="Y180" s="63"/>
      <c r="Z180" s="62"/>
      <c r="AA180" s="62"/>
    </row>
    <row r="181" ht="16.5" customHeight="1">
      <c r="A181" s="82"/>
      <c r="B181" s="63"/>
      <c r="C181" s="63"/>
      <c r="D181" s="63"/>
      <c r="E181" s="63"/>
      <c r="F181" s="63"/>
      <c r="G181" s="63"/>
      <c r="H181" s="63"/>
      <c r="I181" s="65"/>
      <c r="J181" s="63"/>
      <c r="K181" s="63"/>
      <c r="L181" s="63"/>
      <c r="M181" s="63"/>
      <c r="N181" s="63"/>
      <c r="O181" s="63"/>
      <c r="P181" s="63"/>
      <c r="Q181" s="63"/>
      <c r="R181" s="63"/>
      <c r="S181" s="63"/>
      <c r="T181" s="65"/>
      <c r="U181" s="65"/>
      <c r="V181" s="63"/>
      <c r="W181" s="63"/>
      <c r="X181" s="63"/>
      <c r="Y181" s="63"/>
      <c r="Z181" s="62"/>
      <c r="AA181" s="62"/>
    </row>
    <row r="182" ht="16.5" customHeight="1">
      <c r="A182" s="82"/>
      <c r="B182" s="63"/>
      <c r="C182" s="63"/>
      <c r="D182" s="63"/>
      <c r="E182" s="63"/>
      <c r="F182" s="63"/>
      <c r="G182" s="63"/>
      <c r="H182" s="63"/>
      <c r="I182" s="65"/>
      <c r="J182" s="63"/>
      <c r="K182" s="63"/>
      <c r="L182" s="63"/>
      <c r="M182" s="63"/>
      <c r="N182" s="63"/>
      <c r="O182" s="63"/>
      <c r="P182" s="63"/>
      <c r="Q182" s="63"/>
      <c r="R182" s="63"/>
      <c r="S182" s="63"/>
      <c r="T182" s="65"/>
      <c r="U182" s="65"/>
      <c r="V182" s="63"/>
      <c r="W182" s="63"/>
      <c r="X182" s="63"/>
      <c r="Y182" s="63"/>
      <c r="Z182" s="62"/>
      <c r="AA182" s="62"/>
    </row>
    <row r="183" ht="16.5" customHeight="1">
      <c r="A183" s="82"/>
      <c r="B183" s="63"/>
      <c r="C183" s="63"/>
      <c r="D183" s="63"/>
      <c r="E183" s="63"/>
      <c r="F183" s="63"/>
      <c r="G183" s="63"/>
      <c r="H183" s="63"/>
      <c r="I183" s="65"/>
      <c r="J183" s="63"/>
      <c r="K183" s="63"/>
      <c r="L183" s="63"/>
      <c r="M183" s="63"/>
      <c r="N183" s="63"/>
      <c r="O183" s="63"/>
      <c r="P183" s="63"/>
      <c r="Q183" s="63"/>
      <c r="R183" s="63"/>
      <c r="S183" s="63"/>
      <c r="T183" s="65"/>
      <c r="U183" s="65"/>
      <c r="V183" s="63"/>
      <c r="W183" s="63"/>
      <c r="X183" s="63"/>
      <c r="Y183" s="63"/>
      <c r="Z183" s="62"/>
      <c r="AA183" s="62"/>
    </row>
    <row r="184" ht="16.5" customHeight="1">
      <c r="A184" s="82"/>
      <c r="B184" s="63"/>
      <c r="C184" s="63"/>
      <c r="D184" s="63"/>
      <c r="E184" s="63"/>
      <c r="F184" s="63"/>
      <c r="G184" s="63"/>
      <c r="H184" s="63"/>
      <c r="I184" s="65"/>
      <c r="J184" s="63"/>
      <c r="K184" s="63"/>
      <c r="L184" s="63"/>
      <c r="M184" s="63"/>
      <c r="N184" s="63"/>
      <c r="O184" s="63"/>
      <c r="P184" s="63"/>
      <c r="Q184" s="63"/>
      <c r="R184" s="63"/>
      <c r="S184" s="63"/>
      <c r="T184" s="65"/>
      <c r="U184" s="65"/>
      <c r="V184" s="63"/>
      <c r="W184" s="63"/>
      <c r="X184" s="63"/>
      <c r="Y184" s="63"/>
      <c r="Z184" s="62"/>
      <c r="AA184" s="62"/>
    </row>
    <row r="185" ht="16.5" customHeight="1">
      <c r="A185" s="82"/>
      <c r="B185" s="63"/>
      <c r="C185" s="63"/>
      <c r="D185" s="63"/>
      <c r="E185" s="63"/>
      <c r="F185" s="63"/>
      <c r="G185" s="63"/>
      <c r="H185" s="63"/>
      <c r="I185" s="65"/>
      <c r="J185" s="63"/>
      <c r="K185" s="63"/>
      <c r="L185" s="63"/>
      <c r="M185" s="63"/>
      <c r="N185" s="63"/>
      <c r="O185" s="63"/>
      <c r="P185" s="63"/>
      <c r="Q185" s="63"/>
      <c r="R185" s="63"/>
      <c r="S185" s="63"/>
      <c r="T185" s="65"/>
      <c r="U185" s="65"/>
      <c r="V185" s="63"/>
      <c r="W185" s="63"/>
      <c r="X185" s="63"/>
      <c r="Y185" s="63"/>
      <c r="Z185" s="62"/>
      <c r="AA185" s="62"/>
    </row>
    <row r="186" ht="16.5" customHeight="1">
      <c r="A186" s="82"/>
      <c r="B186" s="63"/>
      <c r="C186" s="63"/>
      <c r="D186" s="63"/>
      <c r="E186" s="63"/>
      <c r="F186" s="63"/>
      <c r="G186" s="63"/>
      <c r="H186" s="63"/>
      <c r="I186" s="65"/>
      <c r="J186" s="63"/>
      <c r="K186" s="63"/>
      <c r="L186" s="63"/>
      <c r="M186" s="63"/>
      <c r="N186" s="63"/>
      <c r="O186" s="63"/>
      <c r="P186" s="63"/>
      <c r="Q186" s="63"/>
      <c r="R186" s="63"/>
      <c r="S186" s="63"/>
      <c r="T186" s="65"/>
      <c r="U186" s="65"/>
      <c r="V186" s="63"/>
      <c r="W186" s="63"/>
      <c r="X186" s="63"/>
      <c r="Y186" s="63"/>
      <c r="Z186" s="62"/>
      <c r="AA186" s="62"/>
    </row>
    <row r="187" ht="16.5" customHeight="1">
      <c r="A187" s="82"/>
      <c r="B187" s="63"/>
      <c r="C187" s="63"/>
      <c r="D187" s="63"/>
      <c r="E187" s="63"/>
      <c r="F187" s="63"/>
      <c r="G187" s="63"/>
      <c r="H187" s="63"/>
      <c r="I187" s="65"/>
      <c r="J187" s="63"/>
      <c r="K187" s="63"/>
      <c r="L187" s="63"/>
      <c r="M187" s="63"/>
      <c r="N187" s="63"/>
      <c r="O187" s="63"/>
      <c r="P187" s="63"/>
      <c r="Q187" s="63"/>
      <c r="R187" s="63"/>
      <c r="S187" s="63"/>
      <c r="T187" s="65"/>
      <c r="U187" s="65"/>
      <c r="V187" s="63"/>
      <c r="W187" s="63"/>
      <c r="X187" s="63"/>
      <c r="Y187" s="63"/>
      <c r="Z187" s="62"/>
      <c r="AA187" s="62"/>
    </row>
    <row r="188" ht="16.5" customHeight="1">
      <c r="A188" s="82"/>
      <c r="B188" s="63"/>
      <c r="C188" s="63"/>
      <c r="D188" s="63"/>
      <c r="E188" s="63"/>
      <c r="F188" s="63"/>
      <c r="G188" s="63"/>
      <c r="H188" s="63"/>
      <c r="I188" s="65"/>
      <c r="J188" s="63"/>
      <c r="K188" s="63"/>
      <c r="L188" s="63"/>
      <c r="M188" s="63"/>
      <c r="N188" s="63"/>
      <c r="O188" s="63"/>
      <c r="P188" s="63"/>
      <c r="Q188" s="63"/>
      <c r="R188" s="63"/>
      <c r="S188" s="63"/>
      <c r="T188" s="65"/>
      <c r="U188" s="65"/>
      <c r="V188" s="63"/>
      <c r="W188" s="63"/>
      <c r="X188" s="63"/>
      <c r="Y188" s="63"/>
      <c r="Z188" s="62"/>
      <c r="AA188" s="62"/>
    </row>
    <row r="189" ht="16.5" customHeight="1">
      <c r="A189" s="82"/>
      <c r="B189" s="63"/>
      <c r="C189" s="63"/>
      <c r="D189" s="63"/>
      <c r="E189" s="63"/>
      <c r="F189" s="63"/>
      <c r="G189" s="63"/>
      <c r="H189" s="63"/>
      <c r="I189" s="65"/>
      <c r="J189" s="63"/>
      <c r="K189" s="63"/>
      <c r="L189" s="63"/>
      <c r="M189" s="63"/>
      <c r="N189" s="63"/>
      <c r="O189" s="63"/>
      <c r="P189" s="63"/>
      <c r="Q189" s="63"/>
      <c r="R189" s="63"/>
      <c r="S189" s="63"/>
      <c r="T189" s="65"/>
      <c r="U189" s="65"/>
      <c r="V189" s="63"/>
      <c r="W189" s="63"/>
      <c r="X189" s="63"/>
      <c r="Y189" s="63"/>
      <c r="Z189" s="62"/>
      <c r="AA189" s="62"/>
    </row>
    <row r="190" ht="16.5" customHeight="1">
      <c r="A190" s="82"/>
      <c r="B190" s="63"/>
      <c r="C190" s="63"/>
      <c r="D190" s="63"/>
      <c r="E190" s="63"/>
      <c r="F190" s="63"/>
      <c r="G190" s="63"/>
      <c r="H190" s="63"/>
      <c r="I190" s="65"/>
      <c r="J190" s="63"/>
      <c r="K190" s="63"/>
      <c r="L190" s="63"/>
      <c r="M190" s="63"/>
      <c r="N190" s="63"/>
      <c r="O190" s="63"/>
      <c r="P190" s="63"/>
      <c r="Q190" s="63"/>
      <c r="R190" s="63"/>
      <c r="S190" s="63"/>
      <c r="T190" s="65"/>
      <c r="U190" s="65"/>
      <c r="V190" s="63"/>
      <c r="W190" s="63"/>
      <c r="X190" s="63"/>
      <c r="Y190" s="63"/>
      <c r="Z190" s="62"/>
      <c r="AA190" s="62"/>
    </row>
    <row r="191" ht="16.5" customHeight="1">
      <c r="A191" s="82"/>
      <c r="B191" s="63"/>
      <c r="C191" s="63"/>
      <c r="D191" s="63"/>
      <c r="E191" s="63"/>
      <c r="F191" s="63"/>
      <c r="G191" s="63"/>
      <c r="H191" s="63"/>
      <c r="I191" s="65"/>
      <c r="J191" s="63"/>
      <c r="K191" s="63"/>
      <c r="L191" s="63"/>
      <c r="M191" s="63"/>
      <c r="N191" s="63"/>
      <c r="O191" s="63"/>
      <c r="P191" s="63"/>
      <c r="Q191" s="63"/>
      <c r="R191" s="63"/>
      <c r="S191" s="63"/>
      <c r="T191" s="65"/>
      <c r="U191" s="65"/>
      <c r="V191" s="63"/>
      <c r="W191" s="63"/>
      <c r="X191" s="63"/>
      <c r="Y191" s="63"/>
      <c r="Z191" s="62"/>
      <c r="AA191" s="62"/>
    </row>
    <row r="192" ht="16.5" customHeight="1">
      <c r="A192" s="82"/>
      <c r="B192" s="63"/>
      <c r="C192" s="63"/>
      <c r="D192" s="63"/>
      <c r="E192" s="63"/>
      <c r="F192" s="63"/>
      <c r="G192" s="63"/>
      <c r="H192" s="63"/>
      <c r="I192" s="65"/>
      <c r="J192" s="63"/>
      <c r="K192" s="63"/>
      <c r="L192" s="63"/>
      <c r="M192" s="63"/>
      <c r="N192" s="63"/>
      <c r="O192" s="63"/>
      <c r="P192" s="63"/>
      <c r="Q192" s="63"/>
      <c r="R192" s="63"/>
      <c r="S192" s="63"/>
      <c r="T192" s="65"/>
      <c r="U192" s="65"/>
      <c r="V192" s="63"/>
      <c r="W192" s="63"/>
      <c r="X192" s="63"/>
      <c r="Y192" s="63"/>
      <c r="Z192" s="62"/>
      <c r="AA192" s="62"/>
    </row>
    <row r="193" ht="16.5" customHeight="1">
      <c r="A193" s="82"/>
      <c r="B193" s="63"/>
      <c r="C193" s="63"/>
      <c r="D193" s="63"/>
      <c r="E193" s="63"/>
      <c r="F193" s="63"/>
      <c r="G193" s="63"/>
      <c r="H193" s="63"/>
      <c r="I193" s="65"/>
      <c r="J193" s="63"/>
      <c r="K193" s="63"/>
      <c r="L193" s="63"/>
      <c r="M193" s="63"/>
      <c r="N193" s="63"/>
      <c r="O193" s="63"/>
      <c r="P193" s="63"/>
      <c r="Q193" s="63"/>
      <c r="R193" s="63"/>
      <c r="S193" s="63"/>
      <c r="T193" s="65"/>
      <c r="U193" s="65"/>
      <c r="V193" s="63"/>
      <c r="W193" s="63"/>
      <c r="X193" s="63"/>
      <c r="Y193" s="63"/>
      <c r="Z193" s="62"/>
      <c r="AA193" s="62"/>
    </row>
    <row r="194" ht="16.5" customHeight="1">
      <c r="A194" s="82"/>
      <c r="B194" s="63"/>
      <c r="C194" s="63"/>
      <c r="D194" s="63"/>
      <c r="E194" s="63"/>
      <c r="F194" s="63"/>
      <c r="G194" s="63"/>
      <c r="H194" s="63"/>
      <c r="I194" s="65"/>
      <c r="J194" s="63"/>
      <c r="K194" s="63"/>
      <c r="L194" s="63"/>
      <c r="M194" s="63"/>
      <c r="N194" s="63"/>
      <c r="O194" s="63"/>
      <c r="P194" s="63"/>
      <c r="Q194" s="63"/>
      <c r="R194" s="63"/>
      <c r="S194" s="63"/>
      <c r="T194" s="65"/>
      <c r="U194" s="65"/>
      <c r="V194" s="63"/>
      <c r="W194" s="63"/>
      <c r="X194" s="63"/>
      <c r="Y194" s="63"/>
      <c r="Z194" s="62"/>
      <c r="AA194" s="62"/>
    </row>
    <row r="195" ht="16.5" customHeight="1">
      <c r="A195" s="82"/>
      <c r="B195" s="63"/>
      <c r="C195" s="63"/>
      <c r="D195" s="63"/>
      <c r="E195" s="63"/>
      <c r="F195" s="63"/>
      <c r="G195" s="63"/>
      <c r="H195" s="63"/>
      <c r="I195" s="65"/>
      <c r="J195" s="63"/>
      <c r="K195" s="63"/>
      <c r="L195" s="63"/>
      <c r="M195" s="63"/>
      <c r="N195" s="63"/>
      <c r="O195" s="63"/>
      <c r="P195" s="63"/>
      <c r="Q195" s="63"/>
      <c r="R195" s="63"/>
      <c r="S195" s="63"/>
      <c r="T195" s="65"/>
      <c r="U195" s="65"/>
      <c r="V195" s="63"/>
      <c r="W195" s="63"/>
      <c r="X195" s="63"/>
      <c r="Y195" s="63"/>
      <c r="Z195" s="62"/>
      <c r="AA195" s="62"/>
    </row>
    <row r="196" ht="16.5" customHeight="1">
      <c r="A196" s="82"/>
      <c r="B196" s="63"/>
      <c r="C196" s="63"/>
      <c r="D196" s="63"/>
      <c r="E196" s="63"/>
      <c r="F196" s="63"/>
      <c r="G196" s="63"/>
      <c r="H196" s="63"/>
      <c r="I196" s="65"/>
      <c r="J196" s="63"/>
      <c r="K196" s="63"/>
      <c r="L196" s="63"/>
      <c r="M196" s="63"/>
      <c r="N196" s="63"/>
      <c r="O196" s="63"/>
      <c r="P196" s="63"/>
      <c r="Q196" s="63"/>
      <c r="R196" s="63"/>
      <c r="S196" s="63"/>
      <c r="T196" s="65"/>
      <c r="U196" s="65"/>
      <c r="V196" s="63"/>
      <c r="W196" s="63"/>
      <c r="X196" s="63"/>
      <c r="Y196" s="63"/>
      <c r="Z196" s="62"/>
      <c r="AA196" s="62"/>
    </row>
    <row r="197" ht="16.5" customHeight="1">
      <c r="A197" s="82"/>
      <c r="B197" s="63"/>
      <c r="C197" s="63"/>
      <c r="D197" s="63"/>
      <c r="E197" s="63"/>
      <c r="F197" s="63"/>
      <c r="G197" s="63"/>
      <c r="H197" s="63"/>
      <c r="I197" s="65"/>
      <c r="J197" s="63"/>
      <c r="K197" s="63"/>
      <c r="L197" s="63"/>
      <c r="M197" s="63"/>
      <c r="N197" s="63"/>
      <c r="O197" s="63"/>
      <c r="P197" s="63"/>
      <c r="Q197" s="63"/>
      <c r="R197" s="63"/>
      <c r="S197" s="63"/>
      <c r="T197" s="65"/>
      <c r="U197" s="65"/>
      <c r="V197" s="63"/>
      <c r="W197" s="63"/>
      <c r="X197" s="63"/>
      <c r="Y197" s="63"/>
      <c r="Z197" s="62"/>
      <c r="AA197" s="62"/>
    </row>
    <row r="198" ht="16.5" customHeight="1">
      <c r="A198" s="82"/>
      <c r="B198" s="63"/>
      <c r="C198" s="63"/>
      <c r="D198" s="63"/>
      <c r="E198" s="63"/>
      <c r="F198" s="63"/>
      <c r="G198" s="63"/>
      <c r="H198" s="63"/>
      <c r="I198" s="65"/>
      <c r="J198" s="63"/>
      <c r="K198" s="63"/>
      <c r="L198" s="63"/>
      <c r="M198" s="63"/>
      <c r="N198" s="63"/>
      <c r="O198" s="63"/>
      <c r="P198" s="63"/>
      <c r="Q198" s="63"/>
      <c r="R198" s="63"/>
      <c r="S198" s="63"/>
      <c r="T198" s="65"/>
      <c r="U198" s="65"/>
      <c r="V198" s="63"/>
      <c r="W198" s="63"/>
      <c r="X198" s="63"/>
      <c r="Y198" s="63"/>
      <c r="Z198" s="62"/>
      <c r="AA198" s="62"/>
    </row>
    <row r="199" ht="16.5" customHeight="1">
      <c r="A199" s="82"/>
      <c r="B199" s="63"/>
      <c r="C199" s="63"/>
      <c r="D199" s="63"/>
      <c r="E199" s="63"/>
      <c r="F199" s="63"/>
      <c r="G199" s="63"/>
      <c r="H199" s="63"/>
      <c r="I199" s="65"/>
      <c r="J199" s="63"/>
      <c r="K199" s="63"/>
      <c r="L199" s="63"/>
      <c r="M199" s="63"/>
      <c r="N199" s="63"/>
      <c r="O199" s="63"/>
      <c r="P199" s="63"/>
      <c r="Q199" s="63"/>
      <c r="R199" s="63"/>
      <c r="S199" s="63"/>
      <c r="T199" s="65"/>
      <c r="U199" s="65"/>
      <c r="V199" s="63"/>
      <c r="W199" s="63"/>
      <c r="X199" s="63"/>
      <c r="Y199" s="63"/>
      <c r="Z199" s="62"/>
      <c r="AA199" s="62"/>
    </row>
    <row r="200" ht="16.5" customHeight="1">
      <c r="A200" s="82"/>
      <c r="B200" s="63"/>
      <c r="C200" s="63"/>
      <c r="D200" s="63"/>
      <c r="E200" s="63"/>
      <c r="F200" s="63"/>
      <c r="G200" s="63"/>
      <c r="H200" s="63"/>
      <c r="I200" s="65"/>
      <c r="J200" s="63"/>
      <c r="K200" s="63"/>
      <c r="L200" s="63"/>
      <c r="M200" s="63"/>
      <c r="N200" s="63"/>
      <c r="O200" s="63"/>
      <c r="P200" s="63"/>
      <c r="Q200" s="63"/>
      <c r="R200" s="63"/>
      <c r="S200" s="63"/>
      <c r="T200" s="65"/>
      <c r="U200" s="65"/>
      <c r="V200" s="63"/>
      <c r="W200" s="63"/>
      <c r="X200" s="63"/>
      <c r="Y200" s="63"/>
      <c r="Z200" s="62"/>
      <c r="AA200" s="62"/>
    </row>
    <row r="201" ht="16.5" customHeight="1">
      <c r="A201" s="82"/>
      <c r="B201" s="63"/>
      <c r="C201" s="63"/>
      <c r="D201" s="63"/>
      <c r="E201" s="63"/>
      <c r="F201" s="63"/>
      <c r="G201" s="63"/>
      <c r="H201" s="63"/>
      <c r="I201" s="65"/>
      <c r="J201" s="63"/>
      <c r="K201" s="63"/>
      <c r="L201" s="63"/>
      <c r="M201" s="63"/>
      <c r="N201" s="63"/>
      <c r="O201" s="63"/>
      <c r="P201" s="63"/>
      <c r="Q201" s="63"/>
      <c r="R201" s="63"/>
      <c r="S201" s="63"/>
      <c r="T201" s="65"/>
      <c r="U201" s="65"/>
      <c r="V201" s="63"/>
      <c r="W201" s="63"/>
      <c r="X201" s="63"/>
      <c r="Y201" s="63"/>
      <c r="Z201" s="62"/>
      <c r="AA201" s="62"/>
    </row>
    <row r="202" ht="16.5" customHeight="1">
      <c r="A202" s="82"/>
      <c r="B202" s="63"/>
      <c r="C202" s="63"/>
      <c r="D202" s="63"/>
      <c r="E202" s="63"/>
      <c r="F202" s="63"/>
      <c r="G202" s="63"/>
      <c r="H202" s="63"/>
      <c r="I202" s="65"/>
      <c r="J202" s="63"/>
      <c r="K202" s="63"/>
      <c r="L202" s="63"/>
      <c r="M202" s="63"/>
      <c r="N202" s="63"/>
      <c r="O202" s="63"/>
      <c r="P202" s="63"/>
      <c r="Q202" s="63"/>
      <c r="R202" s="63"/>
      <c r="S202" s="63"/>
      <c r="T202" s="65"/>
      <c r="U202" s="65"/>
      <c r="V202" s="63"/>
      <c r="W202" s="63"/>
      <c r="X202" s="63"/>
      <c r="Y202" s="63"/>
      <c r="Z202" s="62"/>
      <c r="AA202" s="62"/>
    </row>
    <row r="203" ht="16.5" customHeight="1">
      <c r="A203" s="82"/>
      <c r="B203" s="63"/>
      <c r="C203" s="63"/>
      <c r="D203" s="63"/>
      <c r="E203" s="63"/>
      <c r="F203" s="63"/>
      <c r="G203" s="63"/>
      <c r="H203" s="63"/>
      <c r="I203" s="65"/>
      <c r="J203" s="63"/>
      <c r="K203" s="63"/>
      <c r="L203" s="63"/>
      <c r="M203" s="63"/>
      <c r="N203" s="63"/>
      <c r="O203" s="63"/>
      <c r="P203" s="63"/>
      <c r="Q203" s="63"/>
      <c r="R203" s="63"/>
      <c r="S203" s="63"/>
      <c r="T203" s="65"/>
      <c r="U203" s="65"/>
      <c r="V203" s="63"/>
      <c r="W203" s="63"/>
      <c r="X203" s="63"/>
      <c r="Y203" s="63"/>
      <c r="Z203" s="62"/>
      <c r="AA203" s="62"/>
    </row>
    <row r="204" ht="16.5" customHeight="1">
      <c r="A204" s="82"/>
      <c r="B204" s="63"/>
      <c r="C204" s="63"/>
      <c r="D204" s="63"/>
      <c r="E204" s="63"/>
      <c r="F204" s="63"/>
      <c r="G204" s="63"/>
      <c r="H204" s="63"/>
      <c r="I204" s="65"/>
      <c r="J204" s="63"/>
      <c r="K204" s="63"/>
      <c r="L204" s="63"/>
      <c r="M204" s="63"/>
      <c r="N204" s="63"/>
      <c r="O204" s="63"/>
      <c r="P204" s="63"/>
      <c r="Q204" s="63"/>
      <c r="R204" s="63"/>
      <c r="S204" s="63"/>
      <c r="T204" s="65"/>
      <c r="U204" s="65"/>
      <c r="V204" s="63"/>
      <c r="W204" s="63"/>
      <c r="X204" s="63"/>
      <c r="Y204" s="63"/>
      <c r="Z204" s="62"/>
      <c r="AA204" s="62"/>
    </row>
    <row r="205" ht="16.5" customHeight="1">
      <c r="A205" s="82"/>
      <c r="B205" s="63"/>
      <c r="C205" s="63"/>
      <c r="D205" s="63"/>
      <c r="E205" s="63"/>
      <c r="F205" s="63"/>
      <c r="G205" s="63"/>
      <c r="H205" s="63"/>
      <c r="I205" s="65"/>
      <c r="J205" s="63"/>
      <c r="K205" s="63"/>
      <c r="L205" s="63"/>
      <c r="M205" s="63"/>
      <c r="N205" s="63"/>
      <c r="O205" s="63"/>
      <c r="P205" s="63"/>
      <c r="Q205" s="63"/>
      <c r="R205" s="63"/>
      <c r="S205" s="63"/>
      <c r="T205" s="65"/>
      <c r="U205" s="65"/>
      <c r="V205" s="63"/>
      <c r="W205" s="63"/>
      <c r="X205" s="63"/>
      <c r="Y205" s="63"/>
      <c r="Z205" s="62"/>
      <c r="AA205" s="62"/>
    </row>
    <row r="206" ht="16.5" customHeight="1">
      <c r="A206" s="82"/>
      <c r="B206" s="63"/>
      <c r="C206" s="63"/>
      <c r="D206" s="63"/>
      <c r="E206" s="63"/>
      <c r="F206" s="63"/>
      <c r="G206" s="63"/>
      <c r="H206" s="63"/>
      <c r="I206" s="65"/>
      <c r="J206" s="63"/>
      <c r="K206" s="63"/>
      <c r="L206" s="63"/>
      <c r="M206" s="63"/>
      <c r="N206" s="63"/>
      <c r="O206" s="63"/>
      <c r="P206" s="63"/>
      <c r="Q206" s="63"/>
      <c r="R206" s="63"/>
      <c r="S206" s="63"/>
      <c r="T206" s="65"/>
      <c r="U206" s="65"/>
      <c r="V206" s="63"/>
      <c r="W206" s="63"/>
      <c r="X206" s="63"/>
      <c r="Y206" s="63"/>
      <c r="Z206" s="62"/>
      <c r="AA206" s="62"/>
    </row>
    <row r="207" ht="16.5" customHeight="1">
      <c r="A207" s="82"/>
      <c r="B207" s="63"/>
      <c r="C207" s="63"/>
      <c r="D207" s="63"/>
      <c r="E207" s="63"/>
      <c r="F207" s="63"/>
      <c r="G207" s="63"/>
      <c r="H207" s="63"/>
      <c r="I207" s="65"/>
      <c r="J207" s="63"/>
      <c r="K207" s="63"/>
      <c r="L207" s="63"/>
      <c r="M207" s="63"/>
      <c r="N207" s="63"/>
      <c r="O207" s="63"/>
      <c r="P207" s="63"/>
      <c r="Q207" s="63"/>
      <c r="R207" s="63"/>
      <c r="S207" s="63"/>
      <c r="T207" s="65"/>
      <c r="U207" s="65"/>
      <c r="V207" s="63"/>
      <c r="W207" s="63"/>
      <c r="X207" s="63"/>
      <c r="Y207" s="63"/>
      <c r="Z207" s="62"/>
      <c r="AA207" s="62"/>
    </row>
    <row r="208" ht="16.5" customHeight="1">
      <c r="A208" s="82"/>
      <c r="B208" s="63"/>
      <c r="C208" s="63"/>
      <c r="D208" s="63"/>
      <c r="E208" s="63"/>
      <c r="F208" s="63"/>
      <c r="G208" s="63"/>
      <c r="H208" s="63"/>
      <c r="I208" s="65"/>
      <c r="J208" s="63"/>
      <c r="K208" s="63"/>
      <c r="L208" s="63"/>
      <c r="M208" s="63"/>
      <c r="N208" s="63"/>
      <c r="O208" s="63"/>
      <c r="P208" s="63"/>
      <c r="Q208" s="63"/>
      <c r="R208" s="63"/>
      <c r="S208" s="63"/>
      <c r="T208" s="65"/>
      <c r="U208" s="65"/>
      <c r="V208" s="63"/>
      <c r="W208" s="63"/>
      <c r="X208" s="63"/>
      <c r="Y208" s="63"/>
      <c r="Z208" s="62"/>
      <c r="AA208" s="62"/>
    </row>
    <row r="209" ht="16.5" customHeight="1">
      <c r="A209" s="82"/>
      <c r="B209" s="63"/>
      <c r="C209" s="63"/>
      <c r="D209" s="63"/>
      <c r="E209" s="63"/>
      <c r="F209" s="63"/>
      <c r="G209" s="63"/>
      <c r="H209" s="63"/>
      <c r="I209" s="65"/>
      <c r="J209" s="63"/>
      <c r="K209" s="63"/>
      <c r="L209" s="63"/>
      <c r="M209" s="63"/>
      <c r="N209" s="63"/>
      <c r="O209" s="63"/>
      <c r="P209" s="63"/>
      <c r="Q209" s="63"/>
      <c r="R209" s="63"/>
      <c r="S209" s="63"/>
      <c r="T209" s="65"/>
      <c r="U209" s="65"/>
      <c r="V209" s="63"/>
      <c r="W209" s="63"/>
      <c r="X209" s="63"/>
      <c r="Y209" s="63"/>
      <c r="Z209" s="62"/>
      <c r="AA209" s="62"/>
    </row>
    <row r="210" ht="16.5" customHeight="1">
      <c r="A210" s="82"/>
      <c r="B210" s="63"/>
      <c r="C210" s="63"/>
      <c r="D210" s="63"/>
      <c r="E210" s="63"/>
      <c r="F210" s="63"/>
      <c r="G210" s="63"/>
      <c r="H210" s="63"/>
      <c r="I210" s="65"/>
      <c r="J210" s="63"/>
      <c r="K210" s="63"/>
      <c r="L210" s="63"/>
      <c r="M210" s="63"/>
      <c r="N210" s="63"/>
      <c r="O210" s="63"/>
      <c r="P210" s="63"/>
      <c r="Q210" s="63"/>
      <c r="R210" s="63"/>
      <c r="S210" s="63"/>
      <c r="T210" s="65"/>
      <c r="U210" s="65"/>
      <c r="V210" s="63"/>
      <c r="W210" s="63"/>
      <c r="X210" s="63"/>
      <c r="Y210" s="63"/>
      <c r="Z210" s="62"/>
      <c r="AA210" s="62"/>
    </row>
    <row r="211" ht="16.5" customHeight="1">
      <c r="A211" s="82"/>
      <c r="B211" s="63"/>
      <c r="C211" s="63"/>
      <c r="D211" s="63"/>
      <c r="E211" s="63"/>
      <c r="F211" s="63"/>
      <c r="G211" s="63"/>
      <c r="H211" s="63"/>
      <c r="I211" s="65"/>
      <c r="J211" s="63"/>
      <c r="K211" s="63"/>
      <c r="L211" s="63"/>
      <c r="M211" s="63"/>
      <c r="N211" s="63"/>
      <c r="O211" s="63"/>
      <c r="P211" s="63"/>
      <c r="Q211" s="63"/>
      <c r="R211" s="63"/>
      <c r="S211" s="63"/>
      <c r="T211" s="65"/>
      <c r="U211" s="65"/>
      <c r="V211" s="63"/>
      <c r="W211" s="63"/>
      <c r="X211" s="63"/>
      <c r="Y211" s="63"/>
      <c r="Z211" s="62"/>
      <c r="AA211" s="62"/>
    </row>
    <row r="212" ht="16.5" customHeight="1">
      <c r="A212" s="82"/>
      <c r="B212" s="63"/>
      <c r="C212" s="63"/>
      <c r="D212" s="63"/>
      <c r="E212" s="63"/>
      <c r="F212" s="63"/>
      <c r="G212" s="63"/>
      <c r="H212" s="63"/>
      <c r="I212" s="65"/>
      <c r="J212" s="63"/>
      <c r="K212" s="63"/>
      <c r="L212" s="63"/>
      <c r="M212" s="63"/>
      <c r="N212" s="63"/>
      <c r="O212" s="63"/>
      <c r="P212" s="63"/>
      <c r="Q212" s="63"/>
      <c r="R212" s="63"/>
      <c r="S212" s="63"/>
      <c r="T212" s="65"/>
      <c r="U212" s="65"/>
      <c r="V212" s="63"/>
      <c r="W212" s="63"/>
      <c r="X212" s="63"/>
      <c r="Y212" s="63"/>
      <c r="Z212" s="62"/>
      <c r="AA212" s="62"/>
    </row>
    <row r="213" ht="16.5" customHeight="1">
      <c r="A213" s="82"/>
      <c r="B213" s="63"/>
      <c r="C213" s="63"/>
      <c r="D213" s="63"/>
      <c r="E213" s="63"/>
      <c r="F213" s="63"/>
      <c r="G213" s="63"/>
      <c r="H213" s="63"/>
      <c r="I213" s="65"/>
      <c r="J213" s="63"/>
      <c r="K213" s="63"/>
      <c r="L213" s="63"/>
      <c r="M213" s="63"/>
      <c r="N213" s="63"/>
      <c r="O213" s="63"/>
      <c r="P213" s="63"/>
      <c r="Q213" s="63"/>
      <c r="R213" s="63"/>
      <c r="S213" s="63"/>
      <c r="T213" s="65"/>
      <c r="U213" s="65"/>
      <c r="V213" s="63"/>
      <c r="W213" s="63"/>
      <c r="X213" s="63"/>
      <c r="Y213" s="63"/>
      <c r="Z213" s="62"/>
      <c r="AA213" s="62"/>
    </row>
    <row r="214" ht="16.5" customHeight="1">
      <c r="A214" s="82"/>
      <c r="B214" s="63"/>
      <c r="C214" s="63"/>
      <c r="D214" s="63"/>
      <c r="E214" s="63"/>
      <c r="F214" s="63"/>
      <c r="G214" s="63"/>
      <c r="H214" s="63"/>
      <c r="I214" s="65"/>
      <c r="J214" s="63"/>
      <c r="K214" s="63"/>
      <c r="L214" s="63"/>
      <c r="M214" s="63"/>
      <c r="N214" s="63"/>
      <c r="O214" s="63"/>
      <c r="P214" s="63"/>
      <c r="Q214" s="63"/>
      <c r="R214" s="63"/>
      <c r="S214" s="63"/>
      <c r="T214" s="65"/>
      <c r="U214" s="65"/>
      <c r="V214" s="63"/>
      <c r="W214" s="63"/>
      <c r="X214" s="63"/>
      <c r="Y214" s="63"/>
      <c r="Z214" s="62"/>
      <c r="AA214" s="62"/>
    </row>
    <row r="215" ht="16.5" customHeight="1">
      <c r="A215" s="82"/>
      <c r="B215" s="63"/>
      <c r="C215" s="63"/>
      <c r="D215" s="63"/>
      <c r="E215" s="63"/>
      <c r="F215" s="63"/>
      <c r="G215" s="63"/>
      <c r="H215" s="63"/>
      <c r="I215" s="65"/>
      <c r="J215" s="63"/>
      <c r="K215" s="63"/>
      <c r="L215" s="63"/>
      <c r="M215" s="63"/>
      <c r="N215" s="63"/>
      <c r="O215" s="63"/>
      <c r="P215" s="63"/>
      <c r="Q215" s="63"/>
      <c r="R215" s="63"/>
      <c r="S215" s="63"/>
      <c r="T215" s="65"/>
      <c r="U215" s="65"/>
      <c r="V215" s="63"/>
      <c r="W215" s="63"/>
      <c r="X215" s="63"/>
      <c r="Y215" s="63"/>
      <c r="Z215" s="62"/>
      <c r="AA215" s="62"/>
    </row>
    <row r="216" ht="16.5" customHeight="1">
      <c r="A216" s="82"/>
      <c r="B216" s="63"/>
      <c r="C216" s="63"/>
      <c r="D216" s="63"/>
      <c r="E216" s="63"/>
      <c r="F216" s="63"/>
      <c r="G216" s="63"/>
      <c r="H216" s="63"/>
      <c r="I216" s="65"/>
      <c r="J216" s="63"/>
      <c r="K216" s="63"/>
      <c r="L216" s="63"/>
      <c r="M216" s="63"/>
      <c r="N216" s="63"/>
      <c r="O216" s="63"/>
      <c r="P216" s="63"/>
      <c r="Q216" s="63"/>
      <c r="R216" s="63"/>
      <c r="S216" s="63"/>
      <c r="T216" s="65"/>
      <c r="U216" s="65"/>
      <c r="V216" s="63"/>
      <c r="W216" s="63"/>
      <c r="X216" s="63"/>
      <c r="Y216" s="63"/>
      <c r="Z216" s="62"/>
      <c r="AA216" s="62"/>
    </row>
    <row r="217" ht="16.5" customHeight="1">
      <c r="A217" s="82"/>
      <c r="B217" s="63"/>
      <c r="C217" s="63"/>
      <c r="D217" s="63"/>
      <c r="E217" s="63"/>
      <c r="F217" s="63"/>
      <c r="G217" s="63"/>
      <c r="H217" s="63"/>
      <c r="I217" s="65"/>
      <c r="J217" s="63"/>
      <c r="K217" s="63"/>
      <c r="L217" s="63"/>
      <c r="M217" s="63"/>
      <c r="N217" s="63"/>
      <c r="O217" s="63"/>
      <c r="P217" s="63"/>
      <c r="Q217" s="63"/>
      <c r="R217" s="63"/>
      <c r="S217" s="63"/>
      <c r="T217" s="65"/>
      <c r="U217" s="65"/>
      <c r="V217" s="63"/>
      <c r="W217" s="63"/>
      <c r="X217" s="63"/>
      <c r="Y217" s="63"/>
      <c r="Z217" s="62"/>
      <c r="AA217" s="62"/>
    </row>
    <row r="218" ht="16.5" customHeight="1">
      <c r="A218" s="82"/>
      <c r="B218" s="63"/>
      <c r="C218" s="63"/>
      <c r="D218" s="63"/>
      <c r="E218" s="63"/>
      <c r="F218" s="63"/>
      <c r="G218" s="63"/>
      <c r="H218" s="63"/>
      <c r="I218" s="65"/>
      <c r="J218" s="63"/>
      <c r="K218" s="63"/>
      <c r="L218" s="63"/>
      <c r="M218" s="63"/>
      <c r="N218" s="63"/>
      <c r="O218" s="63"/>
      <c r="P218" s="63"/>
      <c r="Q218" s="63"/>
      <c r="R218" s="63"/>
      <c r="S218" s="63"/>
      <c r="T218" s="65"/>
      <c r="U218" s="65"/>
      <c r="V218" s="63"/>
      <c r="W218" s="63"/>
      <c r="X218" s="63"/>
      <c r="Y218" s="63"/>
      <c r="Z218" s="62"/>
      <c r="AA218" s="62"/>
    </row>
    <row r="219" ht="16.5" customHeight="1">
      <c r="A219" s="82"/>
      <c r="B219" s="63"/>
      <c r="C219" s="63"/>
      <c r="D219" s="63"/>
      <c r="E219" s="63"/>
      <c r="F219" s="63"/>
      <c r="G219" s="63"/>
      <c r="H219" s="63"/>
      <c r="I219" s="65"/>
      <c r="J219" s="63"/>
      <c r="K219" s="63"/>
      <c r="L219" s="63"/>
      <c r="M219" s="63"/>
      <c r="N219" s="63"/>
      <c r="O219" s="63"/>
      <c r="P219" s="63"/>
      <c r="Q219" s="63"/>
      <c r="R219" s="63"/>
      <c r="S219" s="63"/>
      <c r="T219" s="65"/>
      <c r="U219" s="65"/>
      <c r="V219" s="63"/>
      <c r="W219" s="63"/>
      <c r="X219" s="63"/>
      <c r="Y219" s="63"/>
      <c r="Z219" s="62"/>
      <c r="AA219" s="62"/>
    </row>
    <row r="220" ht="16.5" customHeight="1">
      <c r="A220" s="82"/>
      <c r="B220" s="63"/>
      <c r="C220" s="63"/>
      <c r="D220" s="63"/>
      <c r="E220" s="63"/>
      <c r="F220" s="63"/>
      <c r="G220" s="63"/>
      <c r="H220" s="63"/>
      <c r="I220" s="65"/>
      <c r="J220" s="63"/>
      <c r="K220" s="63"/>
      <c r="L220" s="63"/>
      <c r="M220" s="63"/>
      <c r="N220" s="63"/>
      <c r="O220" s="63"/>
      <c r="P220" s="63"/>
      <c r="Q220" s="63"/>
      <c r="R220" s="63"/>
      <c r="S220" s="63"/>
      <c r="T220" s="65"/>
      <c r="U220" s="65"/>
      <c r="V220" s="63"/>
      <c r="W220" s="63"/>
      <c r="X220" s="63"/>
      <c r="Y220" s="63"/>
      <c r="Z220" s="62"/>
      <c r="AA220" s="6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